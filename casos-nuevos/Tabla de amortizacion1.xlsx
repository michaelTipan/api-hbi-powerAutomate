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INGEROZCOL/"/>
    </mc:Choice>
  </mc:AlternateContent>
  <xr:revisionPtr revIDLastSave="1740" documentId="13_ncr:1_{3399C118-4EE5-477B-B6C1-03AB99ED72B1}" xr6:coauthVersionLast="47" xr6:coauthVersionMax="47" xr10:uidLastSave="{DB69F5D0-4C76-4996-80EC-AD00A7F6D23A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INGEOROZCOL" sheetId="2" r:id="rId2"/>
    <sheet name="Hoja1" sheetId="3" r:id="rId3"/>
    <sheet name="Hoj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W33" i="2"/>
  <c r="V33" i="2"/>
  <c r="X63" i="2"/>
  <c r="O36" i="2"/>
  <c r="P36" i="2"/>
  <c r="X64" i="2" s="1"/>
  <c r="X65" i="2" s="1"/>
  <c r="W63" i="2"/>
  <c r="W64" i="2"/>
  <c r="W65" i="2"/>
  <c r="P35" i="2"/>
  <c r="O35" i="2"/>
  <c r="D32" i="2"/>
  <c r="W32" i="2"/>
  <c r="V32" i="2"/>
  <c r="V63" i="2"/>
  <c r="V65" i="2"/>
  <c r="V64" i="2"/>
  <c r="W31" i="2"/>
  <c r="W30" i="2"/>
  <c r="P34" i="2"/>
  <c r="O34" i="2"/>
  <c r="O33" i="2"/>
  <c r="V31" i="2"/>
  <c r="T63" i="2"/>
  <c r="D29" i="2"/>
  <c r="W4" i="2"/>
  <c r="W22" i="2"/>
  <c r="W27" i="2"/>
  <c r="W28" i="2"/>
  <c r="W29" i="2" s="1"/>
  <c r="V30" i="2"/>
  <c r="V29" i="2"/>
  <c r="V28" i="2"/>
  <c r="V27" i="2"/>
  <c r="V26" i="2"/>
  <c r="V25" i="2"/>
  <c r="V24" i="2"/>
  <c r="V23" i="2"/>
  <c r="V22" i="2"/>
  <c r="S63" i="2"/>
  <c r="S65" i="2"/>
  <c r="S64" i="2"/>
  <c r="P32" i="2"/>
  <c r="O32" i="2"/>
  <c r="R63" i="2"/>
  <c r="O31" i="2"/>
  <c r="O30" i="2"/>
  <c r="Q63" i="2"/>
  <c r="D26" i="2"/>
  <c r="AP55" i="2" l="1"/>
  <c r="O29" i="2"/>
  <c r="P29" i="2"/>
  <c r="AP56" i="2"/>
  <c r="AP57" i="2" s="1"/>
  <c r="AO55" i="2"/>
  <c r="P28" i="2"/>
  <c r="O28" i="2"/>
  <c r="AO56" i="2"/>
  <c r="AO57" i="2" s="1"/>
  <c r="D25" i="2"/>
  <c r="W26" i="2"/>
  <c r="AN55" i="2"/>
  <c r="P27" i="2"/>
  <c r="O27" i="2"/>
  <c r="AN56" i="2"/>
  <c r="AN57" i="2" s="1"/>
  <c r="D24" i="2"/>
  <c r="W25" i="2" l="1"/>
  <c r="AM55" i="2" l="1"/>
  <c r="AM57" i="2"/>
  <c r="AM56" i="2"/>
  <c r="P26" i="2"/>
  <c r="O26" i="2"/>
  <c r="D23" i="2"/>
  <c r="W24" i="2"/>
  <c r="AL55" i="2"/>
  <c r="AL57" i="2"/>
  <c r="AL56" i="2"/>
  <c r="P25" i="2"/>
  <c r="O25" i="2"/>
  <c r="D22" i="2"/>
  <c r="W23" i="2"/>
  <c r="W20" i="2"/>
  <c r="AK55" i="2"/>
  <c r="O24" i="2"/>
  <c r="O23" i="2"/>
  <c r="AJ55" i="2"/>
  <c r="S19" i="2"/>
  <c r="D19" i="2" s="1"/>
  <c r="V20" i="2" l="1"/>
  <c r="V19" i="2" l="1"/>
  <c r="D18" i="2"/>
  <c r="V17" i="2"/>
  <c r="V18" i="2"/>
  <c r="O17" i="2"/>
  <c r="O18" i="2"/>
  <c r="D17" i="2"/>
  <c r="P17" i="2"/>
  <c r="AD56" i="2"/>
  <c r="AE55" i="2" s="1"/>
  <c r="D16" i="2"/>
  <c r="V16" i="2"/>
  <c r="AC49" i="2"/>
  <c r="O16" i="2"/>
  <c r="D15" i="2"/>
  <c r="V15" i="2"/>
  <c r="L26" i="5"/>
  <c r="L25" i="5"/>
  <c r="L24" i="5"/>
  <c r="L23" i="5"/>
  <c r="L22" i="5"/>
  <c r="L21" i="5"/>
  <c r="L20" i="5"/>
  <c r="L19" i="5"/>
  <c r="L18" i="5"/>
  <c r="L17" i="5"/>
  <c r="L16" i="5"/>
  <c r="D14" i="2"/>
  <c r="D13" i="2"/>
  <c r="V14" i="2"/>
  <c r="O12" i="2"/>
  <c r="D12" i="2"/>
  <c r="O11" i="2"/>
  <c r="D11" i="2"/>
  <c r="P12" i="2"/>
  <c r="Z55" i="2" s="1"/>
  <c r="V10" i="2"/>
  <c r="V11" i="2"/>
  <c r="V12" i="2"/>
  <c r="V13" i="2"/>
  <c r="V9" i="2"/>
  <c r="P16" i="2" l="1"/>
  <c r="AC52" i="2"/>
  <c r="P18" i="2"/>
  <c r="AE56" i="2" s="1"/>
  <c r="AF55" i="2" s="1"/>
  <c r="AE59" i="2"/>
  <c r="AD59" i="2"/>
  <c r="Y56" i="2"/>
  <c r="Y59" i="2" s="1"/>
  <c r="V8" i="2"/>
  <c r="V7" i="2"/>
  <c r="V6" i="2"/>
  <c r="O6" i="2"/>
  <c r="P6" i="2" s="1"/>
  <c r="S56" i="2" s="1"/>
  <c r="V5" i="2"/>
  <c r="V4" i="2"/>
  <c r="J7" i="5"/>
  <c r="J5" i="5"/>
  <c r="J6" i="5"/>
  <c r="B18" i="5"/>
  <c r="AE47" i="2" l="1"/>
  <c r="AE46" i="2" s="1"/>
  <c r="AE57" i="2"/>
  <c r="AE58" i="2" s="1"/>
  <c r="T55" i="2"/>
  <c r="B16" i="5"/>
  <c r="A16" i="5"/>
  <c r="A18" i="5" s="1"/>
  <c r="D7" i="5"/>
  <c r="D6" i="5"/>
  <c r="D5" i="5"/>
  <c r="T59" i="2" l="1"/>
  <c r="C16" i="5"/>
  <c r="H4" i="2" l="1"/>
  <c r="C12" i="1" l="1"/>
  <c r="G5" i="1"/>
  <c r="G2" i="1"/>
  <c r="G1" i="1"/>
  <c r="B9" i="1"/>
  <c r="B7" i="1"/>
  <c r="B4" i="2"/>
  <c r="M16" i="5" l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F1" i="2"/>
  <c r="C4" i="2" s="1"/>
  <c r="I4" i="2"/>
  <c r="A4" i="2"/>
  <c r="A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P4" i="2" l="1"/>
  <c r="Q55" i="2" s="1"/>
  <c r="O4" i="2"/>
  <c r="K4" i="2"/>
  <c r="F2" i="2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Q57" i="2" l="1"/>
  <c r="R55" i="2"/>
  <c r="H6" i="2"/>
  <c r="I6" i="2" s="1"/>
  <c r="E4" i="2"/>
  <c r="D4" i="2" s="1"/>
  <c r="F4" i="2" s="1"/>
  <c r="A7" i="2"/>
  <c r="K7" i="2" s="1"/>
  <c r="M6" i="2"/>
  <c r="L6" i="2"/>
  <c r="I5" i="2"/>
  <c r="K6" i="2"/>
  <c r="B10" i="1"/>
  <c r="R59" i="2" l="1"/>
  <c r="M7" i="2"/>
  <c r="H7" i="2"/>
  <c r="I7" i="2" s="1"/>
  <c r="B5" i="2"/>
  <c r="L7" i="2"/>
  <c r="A8" i="2"/>
  <c r="N6" i="2"/>
  <c r="C5" i="2" l="1"/>
  <c r="N7" i="2"/>
  <c r="M8" i="2"/>
  <c r="J4" i="2"/>
  <c r="E5" i="2" s="1"/>
  <c r="A9" i="2"/>
  <c r="A10" i="2" s="1"/>
  <c r="H8" i="2"/>
  <c r="I8" i="2" s="1"/>
  <c r="L8" i="2"/>
  <c r="K8" i="2"/>
  <c r="K10" i="2" l="1"/>
  <c r="L9" i="2"/>
  <c r="L10" i="2" s="1"/>
  <c r="P5" i="2"/>
  <c r="R56" i="2" s="1"/>
  <c r="O5" i="2"/>
  <c r="F5" i="2"/>
  <c r="J5" i="2" s="1"/>
  <c r="E6" i="2" s="1"/>
  <c r="N8" i="2"/>
  <c r="A11" i="2"/>
  <c r="K9" i="2"/>
  <c r="M9" i="2"/>
  <c r="M10" i="2" s="1"/>
  <c r="H9" i="2"/>
  <c r="L11" i="2" l="1"/>
  <c r="S55" i="2"/>
  <c r="R57" i="2"/>
  <c r="B6" i="2"/>
  <c r="C6" i="2" s="1"/>
  <c r="K11" i="2"/>
  <c r="M11" i="2"/>
  <c r="A12" i="2"/>
  <c r="A13" i="2" s="1"/>
  <c r="N9" i="2"/>
  <c r="N10" i="2" s="1"/>
  <c r="I9" i="2"/>
  <c r="H10" i="2"/>
  <c r="L12" i="2" l="1"/>
  <c r="S59" i="2"/>
  <c r="S57" i="2"/>
  <c r="M12" i="2"/>
  <c r="M13" i="2" s="1"/>
  <c r="K12" i="2"/>
  <c r="N11" i="2"/>
  <c r="N12" i="2" s="1"/>
  <c r="L13" i="2"/>
  <c r="I10" i="2"/>
  <c r="H11" i="2"/>
  <c r="A14" i="2"/>
  <c r="K13" i="2"/>
  <c r="N13" i="2" l="1"/>
  <c r="M14" i="2"/>
  <c r="N14" i="2" s="1"/>
  <c r="I11" i="2"/>
  <c r="H12" i="2"/>
  <c r="L14" i="2"/>
  <c r="A15" i="2"/>
  <c r="K14" i="2"/>
  <c r="M15" i="2" l="1"/>
  <c r="N15" i="2" s="1"/>
  <c r="I12" i="2"/>
  <c r="H13" i="2"/>
  <c r="L15" i="2"/>
  <c r="A16" i="2"/>
  <c r="K15" i="2"/>
  <c r="M16" i="2" l="1"/>
  <c r="N16" i="2" s="1"/>
  <c r="I13" i="2"/>
  <c r="H14" i="2"/>
  <c r="L16" i="2"/>
  <c r="A17" i="2"/>
  <c r="K16" i="2"/>
  <c r="M17" i="2" l="1"/>
  <c r="N17" i="2" s="1"/>
  <c r="I14" i="2"/>
  <c r="H15" i="2"/>
  <c r="L17" i="2"/>
  <c r="A18" i="2"/>
  <c r="K17" i="2"/>
  <c r="M18" i="2" l="1"/>
  <c r="N18" i="2" s="1"/>
  <c r="I15" i="2"/>
  <c r="H16" i="2"/>
  <c r="L18" i="2"/>
  <c r="A19" i="2"/>
  <c r="K18" i="2"/>
  <c r="M19" i="2" l="1"/>
  <c r="N19" i="2" s="1"/>
  <c r="I16" i="2"/>
  <c r="H17" i="2"/>
  <c r="L19" i="2"/>
  <c r="K19" i="2"/>
  <c r="A20" i="2"/>
  <c r="M20" i="2" l="1"/>
  <c r="N20" i="2" s="1"/>
  <c r="I17" i="2"/>
  <c r="H18" i="2"/>
  <c r="L20" i="2"/>
  <c r="K20" i="2"/>
  <c r="A21" i="2"/>
  <c r="M21" i="2" l="1"/>
  <c r="I18" i="2"/>
  <c r="H19" i="2"/>
  <c r="N21" i="2"/>
  <c r="L21" i="2"/>
  <c r="K21" i="2"/>
  <c r="A22" i="2"/>
  <c r="M22" i="2" s="1"/>
  <c r="I19" i="2" l="1"/>
  <c r="H20" i="2"/>
  <c r="N22" i="2"/>
  <c r="L22" i="2"/>
  <c r="K22" i="2"/>
  <c r="A23" i="2"/>
  <c r="M23" i="2" s="1"/>
  <c r="I20" i="2" l="1"/>
  <c r="H21" i="2"/>
  <c r="L23" i="2"/>
  <c r="N23" i="2"/>
  <c r="K23" i="2"/>
  <c r="A24" i="2"/>
  <c r="M24" i="2" s="1"/>
  <c r="I21" i="2" l="1"/>
  <c r="H22" i="2"/>
  <c r="N24" i="2"/>
  <c r="L24" i="2"/>
  <c r="K24" i="2"/>
  <c r="A25" i="2"/>
  <c r="M25" i="2" s="1"/>
  <c r="I22" i="2" l="1"/>
  <c r="H23" i="2"/>
  <c r="L25" i="2"/>
  <c r="N25" i="2"/>
  <c r="K25" i="2"/>
  <c r="A26" i="2"/>
  <c r="M26" i="2" s="1"/>
  <c r="I23" i="2" l="1"/>
  <c r="H24" i="2"/>
  <c r="N26" i="2"/>
  <c r="L26" i="2"/>
  <c r="K26" i="2"/>
  <c r="A27" i="2"/>
  <c r="M27" i="2" s="1"/>
  <c r="I24" i="2" l="1"/>
  <c r="H25" i="2"/>
  <c r="N27" i="2"/>
  <c r="L27" i="2"/>
  <c r="K27" i="2"/>
  <c r="A28" i="2"/>
  <c r="M28" i="2" s="1"/>
  <c r="N28" i="2" l="1"/>
  <c r="I25" i="2"/>
  <c r="H26" i="2"/>
  <c r="L28" i="2"/>
  <c r="K28" i="2"/>
  <c r="A29" i="2"/>
  <c r="I26" i="2" l="1"/>
  <c r="H27" i="2"/>
  <c r="M29" i="2"/>
  <c r="L29" i="2"/>
  <c r="K29" i="2"/>
  <c r="A30" i="2"/>
  <c r="I27" i="2" l="1"/>
  <c r="H28" i="2"/>
  <c r="L30" i="2"/>
  <c r="M30" i="2"/>
  <c r="N29" i="2"/>
  <c r="K30" i="2"/>
  <c r="A31" i="2"/>
  <c r="M31" i="2" l="1"/>
  <c r="I28" i="2"/>
  <c r="H29" i="2"/>
  <c r="L31" i="2"/>
  <c r="N30" i="2"/>
  <c r="K31" i="2"/>
  <c r="A32" i="2"/>
  <c r="N31" i="2" l="1"/>
  <c r="M32" i="2"/>
  <c r="I29" i="2"/>
  <c r="H30" i="2"/>
  <c r="L32" i="2"/>
  <c r="K32" i="2"/>
  <c r="A33" i="2"/>
  <c r="N32" i="2" l="1"/>
  <c r="M33" i="2"/>
  <c r="I30" i="2"/>
  <c r="H31" i="2"/>
  <c r="L33" i="2"/>
  <c r="K33" i="2"/>
  <c r="A34" i="2"/>
  <c r="N33" i="2" l="1"/>
  <c r="M34" i="2"/>
  <c r="N34" i="2" s="1"/>
  <c r="I31" i="2"/>
  <c r="H32" i="2"/>
  <c r="L34" i="2"/>
  <c r="K34" i="2"/>
  <c r="A35" i="2"/>
  <c r="M35" i="2" l="1"/>
  <c r="N35" i="2" s="1"/>
  <c r="I32" i="2"/>
  <c r="H33" i="2"/>
  <c r="L35" i="2"/>
  <c r="K35" i="2"/>
  <c r="A36" i="2"/>
  <c r="M36" i="2" l="1"/>
  <c r="N36" i="2" s="1"/>
  <c r="L36" i="2"/>
  <c r="I33" i="2"/>
  <c r="H34" i="2"/>
  <c r="K36" i="2"/>
  <c r="A37" i="2"/>
  <c r="L37" i="2" l="1"/>
  <c r="I34" i="2"/>
  <c r="H35" i="2"/>
  <c r="M37" i="2"/>
  <c r="K37" i="2"/>
  <c r="A38" i="2"/>
  <c r="L38" i="2" l="1"/>
  <c r="I35" i="2"/>
  <c r="H36" i="2"/>
  <c r="M38" i="2"/>
  <c r="N37" i="2"/>
  <c r="K38" i="2"/>
  <c r="A39" i="2"/>
  <c r="A40" i="2" l="1"/>
  <c r="N38" i="2"/>
  <c r="L39" i="2"/>
  <c r="I36" i="2"/>
  <c r="H37" i="2"/>
  <c r="M39" i="2"/>
  <c r="K39" i="2"/>
  <c r="L40" i="2" l="1"/>
  <c r="M40" i="2"/>
  <c r="A41" i="2"/>
  <c r="K40" i="2"/>
  <c r="N39" i="2"/>
  <c r="N40" i="2" s="1"/>
  <c r="I37" i="2"/>
  <c r="H38" i="2"/>
  <c r="L41" i="2" l="1"/>
  <c r="M41" i="2"/>
  <c r="N41" i="2"/>
  <c r="A42" i="2"/>
  <c r="K41" i="2"/>
  <c r="I38" i="2"/>
  <c r="H39" i="2"/>
  <c r="H40" i="2" s="1"/>
  <c r="I40" i="2" l="1"/>
  <c r="H41" i="2"/>
  <c r="I41" i="2" s="1"/>
  <c r="H42" i="2"/>
  <c r="I42" i="2"/>
  <c r="L42" i="2"/>
  <c r="M42" i="2"/>
  <c r="N42" i="2"/>
  <c r="A43" i="2"/>
  <c r="K42" i="2"/>
  <c r="I39" i="2"/>
  <c r="H43" i="2" l="1"/>
  <c r="I43" i="2"/>
  <c r="L43" i="2"/>
  <c r="M43" i="2"/>
  <c r="N43" i="2"/>
  <c r="A44" i="2"/>
  <c r="K43" i="2"/>
  <c r="F6" i="2"/>
  <c r="J6" i="2" s="1"/>
  <c r="E7" i="2" s="1"/>
  <c r="H44" i="2" l="1"/>
  <c r="I44" i="2"/>
  <c r="L44" i="2"/>
  <c r="M44" i="2"/>
  <c r="N44" i="2"/>
  <c r="A45" i="2"/>
  <c r="K44" i="2"/>
  <c r="B7" i="2"/>
  <c r="H45" i="2" l="1"/>
  <c r="I45" i="2"/>
  <c r="L45" i="2"/>
  <c r="M45" i="2"/>
  <c r="N45" i="2"/>
  <c r="A46" i="2"/>
  <c r="K45" i="2"/>
  <c r="C7" i="2"/>
  <c r="O7" i="2" s="1"/>
  <c r="P7" i="2" s="1"/>
  <c r="T56" i="2" s="1"/>
  <c r="A47" i="2" l="1"/>
  <c r="H46" i="2"/>
  <c r="I46" i="2"/>
  <c r="L46" i="2"/>
  <c r="M46" i="2"/>
  <c r="N46" i="2"/>
  <c r="K46" i="2"/>
  <c r="U55" i="2"/>
  <c r="T57" i="2"/>
  <c r="F7" i="2"/>
  <c r="B8" i="2" s="1"/>
  <c r="H47" i="2" l="1"/>
  <c r="I47" i="2"/>
  <c r="L47" i="2"/>
  <c r="M47" i="2"/>
  <c r="N47" i="2"/>
  <c r="A48" i="2"/>
  <c r="K47" i="2"/>
  <c r="U59" i="2"/>
  <c r="J7" i="2"/>
  <c r="E8" i="2" s="1"/>
  <c r="C8" i="2"/>
  <c r="O8" i="2" s="1"/>
  <c r="P8" i="2" s="1"/>
  <c r="U56" i="2" s="1"/>
  <c r="H48" i="2" l="1"/>
  <c r="I48" i="2"/>
  <c r="L48" i="2"/>
  <c r="M48" i="2"/>
  <c r="N48" i="2"/>
  <c r="A49" i="2"/>
  <c r="K48" i="2"/>
  <c r="U57" i="2"/>
  <c r="V55" i="2"/>
  <c r="V59" i="2" s="1"/>
  <c r="F8" i="2"/>
  <c r="A50" i="2" l="1"/>
  <c r="H49" i="2"/>
  <c r="I49" i="2"/>
  <c r="L49" i="2"/>
  <c r="M49" i="2"/>
  <c r="N49" i="2"/>
  <c r="K49" i="2"/>
  <c r="J8" i="2"/>
  <c r="E9" i="2" s="1"/>
  <c r="B9" i="2"/>
  <c r="C9" i="2" s="1"/>
  <c r="O9" i="2" s="1"/>
  <c r="P9" i="2" s="1"/>
  <c r="V56" i="2" s="1"/>
  <c r="W55" i="2" s="1"/>
  <c r="W59" i="2" s="1"/>
  <c r="H50" i="2" l="1"/>
  <c r="I50" i="2"/>
  <c r="L50" i="2"/>
  <c r="M50" i="2"/>
  <c r="N50" i="2"/>
  <c r="A51" i="2"/>
  <c r="K50" i="2"/>
  <c r="V57" i="2"/>
  <c r="F9" i="2"/>
  <c r="H51" i="2" l="1"/>
  <c r="I51" i="2"/>
  <c r="L51" i="2"/>
  <c r="M51" i="2"/>
  <c r="N51" i="2"/>
  <c r="K51" i="2"/>
  <c r="J9" i="2"/>
  <c r="E10" i="2" s="1"/>
  <c r="B10" i="2"/>
  <c r="C10" i="2" s="1"/>
  <c r="F10" i="2" l="1"/>
  <c r="O10" i="2"/>
  <c r="P10" i="2" s="1"/>
  <c r="W56" i="2" s="1"/>
  <c r="X55" i="2" s="1"/>
  <c r="X59" i="2" s="1"/>
  <c r="J10" i="2"/>
  <c r="E11" i="2" s="1"/>
  <c r="B11" i="2"/>
  <c r="C11" i="2" s="1"/>
  <c r="W57" i="2" l="1"/>
  <c r="F11" i="2" l="1"/>
  <c r="P11" i="2"/>
  <c r="J11" i="2"/>
  <c r="E12" i="2" s="1"/>
  <c r="B12" i="2"/>
  <c r="C12" i="2" s="1"/>
  <c r="X56" i="2" l="1"/>
  <c r="Y55" i="2" s="1"/>
  <c r="F12" i="2"/>
  <c r="X57" i="2" l="1"/>
  <c r="Y57" i="2"/>
  <c r="J12" i="2"/>
  <c r="E13" i="2" s="1"/>
  <c r="B13" i="2"/>
  <c r="C13" i="2" l="1"/>
  <c r="F13" i="2" l="1"/>
  <c r="O13" i="2"/>
  <c r="J13" i="2"/>
  <c r="E14" i="2" s="1"/>
  <c r="B14" i="2"/>
  <c r="C14" i="2" s="1"/>
  <c r="O14" i="2" s="1"/>
  <c r="P14" i="2" s="1"/>
  <c r="AA56" i="2" l="1"/>
  <c r="AB55" i="2"/>
  <c r="P13" i="2"/>
  <c r="Z56" i="2" s="1"/>
  <c r="AA55" i="2" s="1"/>
  <c r="F14" i="2"/>
  <c r="J14" i="2" s="1"/>
  <c r="E15" i="2" s="1"/>
  <c r="AA59" i="2" l="1"/>
  <c r="Z57" i="2"/>
  <c r="B15" i="2"/>
  <c r="C15" i="2" s="1"/>
  <c r="O15" i="2" s="1"/>
  <c r="P15" i="2" s="1"/>
  <c r="AB56" i="2" l="1"/>
  <c r="AC55" i="2" s="1"/>
  <c r="AC51" i="2" s="1"/>
  <c r="F15" i="2"/>
  <c r="J15" i="2" s="1"/>
  <c r="E16" i="2" s="1"/>
  <c r="AA57" i="2"/>
  <c r="Z59" i="2"/>
  <c r="B16" i="2"/>
  <c r="C16" i="2" s="1"/>
  <c r="AB59" i="2" l="1"/>
  <c r="AB57" i="2"/>
  <c r="F16" i="2"/>
  <c r="J16" i="2" s="1"/>
  <c r="E17" i="2" s="1"/>
  <c r="AC56" i="2"/>
  <c r="AD55" i="2" s="1"/>
  <c r="B17" i="2"/>
  <c r="AC57" i="2" l="1"/>
  <c r="AC58" i="2" s="1"/>
  <c r="C17" i="2"/>
  <c r="F17" i="2" s="1"/>
  <c r="J17" i="2" s="1"/>
  <c r="E18" i="2" s="1"/>
  <c r="AD57" i="2" l="1"/>
  <c r="AC59" i="2"/>
  <c r="B18" i="2"/>
  <c r="C18" i="2" l="1"/>
  <c r="F18" i="2" s="1"/>
  <c r="J18" i="2" s="1"/>
  <c r="E19" i="2" s="1"/>
  <c r="B19" i="2" l="1"/>
  <c r="C19" i="2" l="1"/>
  <c r="O19" i="2" l="1"/>
  <c r="AG52" i="2" s="1"/>
  <c r="F19" i="2"/>
  <c r="J19" i="2" s="1"/>
  <c r="E20" i="2" s="1"/>
  <c r="B20" i="2" l="1"/>
  <c r="C20" i="2" s="1"/>
  <c r="P19" i="2"/>
  <c r="AF56" i="2" l="1"/>
  <c r="F20" i="2"/>
  <c r="J20" i="2" s="1"/>
  <c r="E21" i="2" s="1"/>
  <c r="O20" i="2"/>
  <c r="AG55" i="2" l="1"/>
  <c r="AF59" i="2" s="1"/>
  <c r="AF57" i="2"/>
  <c r="B21" i="2"/>
  <c r="C21" i="2" s="1"/>
  <c r="P20" i="2"/>
  <c r="AG56" i="2" s="1"/>
  <c r="AG53" i="2"/>
  <c r="AG57" i="2" l="1"/>
  <c r="AH55" i="2"/>
  <c r="F21" i="2"/>
  <c r="J21" i="2" s="1"/>
  <c r="E22" i="2" s="1"/>
  <c r="O21" i="2"/>
  <c r="P21" i="2" s="1"/>
  <c r="AH56" i="2" s="1"/>
  <c r="AH57" i="2" s="1"/>
  <c r="B22" i="2" l="1"/>
  <c r="C22" i="2" s="1"/>
  <c r="AI55" i="2"/>
  <c r="F22" i="2" l="1"/>
  <c r="J22" i="2" s="1"/>
  <c r="E23" i="2" s="1"/>
  <c r="O22" i="2"/>
  <c r="P22" i="2" s="1"/>
  <c r="AI56" i="2" s="1"/>
  <c r="B23" i="2" l="1"/>
  <c r="AI57" i="2"/>
  <c r="C23" i="2"/>
  <c r="F23" i="2" l="1"/>
  <c r="J23" i="2" s="1"/>
  <c r="E24" i="2" s="1"/>
  <c r="P23" i="2"/>
  <c r="AJ56" i="2" s="1"/>
  <c r="AJ57" i="2" s="1"/>
  <c r="B24" i="2" l="1"/>
  <c r="C24" i="2"/>
  <c r="F24" i="2" l="1"/>
  <c r="J24" i="2" s="1"/>
  <c r="E25" i="2" s="1"/>
  <c r="P24" i="2"/>
  <c r="AK56" i="2" s="1"/>
  <c r="AK57" i="2" s="1"/>
  <c r="B25" i="2"/>
  <c r="C25" i="2" l="1"/>
  <c r="F25" i="2" s="1"/>
  <c r="J25" i="2" s="1"/>
  <c r="E26" i="2" s="1"/>
  <c r="B26" i="2" l="1"/>
  <c r="C26" i="2" l="1"/>
  <c r="F26" i="2" s="1"/>
  <c r="J26" i="2" s="1"/>
  <c r="E27" i="2" s="1"/>
  <c r="B27" i="2" l="1"/>
  <c r="C27" i="2" l="1"/>
  <c r="F27" i="2" s="1"/>
  <c r="J27" i="2" s="1"/>
  <c r="E28" i="2" s="1"/>
  <c r="B28" i="2" l="1"/>
  <c r="C28" i="2" l="1"/>
  <c r="F28" i="2" s="1"/>
  <c r="J28" i="2" s="1"/>
  <c r="E29" i="2" s="1"/>
  <c r="B29" i="2" l="1"/>
  <c r="C29" i="2" l="1"/>
  <c r="F29" i="2" s="1"/>
  <c r="J29" i="2" s="1"/>
  <c r="E30" i="2" s="1"/>
  <c r="B30" i="2" l="1"/>
  <c r="C30" i="2" l="1"/>
  <c r="F30" i="2" l="1"/>
  <c r="J30" i="2" l="1"/>
  <c r="E31" i="2" s="1"/>
  <c r="B31" i="2"/>
  <c r="C31" i="2" s="1"/>
  <c r="P30" i="2"/>
  <c r="Q64" i="2" s="1"/>
  <c r="Q65" i="2" s="1"/>
  <c r="F31" i="2" l="1"/>
  <c r="J31" i="2" s="1"/>
  <c r="E32" i="2" s="1"/>
  <c r="P31" i="2"/>
  <c r="R64" i="2" s="1"/>
  <c r="R65" i="2"/>
  <c r="B32" i="2"/>
  <c r="C32" i="2" l="1"/>
  <c r="F32" i="2" s="1"/>
  <c r="J32" i="2" s="1"/>
  <c r="E33" i="2" s="1"/>
  <c r="B33" i="2" l="1"/>
  <c r="C33" i="2" l="1"/>
  <c r="F33" i="2" l="1"/>
  <c r="J33" i="2" s="1"/>
  <c r="E34" i="2" s="1"/>
  <c r="P33" i="2"/>
  <c r="T64" i="2" s="1"/>
  <c r="T65" i="2" s="1"/>
  <c r="B34" i="2"/>
  <c r="C34" i="2" l="1"/>
  <c r="F34" i="2" s="1"/>
  <c r="J34" i="2" s="1"/>
  <c r="E35" i="2" s="1"/>
  <c r="B35" i="2" l="1"/>
  <c r="C35" i="2" l="1"/>
  <c r="D35" i="2" s="1"/>
  <c r="F35" i="2" s="1"/>
  <c r="J35" i="2" s="1"/>
  <c r="E36" i="2" s="1"/>
  <c r="B36" i="2" l="1"/>
  <c r="C36" i="2" l="1"/>
  <c r="D36" i="2" s="1"/>
  <c r="F36" i="2" s="1"/>
  <c r="J36" i="2" s="1"/>
  <c r="E37" i="2" s="1"/>
  <c r="B37" i="2" l="1"/>
  <c r="C37" i="2" l="1"/>
  <c r="D37" i="2" s="1"/>
  <c r="F37" i="2" s="1"/>
  <c r="J37" i="2" s="1"/>
  <c r="E38" i="2" s="1"/>
  <c r="B38" i="2" l="1"/>
  <c r="C38" i="2" l="1"/>
  <c r="D38" i="2" s="1"/>
  <c r="F38" i="2" s="1"/>
  <c r="J38" i="2" s="1"/>
  <c r="E39" i="2" s="1"/>
  <c r="B39" i="2" l="1"/>
  <c r="C39" i="2" l="1"/>
  <c r="D39" i="2" s="1"/>
  <c r="F39" i="2" s="1"/>
  <c r="J39" i="2" l="1"/>
  <c r="E40" i="2" s="1"/>
  <c r="B40" i="2"/>
  <c r="C40" i="2" l="1"/>
  <c r="D40" i="2" s="1"/>
  <c r="F40" i="2" s="1"/>
  <c r="B41" i="2" l="1"/>
  <c r="J40" i="2"/>
  <c r="E41" i="2" s="1"/>
  <c r="C41" i="2" l="1"/>
  <c r="D41" i="2"/>
  <c r="F41" i="2" s="1"/>
  <c r="B42" i="2" l="1"/>
  <c r="J41" i="2"/>
  <c r="E42" i="2" s="1"/>
  <c r="C42" i="2" l="1"/>
  <c r="D42" i="2" s="1"/>
  <c r="F42" i="2" s="1"/>
  <c r="B43" i="2" l="1"/>
  <c r="J42" i="2"/>
  <c r="E43" i="2" s="1"/>
  <c r="C43" i="2" l="1"/>
  <c r="D43" i="2" s="1"/>
  <c r="F43" i="2" s="1"/>
  <c r="B44" i="2" l="1"/>
  <c r="J43" i="2"/>
  <c r="E44" i="2" s="1"/>
  <c r="C44" i="2" l="1"/>
  <c r="D44" i="2" s="1"/>
  <c r="F44" i="2" s="1"/>
  <c r="B45" i="2" l="1"/>
  <c r="J44" i="2"/>
  <c r="E45" i="2" s="1"/>
  <c r="C45" i="2" l="1"/>
  <c r="D45" i="2" s="1"/>
  <c r="F45" i="2" s="1"/>
  <c r="B46" i="2" l="1"/>
  <c r="J45" i="2"/>
  <c r="E46" i="2" s="1"/>
  <c r="C46" i="2" l="1"/>
  <c r="D46" i="2" s="1"/>
  <c r="F46" i="2" s="1"/>
  <c r="B47" i="2" l="1"/>
  <c r="J46" i="2"/>
  <c r="E47" i="2" s="1"/>
  <c r="C47" i="2" l="1"/>
  <c r="D47" i="2" s="1"/>
  <c r="F47" i="2" s="1"/>
  <c r="B48" i="2" l="1"/>
  <c r="J47" i="2"/>
  <c r="E48" i="2" s="1"/>
  <c r="C48" i="2" l="1"/>
  <c r="D48" i="2" s="1"/>
  <c r="F48" i="2" s="1"/>
  <c r="B49" i="2" l="1"/>
  <c r="J48" i="2"/>
  <c r="E49" i="2" s="1"/>
  <c r="C49" i="2" l="1"/>
  <c r="D49" i="2" s="1"/>
  <c r="F49" i="2" s="1"/>
  <c r="B50" i="2" l="1"/>
  <c r="J49" i="2"/>
  <c r="E50" i="2" s="1"/>
  <c r="C50" i="2" l="1"/>
  <c r="D50" i="2" s="1"/>
  <c r="F50" i="2" s="1"/>
  <c r="B51" i="2" l="1"/>
  <c r="J50" i="2"/>
  <c r="E51" i="2" s="1"/>
  <c r="C51" i="2" l="1"/>
  <c r="D51" i="2"/>
  <c r="F51" i="2" s="1"/>
  <c r="J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tc={EBBD03CE-39DD-478F-89CB-F1706CFEBD6C}</author>
    <author>tc={5B9F40AE-3050-496F-8DA8-5CC51F2C0734}</author>
    <author>tc={949C97A1-4D57-420A-9B06-0BB23783BD7D}</author>
  </authors>
  <commentList>
    <comment ref="T22" authorId="0" shapeId="0" xr:uid="{B2A4DEC6-6396-42F3-91A0-9E02CE9F3FCE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3105</t>
        </r>
      </text>
    </comment>
    <comment ref="T23" authorId="0" shapeId="0" xr:uid="{CDED21E3-0BA9-40F3-B55F-896E697F1CD5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3349</t>
        </r>
      </text>
    </comment>
    <comment ref="T24" authorId="0" shapeId="0" xr:uid="{48B9604C-C444-473A-AE50-270EAB0317E0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3577</t>
        </r>
      </text>
    </comment>
    <comment ref="T25" authorId="0" shapeId="0" xr:uid="{9BC61394-89A8-47FE-AD7A-0B06DEBCC35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3917</t>
        </r>
      </text>
    </comment>
    <comment ref="T26" authorId="0" shapeId="0" xr:uid="{A7FF8D9D-0D0F-4BD1-9996-4A12022C252B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4118</t>
        </r>
      </text>
    </comment>
    <comment ref="T27" authorId="0" shapeId="0" xr:uid="{25E793B9-27F8-47BA-B519-5F6C653C32C7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4628</t>
        </r>
      </text>
    </comment>
    <comment ref="C28" authorId="0" shapeId="0" xr:uid="{686FAF42-7673-4E1B-9636-139C97A4C718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abona $42,599</t>
        </r>
      </text>
    </comment>
    <comment ref="T29" authorId="0" shapeId="0" xr:uid="{B9E46F55-9836-4250-A526-3B65DDF9D89A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5033</t>
        </r>
      </text>
    </comment>
    <comment ref="T30" authorId="0" shapeId="0" xr:uid="{690692C8-9CA5-4E9F-8305-9E8C3D2794F0}">
      <text>
        <r>
          <rPr>
            <b/>
            <sz val="9"/>
            <color indexed="81"/>
            <rFont val="Tahoma"/>
            <charset val="1"/>
          </rPr>
          <t>Patricia Bello Pedraza:</t>
        </r>
        <r>
          <rPr>
            <sz val="9"/>
            <color indexed="81"/>
            <rFont val="Tahoma"/>
            <charset val="1"/>
          </rPr>
          <t xml:space="preserve">
5463</t>
        </r>
      </text>
    </comment>
    <comment ref="C31" authorId="0" shapeId="0" xr:uid="{E6947BE9-812F-42B1-AE76-8697C9198573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ABONO$25,210</t>
        </r>
      </text>
    </comment>
    <comment ref="T31" authorId="1" shapeId="0" xr:uid="{EBBD03CE-39DD-478F-89CB-F1706CFEBD6C}">
      <text>
        <t>[Threaded comment]
Your version of Excel allows you to read this threaded comment; however, any edits to it will get removed if the file is opened in a newer version of Excel. Learn more: https://go.microsoft.com/fwlink/?linkid=870924
Comment:
    5893</t>
      </text>
    </comment>
    <comment ref="T32" authorId="2" shapeId="0" xr:uid="{5B9F40AE-3050-496F-8DA8-5CC51F2C0734}">
      <text>
        <t>[Threaded comment]
Your version of Excel allows you to read this threaded comment; however, any edits to it will get removed if the file is opened in a newer version of Excel. Learn more: https://go.microsoft.com/fwlink/?linkid=870924
Comment:
    6324</t>
      </text>
    </comment>
    <comment ref="T33" authorId="3" shapeId="0" xr:uid="{949C97A1-4D57-420A-9B06-0BB23783BD7D}">
      <text>
        <t>[Threaded comment]
Your version of Excel allows you to read this threaded comment; however, any edits to it will get removed if the file is opened in a newer version of Excel. Learn more: https://go.microsoft.com/fwlink/?linkid=870924
Comment:
    6801</t>
      </text>
    </comment>
  </commentList>
</comments>
</file>

<file path=xl/sharedStrings.xml><?xml version="1.0" encoding="utf-8"?>
<sst xmlns="http://schemas.openxmlformats.org/spreadsheetml/2006/main" count="75" uniqueCount="55">
  <si>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</si>
  <si>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</si>
  <si>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</si>
  <si>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</si>
  <si>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</si>
  <si>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</si>
  <si>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</si>
  <si>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</si>
  <si>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</si>
  <si>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</si>
  <si>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</si>
  <si>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</si>
  <si>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</si>
  <si>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</si>
  <si>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</si>
  <si>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</si>
  <si>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</si>
  <si>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</si>
  <si>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</si>
  <si>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</si>
  <si>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</si>
  <si>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</si>
  <si>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</si>
  <si>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</si>
  <si>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</si>
  <si>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</si>
  <si>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</si>
  <si>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</si>
  <si>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</si>
  <si>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</si>
  <si>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</si>
  <si>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</si>
  <si>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</si>
  <si>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</si>
  <si>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</si>
  <si>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</si>
  <si>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</si>
  <si>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</si>
  <si>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 xml:space="preserve">Capital </t>
  </si>
  <si>
    <t>Intereses de mora</t>
  </si>
  <si>
    <t>Abono a Capital</t>
  </si>
  <si>
    <t>Valor pagado</t>
  </si>
  <si>
    <t xml:space="preserve">saldo a capítal </t>
  </si>
  <si>
    <t>ajuste nov- oct</t>
  </si>
  <si>
    <t xml:space="preserve">ajuste </t>
  </si>
  <si>
    <t>FACTURACION</t>
  </si>
  <si>
    <t>Abono a K</t>
  </si>
  <si>
    <t>Valor pagado cliente</t>
  </si>
  <si>
    <t xml:space="preserve">APLICACIÓN DEL PAGO </t>
  </si>
  <si>
    <t xml:space="preserve">EXTRACTO </t>
  </si>
  <si>
    <t>Cuota #</t>
  </si>
  <si>
    <t>Valor a pagar</t>
  </si>
  <si>
    <t xml:space="preserve">Aplicación del Pagos INGEOROZCOL S.A.S.  </t>
  </si>
  <si>
    <t xml:space="preserve">Pago a capital </t>
  </si>
  <si>
    <t xml:space="preserve">saldo a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</si>
</sst>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ont="1" applyFill="1"/>
    <xf numFmtId="164" fontId="1" fillId="0" borderId="0" xfId="1" applyNumberFormat="1" applyFont="1" applyFill="1"/>
    <xf numFmtId="165" fontId="1" fillId="0" borderId="0" xfId="2" applyNumberFormat="1" applyFont="1" applyFill="1" applyProtection="1">
      <protection locked="0"/>
    </xf>
    <xf numFmtId="165" fontId="5" fillId="2" borderId="0" xfId="2" applyNumberFormat="1" applyFont="1" applyFill="1" applyProtection="1">
      <protection locked="0"/>
    </xf>
    <xf numFmtId="0" fontId="6" fillId="0" borderId="0" xfId="0" applyFont="1"/>
    <xf numFmtId="165" fontId="5" fillId="0" borderId="0" xfId="2" applyNumberFormat="1" applyFont="1" applyFill="1" applyProtection="1">
      <protection locked="0"/>
    </xf>
    <xf numFmtId="164" fontId="7" fillId="3" borderId="0" xfId="1" applyNumberFormat="1" applyFont="1" applyFill="1"/>
    <xf numFmtId="164" fontId="5" fillId="3" borderId="0" xfId="1" applyNumberFormat="1" applyFont="1" applyFill="1"/>
    <xf numFmtId="43" fontId="7" fillId="0" borderId="4" xfId="1" applyFont="1" applyBorder="1"/>
    <xf numFmtId="164" fontId="5" fillId="0" borderId="0" xfId="1" applyNumberFormat="1" applyFont="1" applyFill="1"/>
    <xf numFmtId="43" fontId="0" fillId="0" borderId="13" xfId="1" applyFont="1" applyBorder="1"/>
    <xf numFmtId="43" fontId="0" fillId="0" borderId="21" xfId="1" applyFont="1" applyFill="1" applyBorder="1"/>
    <xf numFmtId="14" fontId="0" fillId="0" borderId="20" xfId="0" applyNumberFormat="1" applyBorder="1"/>
    <xf numFmtId="43" fontId="5" fillId="0" borderId="4" xfId="1" applyFont="1" applyFill="1" applyBorder="1"/>
    <xf numFmtId="43" fontId="5" fillId="0" borderId="21" xfId="1" applyFont="1" applyFill="1" applyBorder="1"/>
    <xf numFmtId="43" fontId="5" fillId="0" borderId="4" xfId="1" applyFont="1" applyBorder="1"/>
    <xf numFmtId="43" fontId="5" fillId="0" borderId="23" xfId="1" applyFont="1" applyBorder="1"/>
    <xf numFmtId="43" fontId="5" fillId="0" borderId="24" xfId="1" applyFont="1" applyFill="1" applyBorder="1"/>
    <xf numFmtId="14" fontId="5" fillId="0" borderId="20" xfId="0" applyNumberFormat="1" applyFont="1" applyBorder="1"/>
    <xf numFmtId="14" fontId="5" fillId="0" borderId="22" xfId="0" applyNumberFormat="1" applyFont="1" applyBorder="1"/>
    <xf numFmtId="0" fontId="3" fillId="10" borderId="20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14" fontId="5" fillId="3" borderId="20" xfId="1" applyNumberFormat="1" applyFont="1" applyFill="1" applyBorder="1"/>
    <xf numFmtId="17" fontId="5" fillId="0" borderId="0" xfId="0" applyNumberFormat="1" applyFont="1"/>
    <xf numFmtId="0" fontId="3" fillId="3" borderId="0" xfId="0" applyFont="1" applyFill="1" applyAlignment="1">
      <alignment horizontal="center"/>
    </xf>
    <xf numFmtId="0" fontId="5" fillId="0" borderId="0" xfId="0" applyFont="1"/>
    <xf numFmtId="14" fontId="0" fillId="5" borderId="25" xfId="1" applyNumberFormat="1" applyFont="1" applyFill="1" applyBorder="1"/>
    <xf numFmtId="43" fontId="0" fillId="0" borderId="3" xfId="1" applyFont="1" applyFill="1" applyBorder="1"/>
    <xf numFmtId="43" fontId="0" fillId="0" borderId="26" xfId="1" applyFont="1" applyFill="1" applyBorder="1"/>
    <xf numFmtId="164" fontId="8" fillId="0" borderId="0" xfId="1" applyNumberFormat="1" applyFont="1" applyFill="1"/>
    <xf numFmtId="165" fontId="8" fillId="0" borderId="0" xfId="2" applyNumberFormat="1" applyFont="1" applyFill="1" applyProtection="1">
      <protection locked="0"/>
    </xf>
    <xf numFmtId="0" fontId="8" fillId="0" borderId="0" xfId="0" applyFont="1" applyAlignment="1">
      <alignment horizontal="center"/>
    </xf>
    <xf numFmtId="165" fontId="8" fillId="0" borderId="0" xfId="2" applyNumberFormat="1" applyFont="1" applyFill="1"/>
    <xf numFmtId="0" fontId="9" fillId="0" borderId="0" xfId="0" applyFont="1" applyAlignment="1">
      <alignment horizontal="center"/>
    </xf>
    <xf numFmtId="0" fontId="8" fillId="0" borderId="0" xfId="0" applyFont="1"/>
    <xf numFmtId="43" fontId="8" fillId="0" borderId="0" xfId="1" applyFont="1" applyFill="1"/>
    <xf numFmtId="43" fontId="0" fillId="11" borderId="0" xfId="0" applyNumberFormat="1" applyFill="1"/>
    <xf numFmtId="0" fontId="0" fillId="7" borderId="0" xfId="0" applyFill="1"/>
    <xf numFmtId="43" fontId="7" fillId="0" borderId="4" xfId="1" applyFont="1" applyFill="1" applyBorder="1"/>
    <xf numFmtId="0" fontId="5" fillId="12" borderId="0" xfId="0" applyFont="1" applyFill="1" applyAlignment="1">
      <alignment horizontal="center"/>
    </xf>
    <xf numFmtId="164" fontId="5" fillId="12" borderId="0" xfId="1" applyNumberFormat="1" applyFont="1" applyFill="1"/>
    <xf numFmtId="165" fontId="5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0" fontId="2" fillId="12" borderId="0" xfId="0" applyFont="1" applyFill="1" applyAlignment="1">
      <alignment horizontal="center"/>
    </xf>
    <xf numFmtId="0" fontId="5" fillId="12" borderId="0" xfId="0" applyFont="1" applyFill="1"/>
    <xf numFmtId="165" fontId="1" fillId="0" borderId="0" xfId="2" applyNumberFormat="1" applyFont="1" applyFill="1"/>
    <xf numFmtId="0" fontId="1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8" fillId="3" borderId="0" xfId="2" applyNumberFormat="1" applyFont="1" applyFill="1" applyProtection="1">
      <protection locked="0"/>
    </xf>
    <xf numFmtId="165" fontId="1" fillId="3" borderId="0" xfId="2" applyNumberFormat="1" applyFont="1" applyFill="1" applyProtection="1">
      <protection locked="0"/>
    </xf>
    <xf numFmtId="165" fontId="1" fillId="3" borderId="0" xfId="2" applyNumberFormat="1" applyFont="1" applyFill="1"/>
    <xf numFmtId="0" fontId="12" fillId="3" borderId="0" xfId="0" applyFont="1" applyFill="1" applyAlignment="1">
      <alignment horizontal="center"/>
    </xf>
    <xf numFmtId="165" fontId="6" fillId="12" borderId="0" xfId="2" applyNumberFormat="1" applyFont="1" applyFill="1" applyProtection="1">
      <protection locked="0"/>
    </xf>
    <xf numFmtId="165" fontId="13" fillId="0" borderId="0" xfId="2" applyNumberFormat="1" applyFont="1" applyFill="1" applyProtection="1">
      <protection locked="0"/>
    </xf>
    <xf numFmtId="165" fontId="13" fillId="3" borderId="0" xfId="2" applyNumberFormat="1" applyFont="1" applyFill="1" applyProtection="1">
      <protection locked="0"/>
    </xf>
    <xf numFmtId="43" fontId="0" fillId="0" borderId="27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14" fontId="0" fillId="0" borderId="27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43" fontId="7" fillId="0" borderId="27" xfId="1" applyFont="1" applyFill="1" applyBorder="1" applyAlignment="1">
      <alignment vertical="center"/>
    </xf>
    <xf numFmtId="43" fontId="7" fillId="0" borderId="3" xfId="1" applyFont="1" applyFill="1" applyBorder="1" applyAlignment="1">
      <alignment vertical="center"/>
    </xf>
    <xf numFmtId="0" fontId="3" fillId="12" borderId="28" xfId="0" applyFont="1" applyFill="1" applyBorder="1" applyAlignment="1">
      <alignment horizontal="center" vertical="top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wrapText="1"/>
    </xf>
    <xf numFmtId="0" fontId="3" fillId="12" borderId="30" xfId="0" applyFont="1" applyFill="1" applyBorder="1" applyAlignment="1">
      <alignment horizontal="center" vertical="center"/>
    </xf>
    <xf numFmtId="165" fontId="14" fillId="12" borderId="0" xfId="2" applyNumberFormat="1" applyFont="1" applyFill="1" applyProtection="1">
      <protection locked="0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10" borderId="16" xfId="0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8AD5F7A3-6A0E-4995-89DB-878EB51FD682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1" dT="2026-05-21T22:50:59.05" personId="{8AD5F7A3-6A0E-4995-89DB-878EB51FD682}" id="{EBBD03CE-39DD-478F-89CB-F1706CFEBD6C}">
    <text>5893</text>
  </threadedComment>
  <threadedComment ref="T32" dT="2026-06-24T16:15:14.46" personId="{8AD5F7A3-6A0E-4995-89DB-878EB51FD682}" id="{5B9F40AE-3050-496F-8DA8-5CC51F2C0734}">
    <text>6324</text>
  </threadedComment>
  <threadedComment ref="T33" dT="2026-08-10T15:28:27.39" personId="{8AD5F7A3-6A0E-4995-89DB-878EB51FD682}" id="{949C97A1-4D57-420A-9B06-0BB23783BD7D}">
    <text>6801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P124"/>
  <sheetViews>
    <sheetView tabSelected="1" topLeftCell="J1" zoomScale="90" zoomScaleNormal="90" workbookViewId="0">
      <pane ySplit="3" topLeftCell="A19" activePane="bottomLeft" state="frozen"/>
      <selection pane="bottomLeft" activeCell="R45" sqref="R45"/>
    </sheetView>
  </sheetViews>
  <sheetFormatPr defaultColWidth="11.42578125" defaultRowHeight="14.45"/>
  <cols>
    <col min="1" max="1" width="9.85546875" bestFit="1" customWidth="1"/>
    <col min="2" max="2" width="14.140625" bestFit="1" customWidth="1"/>
    <col min="3" max="5" width="12.140625" bestFit="1" customWidth="1"/>
    <col min="6" max="6" width="13.7109375" bestFit="1" customWidth="1"/>
    <col min="7" max="7" width="14.28515625" bestFit="1" customWidth="1"/>
    <col min="8" max="8" width="10.42578125" bestFit="1" customWidth="1"/>
    <col min="9" max="9" width="8.140625" bestFit="1" customWidth="1"/>
    <col min="10" max="10" width="12.14062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2.5703125" bestFit="1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0" width="16.28515625" customWidth="1"/>
    <col min="21" max="21" width="14.5703125" hidden="1" customWidth="1"/>
    <col min="22" max="22" width="17.140625" customWidth="1"/>
    <col min="23" max="23" width="15.85546875" customWidth="1"/>
    <col min="24" max="24" width="14.140625" customWidth="1"/>
    <col min="25" max="25" width="12.7109375" customWidth="1"/>
    <col min="26" max="26" width="14.7109375" customWidth="1"/>
    <col min="27" max="27" width="13.140625" bestFit="1" customWidth="1"/>
    <col min="28" max="28" width="13.85546875" customWidth="1"/>
    <col min="29" max="29" width="13" customWidth="1"/>
    <col min="30" max="34" width="13.140625" bestFit="1" customWidth="1"/>
    <col min="35" max="35" width="12.5703125" bestFit="1" customWidth="1"/>
    <col min="36" max="41" width="13.7109375" bestFit="1" customWidth="1"/>
    <col min="42" max="42" width="13.140625" customWidth="1"/>
  </cols>
  <sheetData>
    <row r="1" spans="1:26" ht="23.1" customHeight="1" thickBot="1">
      <c r="A1" s="10" t="s">
        <v>16</v>
      </c>
      <c r="B1" s="13">
        <v>100757000</v>
      </c>
      <c r="C1" s="10" t="s">
        <v>17</v>
      </c>
      <c r="D1" s="12">
        <v>0.12330000000000001</v>
      </c>
      <c r="E1" s="10" t="s">
        <v>18</v>
      </c>
      <c r="F1" s="15">
        <f>((D1+D2)/12)</f>
        <v>1.9400000000000001E-2</v>
      </c>
      <c r="H1" s="21" t="s">
        <v>19</v>
      </c>
      <c r="J1" s="58">
        <v>45250</v>
      </c>
    </row>
    <row r="2" spans="1:26" ht="20.45" customHeight="1" thickBot="1">
      <c r="A2" s="10" t="s">
        <v>20</v>
      </c>
      <c r="B2" s="14">
        <v>48</v>
      </c>
      <c r="C2" s="10" t="s">
        <v>21</v>
      </c>
      <c r="D2" s="63">
        <v>0.1095</v>
      </c>
      <c r="E2" s="10" t="s">
        <v>22</v>
      </c>
      <c r="F2" s="16">
        <f>+PMT(F1,B2,-B1,0)</f>
        <v>3244886.6641625254</v>
      </c>
      <c r="G2" s="16"/>
      <c r="J2" s="64">
        <v>53</v>
      </c>
      <c r="Q2" s="132" t="s">
        <v>23</v>
      </c>
      <c r="R2" s="133"/>
      <c r="S2" s="133"/>
      <c r="T2" s="133"/>
      <c r="U2" s="133"/>
      <c r="V2" s="133"/>
      <c r="W2" s="134"/>
    </row>
    <row r="3" spans="1:26" ht="15" thickBot="1">
      <c r="B3" s="86" t="s">
        <v>24</v>
      </c>
      <c r="C3" s="86" t="s">
        <v>25</v>
      </c>
      <c r="D3" s="86" t="s">
        <v>26</v>
      </c>
      <c r="E3" s="86" t="s">
        <v>13</v>
      </c>
      <c r="F3" s="9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7" t="s">
        <v>35</v>
      </c>
      <c r="Q3" s="123" t="s">
        <v>36</v>
      </c>
      <c r="R3" s="124" t="s">
        <v>37</v>
      </c>
      <c r="S3" s="125" t="s">
        <v>38</v>
      </c>
      <c r="T3" s="124" t="s">
        <v>39</v>
      </c>
      <c r="U3" s="126" t="s">
        <v>40</v>
      </c>
      <c r="V3" s="125" t="s">
        <v>41</v>
      </c>
      <c r="W3" s="127" t="s">
        <v>42</v>
      </c>
    </row>
    <row r="4" spans="1:26">
      <c r="A4" s="11">
        <f>+TasaImplicita!A12</f>
        <v>1</v>
      </c>
      <c r="B4" s="60">
        <f>+B1</f>
        <v>100757000</v>
      </c>
      <c r="C4" s="60">
        <f>+B4*F1</f>
        <v>1954685.8</v>
      </c>
      <c r="D4" s="60">
        <f>+E4-C4</f>
        <v>1290200.8641625254</v>
      </c>
      <c r="E4" s="60">
        <f>+F2</f>
        <v>3244886.6641625254</v>
      </c>
      <c r="F4" s="61">
        <f>+B4-D4</f>
        <v>99466799.13583748</v>
      </c>
      <c r="G4" s="65">
        <v>0.12096</v>
      </c>
      <c r="H4" s="62">
        <f>+D2</f>
        <v>0.1095</v>
      </c>
      <c r="I4" s="8">
        <f>((G4+H4)/12)</f>
        <v>1.9205E-2</v>
      </c>
      <c r="J4" s="2">
        <f>PMT(I4,K4,-F4,0)</f>
        <v>3232168.0728495889</v>
      </c>
      <c r="K4" s="7">
        <f>+$B$2-A4</f>
        <v>47</v>
      </c>
      <c r="L4">
        <v>20</v>
      </c>
      <c r="M4">
        <v>12</v>
      </c>
      <c r="N4">
        <v>2023</v>
      </c>
      <c r="O4" s="22">
        <f>+C4/30</f>
        <v>65156.193333333336</v>
      </c>
      <c r="P4" s="34">
        <f>+(C4/30)*10</f>
        <v>651561.93333333335</v>
      </c>
      <c r="Q4" s="88">
        <v>45280</v>
      </c>
      <c r="R4" s="89">
        <v>1954686</v>
      </c>
      <c r="S4" s="89">
        <v>1290201</v>
      </c>
      <c r="T4" s="89"/>
      <c r="U4" s="89"/>
      <c r="V4" s="89">
        <f t="shared" ref="V4:V9" si="0">SUM(R4:U4)</f>
        <v>3244887</v>
      </c>
      <c r="W4" s="90">
        <f>+B4-S4</f>
        <v>99466799</v>
      </c>
      <c r="Z4" s="23"/>
    </row>
    <row r="5" spans="1:26">
      <c r="A5" s="11">
        <f>IF(AND(A4&lt;$B$2)*(A4&lt;&gt;0),1+A4," ")</f>
        <v>2</v>
      </c>
      <c r="B5" s="60">
        <f>IF(A5=" "," ",+F4)</f>
        <v>99466799.13583748</v>
      </c>
      <c r="C5" s="60">
        <f>IF(A5=" "," ",+B5*I4)</f>
        <v>1910259.8774037587</v>
      </c>
      <c r="D5" s="66">
        <v>1318764</v>
      </c>
      <c r="E5" s="60">
        <f>IF(A5=" "," ",+J4)</f>
        <v>3232168.0728495889</v>
      </c>
      <c r="F5" s="67">
        <f t="shared" ref="F5:F39" si="1">+B5-D5</f>
        <v>98148035.13583748</v>
      </c>
      <c r="G5" s="65">
        <v>0.11833</v>
      </c>
      <c r="H5" s="62">
        <f>IF(A5=" "," ",+H4)</f>
        <v>0.1095</v>
      </c>
      <c r="I5" s="8">
        <f>IF(A5=" "," ",((G5+H5)/12))</f>
        <v>1.8985833333333334E-2</v>
      </c>
      <c r="J5" s="2">
        <f t="shared" ref="J5:J39" si="2">PMT(I5,K5,-F5,0)</f>
        <v>3218255.2057381938</v>
      </c>
      <c r="K5" s="7">
        <f>IF(A2=" "," ",+$B$2-A5)</f>
        <v>46</v>
      </c>
      <c r="L5">
        <f>IF(A5&lt;&gt;" ",+L4," ")</f>
        <v>20</v>
      </c>
      <c r="M5">
        <f>IF(AND(A5&lt;&gt;" ")*(M4=12),1,1+M4)</f>
        <v>1</v>
      </c>
      <c r="N5">
        <f>IF(AND(A5&lt;&gt;" ")*(M5=1),1+N4,N4)</f>
        <v>2024</v>
      </c>
      <c r="O5" s="22">
        <f>+C5/30</f>
        <v>63675.32924679196</v>
      </c>
      <c r="P5" s="34">
        <f>+(C5/30)*10</f>
        <v>636753.29246791964</v>
      </c>
      <c r="Q5" s="72">
        <v>45314</v>
      </c>
      <c r="R5" s="24">
        <v>1910260</v>
      </c>
      <c r="S5" s="24">
        <v>1318764</v>
      </c>
      <c r="T5" s="68">
        <v>3144</v>
      </c>
      <c r="U5" s="43"/>
      <c r="V5" s="55">
        <f t="shared" si="0"/>
        <v>3232168</v>
      </c>
      <c r="W5" s="71">
        <f>+W4-S5</f>
        <v>98148035</v>
      </c>
      <c r="Z5" s="23"/>
    </row>
    <row r="6" spans="1:26">
      <c r="A6" s="11">
        <f t="shared" ref="A6:A51" si="3">IF(AND(A5&lt;$B$2)*(A5&lt;&gt;0),1+A5," ")</f>
        <v>3</v>
      </c>
      <c r="B6" s="60">
        <f t="shared" ref="B6:B39" si="4">IF(A6=" "," ",+F5)</f>
        <v>98148035.13583748</v>
      </c>
      <c r="C6" s="60">
        <f t="shared" ref="C6:C39" si="5">IF(A6=" "," ",+B6*I5)</f>
        <v>1863422.2370831545</v>
      </c>
      <c r="D6" s="66">
        <v>1355807</v>
      </c>
      <c r="E6" s="60">
        <f t="shared" ref="E6:E39" si="6">IF(A6=" "," ",+J5)</f>
        <v>3218255.2057381938</v>
      </c>
      <c r="F6" s="69">
        <f t="shared" si="1"/>
        <v>96792228.13583748</v>
      </c>
      <c r="G6" s="65">
        <v>0.11859</v>
      </c>
      <c r="H6" s="62">
        <f t="shared" ref="H6:H39" si="7">IF(A6=" "," ",+H5)</f>
        <v>0.1095</v>
      </c>
      <c r="I6" s="8">
        <f t="shared" ref="I6:I39" si="8">IF(A6=" "," ",((G6+H6)/12))</f>
        <v>1.90075E-2</v>
      </c>
      <c r="J6" s="2">
        <f t="shared" si="2"/>
        <v>3219582.3161609531</v>
      </c>
      <c r="K6" s="7">
        <f t="shared" ref="K6:K39" si="9">IF(A3=" "," ",+$B$2-A6)</f>
        <v>45</v>
      </c>
      <c r="L6">
        <f t="shared" ref="L6:L39" si="10">IF(A6&lt;&gt;" ",+L5," ")</f>
        <v>20</v>
      </c>
      <c r="M6">
        <f t="shared" ref="M6:M39" si="11">IF(AND(A6&lt;&gt;" ")*(M5=12),1,1+M5)</f>
        <v>2</v>
      </c>
      <c r="N6">
        <f t="shared" ref="N6:N39" si="12">IF(AND(A6&lt;&gt;" ")*(M6=1),1+N5,N5)</f>
        <v>2024</v>
      </c>
      <c r="O6" s="22">
        <f>1863363/30</f>
        <v>62112.1</v>
      </c>
      <c r="P6" s="34">
        <f t="shared" ref="P6:P13" si="13">+O6*10</f>
        <v>621121</v>
      </c>
      <c r="Q6" s="72">
        <v>45344</v>
      </c>
      <c r="R6" s="24">
        <v>1863363</v>
      </c>
      <c r="S6" s="24">
        <v>1355807</v>
      </c>
      <c r="T6" s="68">
        <v>2226</v>
      </c>
      <c r="U6" s="43"/>
      <c r="V6" s="55">
        <f t="shared" si="0"/>
        <v>3221396</v>
      </c>
      <c r="W6" s="71">
        <f>+W5-S6</f>
        <v>96792228</v>
      </c>
      <c r="Z6" s="23"/>
    </row>
    <row r="7" spans="1:26">
      <c r="A7" s="93">
        <f t="shared" si="3"/>
        <v>4</v>
      </c>
      <c r="B7" s="91">
        <f t="shared" si="4"/>
        <v>96792228.13583748</v>
      </c>
      <c r="C7" s="91">
        <f t="shared" si="5"/>
        <v>1839778.2762919308</v>
      </c>
      <c r="D7" s="91">
        <v>1381911</v>
      </c>
      <c r="E7" s="91">
        <f t="shared" si="6"/>
        <v>3219582.3161609531</v>
      </c>
      <c r="F7" s="91">
        <f t="shared" si="1"/>
        <v>95410317.13583748</v>
      </c>
      <c r="G7" s="92">
        <v>0.11514000000000001</v>
      </c>
      <c r="H7" s="92">
        <f t="shared" si="7"/>
        <v>0.1095</v>
      </c>
      <c r="I7" s="94">
        <f t="shared" si="8"/>
        <v>1.8720000000000001E-2</v>
      </c>
      <c r="J7" s="91">
        <f t="shared" si="2"/>
        <v>3201826.5932657998</v>
      </c>
      <c r="K7" s="95">
        <f t="shared" si="9"/>
        <v>44</v>
      </c>
      <c r="L7" s="96">
        <f t="shared" si="10"/>
        <v>20</v>
      </c>
      <c r="M7" s="96">
        <f t="shared" si="11"/>
        <v>3</v>
      </c>
      <c r="N7" s="96">
        <f t="shared" si="12"/>
        <v>2024</v>
      </c>
      <c r="O7" s="97">
        <f>+C7/30</f>
        <v>61325.942543064361</v>
      </c>
      <c r="P7" s="34">
        <f t="shared" si="13"/>
        <v>613259.42543064361</v>
      </c>
      <c r="Q7" s="42">
        <v>45371</v>
      </c>
      <c r="R7" s="24">
        <v>1839738</v>
      </c>
      <c r="S7" s="24">
        <v>1381911</v>
      </c>
      <c r="T7" s="68">
        <v>49</v>
      </c>
      <c r="U7" s="24"/>
      <c r="V7" s="55">
        <f t="shared" si="0"/>
        <v>3221698</v>
      </c>
      <c r="W7" s="55">
        <f t="shared" ref="W7:W19" si="14">+W6-S7</f>
        <v>95410317</v>
      </c>
      <c r="Z7" s="23"/>
    </row>
    <row r="8" spans="1:26">
      <c r="A8" s="93">
        <f t="shared" si="3"/>
        <v>5</v>
      </c>
      <c r="B8" s="91">
        <f t="shared" si="4"/>
        <v>95410317.13583748</v>
      </c>
      <c r="C8" s="91">
        <f t="shared" si="5"/>
        <v>1786081.1367828776</v>
      </c>
      <c r="D8" s="91">
        <v>1412549</v>
      </c>
      <c r="E8" s="91">
        <f t="shared" si="6"/>
        <v>3201826.5932657998</v>
      </c>
      <c r="F8" s="91">
        <f t="shared" si="1"/>
        <v>93997768.13583748</v>
      </c>
      <c r="G8" s="92">
        <v>0.11138000000000001</v>
      </c>
      <c r="H8" s="92">
        <f t="shared" si="7"/>
        <v>0.1095</v>
      </c>
      <c r="I8" s="94">
        <f t="shared" si="8"/>
        <v>1.8406666666666668E-2</v>
      </c>
      <c r="J8" s="91">
        <f t="shared" si="2"/>
        <v>3183082.7937184386</v>
      </c>
      <c r="K8" s="95">
        <f t="shared" si="9"/>
        <v>43</v>
      </c>
      <c r="L8" s="96">
        <f t="shared" si="10"/>
        <v>20</v>
      </c>
      <c r="M8" s="96">
        <f t="shared" si="11"/>
        <v>4</v>
      </c>
      <c r="N8" s="96">
        <f t="shared" si="12"/>
        <v>2024</v>
      </c>
      <c r="O8" s="97">
        <f>+C8/30</f>
        <v>59536.037892762586</v>
      </c>
      <c r="P8" s="34">
        <f t="shared" si="13"/>
        <v>595360.37892762583</v>
      </c>
      <c r="Q8" s="42">
        <v>45405</v>
      </c>
      <c r="R8" s="24">
        <v>1786081</v>
      </c>
      <c r="S8" s="24">
        <v>1412549</v>
      </c>
      <c r="T8" s="68">
        <v>3197</v>
      </c>
      <c r="U8" s="24"/>
      <c r="V8" s="24">
        <f t="shared" si="0"/>
        <v>3201827</v>
      </c>
      <c r="W8" s="55">
        <f t="shared" si="14"/>
        <v>93997768</v>
      </c>
      <c r="Z8" s="23"/>
    </row>
    <row r="9" spans="1:26">
      <c r="A9" s="93">
        <f t="shared" si="3"/>
        <v>6</v>
      </c>
      <c r="B9" s="91">
        <f t="shared" si="4"/>
        <v>93997768.13583748</v>
      </c>
      <c r="C9" s="91">
        <f t="shared" si="5"/>
        <v>1730185.585486982</v>
      </c>
      <c r="D9" s="91">
        <v>1454053</v>
      </c>
      <c r="E9" s="91">
        <f t="shared" si="6"/>
        <v>3183082.7937184386</v>
      </c>
      <c r="F9" s="91">
        <f t="shared" si="1"/>
        <v>92543715.13583748</v>
      </c>
      <c r="G9" s="92">
        <v>0.11008</v>
      </c>
      <c r="H9" s="92">
        <f t="shared" si="7"/>
        <v>0.1095</v>
      </c>
      <c r="I9" s="94">
        <f t="shared" si="8"/>
        <v>1.8298333333333333E-2</v>
      </c>
      <c r="J9" s="91">
        <f t="shared" si="2"/>
        <v>3176665.2564457608</v>
      </c>
      <c r="K9" s="95">
        <f t="shared" si="9"/>
        <v>42</v>
      </c>
      <c r="L9" s="96">
        <f t="shared" si="10"/>
        <v>20</v>
      </c>
      <c r="M9" s="96">
        <f t="shared" si="11"/>
        <v>5</v>
      </c>
      <c r="N9" s="96">
        <f t="shared" si="12"/>
        <v>2024</v>
      </c>
      <c r="O9" s="97">
        <f>+C9/30</f>
        <v>57672.852849566065</v>
      </c>
      <c r="P9" s="34">
        <f t="shared" si="13"/>
        <v>576728.52849566063</v>
      </c>
      <c r="Q9" s="42">
        <v>45434</v>
      </c>
      <c r="R9" s="24">
        <v>1730127</v>
      </c>
      <c r="S9" s="24">
        <v>1454053</v>
      </c>
      <c r="T9" s="68">
        <v>2165</v>
      </c>
      <c r="U9" s="24"/>
      <c r="V9" s="24">
        <f t="shared" si="0"/>
        <v>3186345</v>
      </c>
      <c r="W9" s="55">
        <f t="shared" si="14"/>
        <v>92543715</v>
      </c>
      <c r="Z9" s="23"/>
    </row>
    <row r="10" spans="1:26">
      <c r="A10" s="93">
        <f t="shared" si="3"/>
        <v>7</v>
      </c>
      <c r="B10" s="91">
        <f t="shared" si="4"/>
        <v>92543715.13583748</v>
      </c>
      <c r="C10" s="91">
        <f t="shared" si="5"/>
        <v>1693395.7474605995</v>
      </c>
      <c r="D10" s="91">
        <v>1481100</v>
      </c>
      <c r="E10" s="91">
        <f t="shared" si="6"/>
        <v>3176665.2564457608</v>
      </c>
      <c r="F10" s="91">
        <f t="shared" si="1"/>
        <v>91062615.13583748</v>
      </c>
      <c r="G10" s="92">
        <v>0.10706</v>
      </c>
      <c r="H10" s="92">
        <f t="shared" si="7"/>
        <v>0.1095</v>
      </c>
      <c r="I10" s="94">
        <f t="shared" si="8"/>
        <v>1.8046666666666666E-2</v>
      </c>
      <c r="J10" s="91">
        <f t="shared" si="2"/>
        <v>3162246.6725283577</v>
      </c>
      <c r="K10" s="95">
        <f t="shared" si="9"/>
        <v>41</v>
      </c>
      <c r="L10" s="96">
        <f t="shared" si="10"/>
        <v>20</v>
      </c>
      <c r="M10" s="96">
        <f t="shared" si="11"/>
        <v>6</v>
      </c>
      <c r="N10" s="96">
        <f t="shared" si="12"/>
        <v>2024</v>
      </c>
      <c r="O10" s="97">
        <f>+C10/30</f>
        <v>56446.524915353315</v>
      </c>
      <c r="P10" s="34">
        <f t="shared" si="13"/>
        <v>564465.24915353314</v>
      </c>
      <c r="Q10" s="42">
        <v>45467</v>
      </c>
      <c r="R10" s="24">
        <v>1693359</v>
      </c>
      <c r="S10" s="24">
        <v>1481100</v>
      </c>
      <c r="T10" s="68">
        <v>4230</v>
      </c>
      <c r="U10" s="24"/>
      <c r="V10" s="24">
        <f t="shared" ref="V10:V20" si="15">SUM(R10:U10)</f>
        <v>3178689</v>
      </c>
      <c r="W10" s="55">
        <f t="shared" si="14"/>
        <v>91062615</v>
      </c>
      <c r="Z10" s="23"/>
    </row>
    <row r="11" spans="1:26">
      <c r="A11" s="93">
        <f t="shared" si="3"/>
        <v>8</v>
      </c>
      <c r="B11" s="91">
        <f t="shared" si="4"/>
        <v>91062615.13583748</v>
      </c>
      <c r="C11" s="91">
        <f t="shared" si="5"/>
        <v>1643376.6611514136</v>
      </c>
      <c r="D11" s="91">
        <f t="shared" ref="D11:D16" si="16">+S11</f>
        <v>1522931</v>
      </c>
      <c r="E11" s="91">
        <f t="shared" si="6"/>
        <v>3162246.6725283577</v>
      </c>
      <c r="F11" s="91">
        <f t="shared" si="1"/>
        <v>89539684.13583748</v>
      </c>
      <c r="G11" s="92">
        <v>0.10212</v>
      </c>
      <c r="H11" s="92">
        <f t="shared" si="7"/>
        <v>0.1095</v>
      </c>
      <c r="I11" s="94">
        <f t="shared" si="8"/>
        <v>1.7635000000000001E-2</v>
      </c>
      <c r="J11" s="91">
        <f t="shared" si="2"/>
        <v>3138959.2968288488</v>
      </c>
      <c r="K11" s="95">
        <f t="shared" si="9"/>
        <v>40</v>
      </c>
      <c r="L11" s="96">
        <f t="shared" si="10"/>
        <v>20</v>
      </c>
      <c r="M11" s="96">
        <f t="shared" si="11"/>
        <v>7</v>
      </c>
      <c r="N11" s="96">
        <f t="shared" si="12"/>
        <v>2024</v>
      </c>
      <c r="O11" s="97">
        <f>1643302/30</f>
        <v>54776.73333333333</v>
      </c>
      <c r="P11" s="34">
        <f t="shared" si="13"/>
        <v>547767.33333333326</v>
      </c>
      <c r="Q11" s="42">
        <v>45497</v>
      </c>
      <c r="R11" s="24">
        <v>1652869</v>
      </c>
      <c r="S11" s="24">
        <v>1522931</v>
      </c>
      <c r="T11" s="68">
        <v>4200</v>
      </c>
      <c r="U11" s="24"/>
      <c r="V11" s="24">
        <f t="shared" si="15"/>
        <v>3180000</v>
      </c>
      <c r="W11" s="55">
        <f t="shared" si="14"/>
        <v>89539684</v>
      </c>
      <c r="Z11" s="23"/>
    </row>
    <row r="12" spans="1:26">
      <c r="A12" s="93">
        <f t="shared" si="3"/>
        <v>9</v>
      </c>
      <c r="B12" s="91">
        <f t="shared" si="4"/>
        <v>89539684.13583748</v>
      </c>
      <c r="C12" s="91">
        <f t="shared" si="5"/>
        <v>1579032.329735494</v>
      </c>
      <c r="D12" s="91">
        <f t="shared" si="16"/>
        <v>1554264</v>
      </c>
      <c r="E12" s="91">
        <f t="shared" si="6"/>
        <v>3138959.2968288488</v>
      </c>
      <c r="F12" s="91">
        <f t="shared" si="1"/>
        <v>87985420.13583748</v>
      </c>
      <c r="G12" s="92">
        <v>0.10088999999999999</v>
      </c>
      <c r="H12" s="92">
        <f t="shared" si="7"/>
        <v>0.1095</v>
      </c>
      <c r="I12" s="94">
        <f t="shared" si="8"/>
        <v>1.7532499999999999E-2</v>
      </c>
      <c r="J12" s="91">
        <f t="shared" si="2"/>
        <v>3133535.1399434535</v>
      </c>
      <c r="K12" s="95">
        <f t="shared" si="9"/>
        <v>39</v>
      </c>
      <c r="L12" s="96">
        <f t="shared" si="10"/>
        <v>20</v>
      </c>
      <c r="M12" s="96">
        <f t="shared" si="11"/>
        <v>8</v>
      </c>
      <c r="N12" s="96">
        <f t="shared" si="12"/>
        <v>2024</v>
      </c>
      <c r="O12" s="97">
        <f>1569466/30</f>
        <v>52315.533333333333</v>
      </c>
      <c r="P12" s="34">
        <f t="shared" si="13"/>
        <v>523155.33333333331</v>
      </c>
      <c r="Q12" s="42">
        <v>45530</v>
      </c>
      <c r="R12" s="24">
        <v>1569466</v>
      </c>
      <c r="S12" s="24">
        <v>1554264</v>
      </c>
      <c r="T12" s="68">
        <v>6270</v>
      </c>
      <c r="U12" s="24"/>
      <c r="V12" s="24">
        <f t="shared" si="15"/>
        <v>3130000</v>
      </c>
      <c r="W12" s="55">
        <f t="shared" si="14"/>
        <v>87985420</v>
      </c>
      <c r="Z12" s="23"/>
    </row>
    <row r="13" spans="1:26">
      <c r="A13" s="93">
        <f t="shared" si="3"/>
        <v>10</v>
      </c>
      <c r="B13" s="91">
        <f t="shared" si="4"/>
        <v>87985420.13583748</v>
      </c>
      <c r="C13" s="91">
        <f t="shared" si="5"/>
        <v>1542604.3785315705</v>
      </c>
      <c r="D13" s="91">
        <f t="shared" si="16"/>
        <v>1582811</v>
      </c>
      <c r="E13" s="91">
        <f t="shared" si="6"/>
        <v>3133535.1399434535</v>
      </c>
      <c r="F13" s="91">
        <f t="shared" si="1"/>
        <v>86402609.13583748</v>
      </c>
      <c r="G13" s="92">
        <v>9.7280000000000005E-2</v>
      </c>
      <c r="H13" s="92">
        <f t="shared" si="7"/>
        <v>0.1095</v>
      </c>
      <c r="I13" s="94">
        <f t="shared" si="8"/>
        <v>1.7231666666666669E-2</v>
      </c>
      <c r="J13" s="91">
        <f t="shared" si="2"/>
        <v>3117708.1642321232</v>
      </c>
      <c r="K13" s="95">
        <f t="shared" si="9"/>
        <v>38</v>
      </c>
      <c r="L13" s="96">
        <f t="shared" si="10"/>
        <v>20</v>
      </c>
      <c r="M13" s="96">
        <f t="shared" si="11"/>
        <v>9</v>
      </c>
      <c r="N13" s="96">
        <f t="shared" si="12"/>
        <v>2024</v>
      </c>
      <c r="O13" s="97">
        <f>+C13/30</f>
        <v>51420.145951052349</v>
      </c>
      <c r="P13" s="34">
        <f t="shared" si="13"/>
        <v>514201.45951052348</v>
      </c>
      <c r="Q13" s="42">
        <v>45568</v>
      </c>
      <c r="R13" s="24">
        <v>1743476</v>
      </c>
      <c r="S13" s="24">
        <v>1582811</v>
      </c>
      <c r="T13" s="68">
        <v>13792</v>
      </c>
      <c r="U13" s="24"/>
      <c r="V13" s="24">
        <f t="shared" si="15"/>
        <v>3340079</v>
      </c>
      <c r="W13" s="55">
        <f t="shared" si="14"/>
        <v>86402609</v>
      </c>
      <c r="Z13" s="23"/>
    </row>
    <row r="14" spans="1:26">
      <c r="A14" s="93">
        <f t="shared" si="3"/>
        <v>11</v>
      </c>
      <c r="B14" s="91">
        <f t="shared" si="4"/>
        <v>86402609.13583748</v>
      </c>
      <c r="C14" s="91">
        <f t="shared" si="5"/>
        <v>1488860.9597590398</v>
      </c>
      <c r="D14" s="91">
        <f t="shared" si="16"/>
        <v>1642269</v>
      </c>
      <c r="E14" s="91">
        <f t="shared" si="6"/>
        <v>3117708.1642321232</v>
      </c>
      <c r="F14" s="91">
        <f t="shared" si="1"/>
        <v>84760340.13583748</v>
      </c>
      <c r="G14" s="92">
        <v>9.3289999999999998E-2</v>
      </c>
      <c r="H14" s="92">
        <f t="shared" si="7"/>
        <v>0.1095</v>
      </c>
      <c r="I14" s="94">
        <f t="shared" si="8"/>
        <v>1.6899166666666667E-2</v>
      </c>
      <c r="J14" s="91">
        <f t="shared" si="2"/>
        <v>3099853.6245556399</v>
      </c>
      <c r="K14" s="95">
        <f t="shared" si="9"/>
        <v>37</v>
      </c>
      <c r="L14" s="96">
        <f t="shared" si="10"/>
        <v>20</v>
      </c>
      <c r="M14" s="96">
        <f t="shared" si="11"/>
        <v>10</v>
      </c>
      <c r="N14" s="96">
        <f t="shared" si="12"/>
        <v>2024</v>
      </c>
      <c r="O14" s="97">
        <f>+C14/30</f>
        <v>49628.698658634661</v>
      </c>
      <c r="P14" s="34">
        <f t="shared" ref="P14:P22" si="17">+O14*10</f>
        <v>496286.98658634664</v>
      </c>
      <c r="Q14" s="42">
        <v>45586</v>
      </c>
      <c r="R14" s="24">
        <v>1491392</v>
      </c>
      <c r="S14" s="24">
        <v>1642269</v>
      </c>
      <c r="T14" s="68">
        <v>1239</v>
      </c>
      <c r="U14" s="24"/>
      <c r="V14" s="24">
        <f t="shared" si="15"/>
        <v>3134900</v>
      </c>
      <c r="W14" s="55">
        <f t="shared" si="14"/>
        <v>84760340</v>
      </c>
      <c r="Z14" s="23"/>
    </row>
    <row r="15" spans="1:26">
      <c r="A15" s="93">
        <f t="shared" si="3"/>
        <v>12</v>
      </c>
      <c r="B15" s="91">
        <f t="shared" si="4"/>
        <v>84760340.13583748</v>
      </c>
      <c r="C15" s="91">
        <f>IF(A15=" "," ",+B15*I14)</f>
        <v>1432379.1146788734</v>
      </c>
      <c r="D15" s="91">
        <f t="shared" si="16"/>
        <v>1666408</v>
      </c>
      <c r="E15" s="91">
        <f t="shared" si="6"/>
        <v>3099853.6245556399</v>
      </c>
      <c r="F15" s="91">
        <f t="shared" si="1"/>
        <v>83093932.13583748</v>
      </c>
      <c r="G15" s="92">
        <v>9.2069999999999999E-2</v>
      </c>
      <c r="H15" s="92">
        <f t="shared" si="7"/>
        <v>0.1095</v>
      </c>
      <c r="I15" s="94">
        <f t="shared" si="8"/>
        <v>1.67975E-2</v>
      </c>
      <c r="J15" s="91">
        <f t="shared" si="2"/>
        <v>3094719.4448656295</v>
      </c>
      <c r="K15" s="95">
        <f t="shared" si="9"/>
        <v>36</v>
      </c>
      <c r="L15" s="96">
        <f t="shared" si="10"/>
        <v>20</v>
      </c>
      <c r="M15" s="96">
        <f t="shared" si="11"/>
        <v>11</v>
      </c>
      <c r="N15" s="96">
        <f t="shared" si="12"/>
        <v>2024</v>
      </c>
      <c r="O15" s="97">
        <f>+C15/30</f>
        <v>47745.970489295782</v>
      </c>
      <c r="P15" s="34">
        <f t="shared" si="17"/>
        <v>477459.70489295782</v>
      </c>
      <c r="Q15" s="42">
        <v>45617</v>
      </c>
      <c r="R15" s="24">
        <v>1429612</v>
      </c>
      <c r="S15" s="24">
        <v>1666408</v>
      </c>
      <c r="T15" s="68">
        <v>1067</v>
      </c>
      <c r="U15" s="24"/>
      <c r="V15" s="24">
        <f t="shared" si="15"/>
        <v>3097087</v>
      </c>
      <c r="W15" s="55">
        <f t="shared" si="14"/>
        <v>83093932</v>
      </c>
      <c r="Z15" s="23"/>
    </row>
    <row r="16" spans="1:26" ht="14.45" customHeight="1">
      <c r="A16" s="93">
        <f t="shared" si="3"/>
        <v>13</v>
      </c>
      <c r="B16" s="91">
        <f t="shared" si="4"/>
        <v>83093932.13583748</v>
      </c>
      <c r="C16" s="91">
        <f t="shared" si="5"/>
        <v>1395770.32505173</v>
      </c>
      <c r="D16" s="91">
        <f t="shared" si="16"/>
        <v>1696900</v>
      </c>
      <c r="E16" s="91">
        <f t="shared" si="6"/>
        <v>3094719.4448656295</v>
      </c>
      <c r="F16" s="91">
        <f t="shared" si="1"/>
        <v>81397032.13583748</v>
      </c>
      <c r="G16" s="92">
        <v>8.77E-2</v>
      </c>
      <c r="H16" s="92">
        <f t="shared" si="7"/>
        <v>0.1095</v>
      </c>
      <c r="I16" s="94">
        <f t="shared" si="8"/>
        <v>1.6433333333333331E-2</v>
      </c>
      <c r="J16" s="91">
        <f t="shared" si="2"/>
        <v>3076748.4808694087</v>
      </c>
      <c r="K16" s="95">
        <f t="shared" si="9"/>
        <v>35</v>
      </c>
      <c r="L16" s="96">
        <f t="shared" si="10"/>
        <v>20</v>
      </c>
      <c r="M16" s="96">
        <f t="shared" si="11"/>
        <v>12</v>
      </c>
      <c r="N16" s="96">
        <f t="shared" si="12"/>
        <v>2024</v>
      </c>
      <c r="O16" s="97">
        <f>1440731/30</f>
        <v>48024.366666666669</v>
      </c>
      <c r="P16" s="34">
        <f t="shared" si="17"/>
        <v>480243.66666666669</v>
      </c>
      <c r="Q16" s="42">
        <v>45649</v>
      </c>
      <c r="R16" s="24">
        <v>1440731</v>
      </c>
      <c r="S16" s="24">
        <v>1696900</v>
      </c>
      <c r="T16" s="68">
        <v>3116</v>
      </c>
      <c r="U16" s="24"/>
      <c r="V16" s="24">
        <f t="shared" si="15"/>
        <v>3140747</v>
      </c>
      <c r="W16" s="55">
        <f t="shared" si="14"/>
        <v>81397032</v>
      </c>
      <c r="Z16" s="23"/>
    </row>
    <row r="17" spans="1:26">
      <c r="A17" s="93">
        <f t="shared" si="3"/>
        <v>14</v>
      </c>
      <c r="B17" s="91">
        <f t="shared" si="4"/>
        <v>81397032.13583748</v>
      </c>
      <c r="C17" s="91">
        <f t="shared" si="5"/>
        <v>1337624.5614322624</v>
      </c>
      <c r="D17" s="91">
        <f>+S17</f>
        <v>1734156</v>
      </c>
      <c r="E17" s="91">
        <f t="shared" si="6"/>
        <v>3076748.4808694087</v>
      </c>
      <c r="F17" s="91">
        <f t="shared" si="1"/>
        <v>79662876.13583748</v>
      </c>
      <c r="G17" s="92">
        <v>8.9050000000000004E-2</v>
      </c>
      <c r="H17" s="92">
        <f t="shared" si="7"/>
        <v>0.1095</v>
      </c>
      <c r="I17" s="94">
        <f t="shared" si="8"/>
        <v>1.6545833333333333E-2</v>
      </c>
      <c r="J17" s="91">
        <f t="shared" si="2"/>
        <v>3082371.2824153504</v>
      </c>
      <c r="K17" s="95">
        <f t="shared" si="9"/>
        <v>34</v>
      </c>
      <c r="L17" s="96">
        <f t="shared" si="10"/>
        <v>20</v>
      </c>
      <c r="M17" s="96">
        <f t="shared" si="11"/>
        <v>1</v>
      </c>
      <c r="N17" s="96">
        <f t="shared" si="12"/>
        <v>2025</v>
      </c>
      <c r="O17" s="97">
        <f>1337574/30</f>
        <v>44585.8</v>
      </c>
      <c r="P17" s="34">
        <f t="shared" si="17"/>
        <v>445858</v>
      </c>
      <c r="Q17" s="42">
        <v>45685</v>
      </c>
      <c r="R17" s="24">
        <v>1337547</v>
      </c>
      <c r="S17" s="24">
        <v>1734156</v>
      </c>
      <c r="T17" s="68">
        <v>8053</v>
      </c>
      <c r="U17" s="24"/>
      <c r="V17" s="24">
        <f t="shared" si="15"/>
        <v>3079756</v>
      </c>
      <c r="W17" s="55">
        <f t="shared" si="14"/>
        <v>79662876</v>
      </c>
      <c r="Z17" s="23"/>
    </row>
    <row r="18" spans="1:26">
      <c r="A18" s="93">
        <f t="shared" si="3"/>
        <v>15</v>
      </c>
      <c r="B18" s="91">
        <f t="shared" si="4"/>
        <v>79662876.13583748</v>
      </c>
      <c r="C18" s="91">
        <f t="shared" si="5"/>
        <v>1318088.6713975442</v>
      </c>
      <c r="D18" s="91">
        <f>+S18</f>
        <v>1758103</v>
      </c>
      <c r="E18" s="91">
        <f t="shared" si="6"/>
        <v>3082371.2824153504</v>
      </c>
      <c r="F18" s="91">
        <f t="shared" si="1"/>
        <v>77904773.13583748</v>
      </c>
      <c r="G18" s="92">
        <v>8.9749999999999996E-2</v>
      </c>
      <c r="H18" s="92">
        <f t="shared" si="7"/>
        <v>0.1095</v>
      </c>
      <c r="I18" s="94">
        <f t="shared" si="8"/>
        <v>1.6604166666666666E-2</v>
      </c>
      <c r="J18" s="91">
        <f t="shared" si="2"/>
        <v>3085361.7488486515</v>
      </c>
      <c r="K18" s="95">
        <f t="shared" si="9"/>
        <v>33</v>
      </c>
      <c r="L18" s="96">
        <f t="shared" si="10"/>
        <v>20</v>
      </c>
      <c r="M18" s="96">
        <f t="shared" si="11"/>
        <v>2</v>
      </c>
      <c r="N18" s="96">
        <f t="shared" si="12"/>
        <v>2025</v>
      </c>
      <c r="O18" s="97">
        <f>1317956/30</f>
        <v>43931.866666666669</v>
      </c>
      <c r="P18" s="34">
        <f t="shared" si="17"/>
        <v>439318.66666666669</v>
      </c>
      <c r="Q18" s="42">
        <v>45720</v>
      </c>
      <c r="R18" s="24">
        <v>1317956</v>
      </c>
      <c r="S18" s="24">
        <v>1758103</v>
      </c>
      <c r="T18" s="68">
        <v>14141</v>
      </c>
      <c r="U18" s="24"/>
      <c r="V18" s="24">
        <f t="shared" si="15"/>
        <v>3090200</v>
      </c>
      <c r="W18" s="55">
        <f t="shared" si="14"/>
        <v>77904773</v>
      </c>
      <c r="Z18" s="23"/>
    </row>
    <row r="19" spans="1:26">
      <c r="A19" s="93">
        <f t="shared" si="3"/>
        <v>16</v>
      </c>
      <c r="B19" s="91">
        <f t="shared" si="4"/>
        <v>77904773.13583748</v>
      </c>
      <c r="C19" s="91">
        <f t="shared" si="5"/>
        <v>1293543.8372763016</v>
      </c>
      <c r="D19" s="91">
        <f>+S19</f>
        <v>1791818</v>
      </c>
      <c r="E19" s="91">
        <f t="shared" si="6"/>
        <v>3085361.7488486515</v>
      </c>
      <c r="F19" s="91">
        <f t="shared" si="1"/>
        <v>76112955.13583748</v>
      </c>
      <c r="G19" s="92">
        <v>8.9510000000000006E-2</v>
      </c>
      <c r="H19" s="92">
        <f t="shared" si="7"/>
        <v>0.1095</v>
      </c>
      <c r="I19" s="94">
        <f t="shared" si="8"/>
        <v>1.6584166666666667E-2</v>
      </c>
      <c r="J19" s="91">
        <f t="shared" si="2"/>
        <v>3084445.1051570829</v>
      </c>
      <c r="K19" s="95">
        <f t="shared" si="9"/>
        <v>32</v>
      </c>
      <c r="L19" s="96">
        <f t="shared" si="10"/>
        <v>20</v>
      </c>
      <c r="M19" s="96">
        <f t="shared" si="11"/>
        <v>3</v>
      </c>
      <c r="N19" s="96">
        <f t="shared" si="12"/>
        <v>2025</v>
      </c>
      <c r="O19" s="97">
        <f>+C19/30</f>
        <v>43118.127909210052</v>
      </c>
      <c r="P19" s="34">
        <f t="shared" si="17"/>
        <v>431181.27909210051</v>
      </c>
      <c r="Q19" s="42">
        <v>45747</v>
      </c>
      <c r="R19" s="24">
        <v>1293544</v>
      </c>
      <c r="S19" s="24">
        <f>1781517+10301</f>
        <v>1791818</v>
      </c>
      <c r="T19" s="100">
        <v>10301</v>
      </c>
      <c r="U19" s="24"/>
      <c r="V19" s="24">
        <f t="shared" si="15"/>
        <v>3095663</v>
      </c>
      <c r="W19" s="55">
        <f t="shared" si="14"/>
        <v>76112955</v>
      </c>
      <c r="Z19" s="23"/>
    </row>
    <row r="20" spans="1:26" ht="14.45" customHeight="1">
      <c r="A20" s="93">
        <f t="shared" si="3"/>
        <v>17</v>
      </c>
      <c r="B20" s="91">
        <f t="shared" si="4"/>
        <v>76112955.13583748</v>
      </c>
      <c r="C20" s="91">
        <f t="shared" si="5"/>
        <v>1262269.9334652515</v>
      </c>
      <c r="D20" s="91">
        <v>1822175</v>
      </c>
      <c r="E20" s="91">
        <f t="shared" si="6"/>
        <v>3084445.1051570829</v>
      </c>
      <c r="F20" s="91">
        <f t="shared" si="1"/>
        <v>74290780.13583748</v>
      </c>
      <c r="G20" s="92">
        <v>8.9520000000000002E-2</v>
      </c>
      <c r="H20" s="92">
        <f t="shared" si="7"/>
        <v>0.1095</v>
      </c>
      <c r="I20" s="94">
        <f t="shared" si="8"/>
        <v>1.6584999999999999E-2</v>
      </c>
      <c r="J20" s="91">
        <f t="shared" si="2"/>
        <v>3084482.2547254139</v>
      </c>
      <c r="K20" s="95">
        <f t="shared" si="9"/>
        <v>31</v>
      </c>
      <c r="L20" s="96">
        <f t="shared" si="10"/>
        <v>20</v>
      </c>
      <c r="M20" s="96">
        <f t="shared" si="11"/>
        <v>4</v>
      </c>
      <c r="N20" s="96">
        <f t="shared" si="12"/>
        <v>2025</v>
      </c>
      <c r="O20" s="97">
        <f>+C20/30</f>
        <v>42075.664448841715</v>
      </c>
      <c r="P20" s="34">
        <f t="shared" si="17"/>
        <v>420756.64448841714</v>
      </c>
      <c r="Q20" s="119">
        <v>45803</v>
      </c>
      <c r="R20" s="117">
        <v>2547499</v>
      </c>
      <c r="S20" s="117">
        <v>3684845</v>
      </c>
      <c r="T20" s="121">
        <v>46253</v>
      </c>
      <c r="U20" s="43"/>
      <c r="V20" s="24">
        <f t="shared" si="15"/>
        <v>6278597</v>
      </c>
      <c r="W20" s="55">
        <f>+W19-S20</f>
        <v>72428110</v>
      </c>
      <c r="Z20" s="23"/>
    </row>
    <row r="21" spans="1:26" ht="14.45" customHeight="1">
      <c r="A21" s="93">
        <f t="shared" si="3"/>
        <v>18</v>
      </c>
      <c r="B21" s="91">
        <f t="shared" si="4"/>
        <v>74290780.13583748</v>
      </c>
      <c r="C21" s="91">
        <f t="shared" si="5"/>
        <v>1232112.5885528645</v>
      </c>
      <c r="D21" s="91">
        <v>1852369</v>
      </c>
      <c r="E21" s="91">
        <f t="shared" si="6"/>
        <v>3084482.2547254139</v>
      </c>
      <c r="F21" s="91">
        <f t="shared" si="1"/>
        <v>72438411.13583748</v>
      </c>
      <c r="G21" s="92">
        <v>8.7590000000000001E-2</v>
      </c>
      <c r="H21" s="92">
        <f t="shared" si="7"/>
        <v>0.1095</v>
      </c>
      <c r="I21" s="94">
        <f t="shared" si="8"/>
        <v>1.6424166666666667E-2</v>
      </c>
      <c r="J21" s="91">
        <f t="shared" si="2"/>
        <v>3077521.7569606923</v>
      </c>
      <c r="K21" s="95">
        <f t="shared" si="9"/>
        <v>30</v>
      </c>
      <c r="L21" s="96">
        <f t="shared" si="10"/>
        <v>20</v>
      </c>
      <c r="M21" s="96">
        <f t="shared" si="11"/>
        <v>5</v>
      </c>
      <c r="N21" s="96">
        <f t="shared" si="12"/>
        <v>2025</v>
      </c>
      <c r="O21" s="97">
        <f>+C21/30</f>
        <v>41070.419618428816</v>
      </c>
      <c r="P21" s="34">
        <f t="shared" si="17"/>
        <v>410704.19618428813</v>
      </c>
      <c r="Q21" s="120"/>
      <c r="R21" s="118"/>
      <c r="S21" s="118"/>
      <c r="T21" s="122"/>
      <c r="U21" s="43"/>
      <c r="V21" s="43"/>
      <c r="W21" s="43"/>
      <c r="Z21" s="23"/>
    </row>
    <row r="22" spans="1:26">
      <c r="A22" s="93">
        <f t="shared" si="3"/>
        <v>19</v>
      </c>
      <c r="B22" s="91">
        <f t="shared" si="4"/>
        <v>72438411.13583748</v>
      </c>
      <c r="C22" s="91">
        <f t="shared" si="5"/>
        <v>1189740.5375635175</v>
      </c>
      <c r="D22" s="91">
        <f>1864785+22997</f>
        <v>1887782</v>
      </c>
      <c r="E22" s="91">
        <f t="shared" si="6"/>
        <v>3077521.7569606923</v>
      </c>
      <c r="F22" s="91">
        <f t="shared" si="1"/>
        <v>70550629.13583748</v>
      </c>
      <c r="G22" s="92">
        <v>8.7379999999999999E-2</v>
      </c>
      <c r="H22" s="92">
        <f t="shared" si="7"/>
        <v>0.1095</v>
      </c>
      <c r="I22" s="94">
        <f t="shared" si="8"/>
        <v>1.6406666666666667E-2</v>
      </c>
      <c r="J22" s="91">
        <f t="shared" si="2"/>
        <v>3076787.1763822911</v>
      </c>
      <c r="K22" s="95">
        <f t="shared" si="9"/>
        <v>29</v>
      </c>
      <c r="L22" s="96">
        <f t="shared" si="10"/>
        <v>20</v>
      </c>
      <c r="M22" s="96">
        <f t="shared" si="11"/>
        <v>6</v>
      </c>
      <c r="N22" s="96">
        <f t="shared" si="12"/>
        <v>2025</v>
      </c>
      <c r="O22" s="97">
        <f>+C22/30</f>
        <v>39658.017918783917</v>
      </c>
      <c r="P22" s="34">
        <f t="shared" si="17"/>
        <v>396580.17918783915</v>
      </c>
      <c r="Q22" s="42">
        <v>45849</v>
      </c>
      <c r="R22" s="24">
        <v>1136624</v>
      </c>
      <c r="S22" s="24">
        <v>1864785</v>
      </c>
      <c r="T22" s="100">
        <v>22997</v>
      </c>
      <c r="U22" s="24"/>
      <c r="V22" s="24">
        <f t="shared" ref="V22:V33" si="18">SUM(R22:U22)</f>
        <v>3024406</v>
      </c>
      <c r="W22" s="24">
        <f>+W20-S22</f>
        <v>70563325</v>
      </c>
      <c r="Z22" s="23"/>
    </row>
    <row r="23" spans="1:26" ht="14.1" customHeight="1">
      <c r="A23" s="11">
        <f t="shared" si="3"/>
        <v>20</v>
      </c>
      <c r="B23" s="61">
        <f t="shared" si="4"/>
        <v>70550629.13583748</v>
      </c>
      <c r="C23" s="61">
        <f t="shared" si="5"/>
        <v>1157500.655355307</v>
      </c>
      <c r="D23" s="61">
        <f>1891242+28044</f>
        <v>1919286</v>
      </c>
      <c r="E23" s="61">
        <f t="shared" si="6"/>
        <v>3076787.1763822911</v>
      </c>
      <c r="F23" s="61">
        <f t="shared" si="1"/>
        <v>68631343.13583748</v>
      </c>
      <c r="G23" s="62">
        <v>8.6800000000000002E-2</v>
      </c>
      <c r="H23" s="62">
        <f t="shared" si="7"/>
        <v>0.1095</v>
      </c>
      <c r="I23" s="107">
        <f t="shared" si="8"/>
        <v>1.6358333333333332E-2</v>
      </c>
      <c r="J23" s="61">
        <f t="shared" si="2"/>
        <v>3074820.8730386174</v>
      </c>
      <c r="K23" s="108">
        <f t="shared" si="9"/>
        <v>28</v>
      </c>
      <c r="L23">
        <f t="shared" si="10"/>
        <v>20</v>
      </c>
      <c r="M23">
        <f t="shared" si="11"/>
        <v>7</v>
      </c>
      <c r="N23">
        <f t="shared" si="12"/>
        <v>2025</v>
      </c>
      <c r="O23" s="22">
        <f>1157501/30</f>
        <v>38583.366666666669</v>
      </c>
      <c r="P23" s="34">
        <f t="shared" ref="P23:P30" si="19">+O23*10</f>
        <v>385833.66666666669</v>
      </c>
      <c r="Q23" s="42">
        <v>45884</v>
      </c>
      <c r="R23" s="24">
        <v>1157501</v>
      </c>
      <c r="S23" s="24">
        <v>1914239</v>
      </c>
      <c r="T23" s="100">
        <v>28308</v>
      </c>
      <c r="U23" s="24"/>
      <c r="V23" s="24">
        <f t="shared" si="18"/>
        <v>3100048</v>
      </c>
      <c r="W23" s="24">
        <f>+W22-S23</f>
        <v>68649086</v>
      </c>
      <c r="Z23" s="23"/>
    </row>
    <row r="24" spans="1:26">
      <c r="A24" s="11">
        <f t="shared" si="3"/>
        <v>21</v>
      </c>
      <c r="B24" s="61">
        <f t="shared" si="4"/>
        <v>68631343.13583748</v>
      </c>
      <c r="C24" s="61">
        <f t="shared" si="5"/>
        <v>1122694.388130408</v>
      </c>
      <c r="D24" s="61">
        <f>1927978+24149</f>
        <v>1952127</v>
      </c>
      <c r="E24" s="61">
        <f t="shared" si="6"/>
        <v>3074820.8730386174</v>
      </c>
      <c r="F24" s="61">
        <f t="shared" si="1"/>
        <v>66679216.13583748</v>
      </c>
      <c r="G24" s="92">
        <v>8.7580000000000005E-2</v>
      </c>
      <c r="H24" s="62">
        <f t="shared" si="7"/>
        <v>0.1095</v>
      </c>
      <c r="I24" s="107">
        <f t="shared" si="8"/>
        <v>1.6423333333333335E-2</v>
      </c>
      <c r="J24" s="61">
        <f t="shared" si="2"/>
        <v>3077381.5500517809</v>
      </c>
      <c r="K24" s="108">
        <f t="shared" si="9"/>
        <v>27</v>
      </c>
      <c r="L24">
        <f t="shared" si="10"/>
        <v>20</v>
      </c>
      <c r="M24">
        <f t="shared" si="11"/>
        <v>8</v>
      </c>
      <c r="N24">
        <f t="shared" si="12"/>
        <v>2025</v>
      </c>
      <c r="O24" s="22">
        <f>1122694/30</f>
        <v>37423.133333333331</v>
      </c>
      <c r="P24" s="34">
        <f t="shared" si="19"/>
        <v>374231.33333333331</v>
      </c>
      <c r="Q24" s="42">
        <v>45917</v>
      </c>
      <c r="R24" s="24">
        <v>1122694</v>
      </c>
      <c r="S24" s="24">
        <v>1956022</v>
      </c>
      <c r="T24" s="100">
        <v>31284</v>
      </c>
      <c r="U24" s="24"/>
      <c r="V24" s="24">
        <f t="shared" si="18"/>
        <v>3110000</v>
      </c>
      <c r="W24" s="24">
        <f>+W23-S24</f>
        <v>66693064</v>
      </c>
      <c r="X24" s="24"/>
      <c r="Y24" s="24"/>
      <c r="Z24" s="23"/>
    </row>
    <row r="25" spans="1:26">
      <c r="A25" s="11">
        <f t="shared" si="3"/>
        <v>22</v>
      </c>
      <c r="B25" s="61">
        <f t="shared" si="4"/>
        <v>66679216.13583748</v>
      </c>
      <c r="C25" s="61">
        <f t="shared" si="5"/>
        <v>1095094.9930042378</v>
      </c>
      <c r="D25" s="61">
        <f>1980003+2284</f>
        <v>1982287</v>
      </c>
      <c r="E25" s="61">
        <f t="shared" si="6"/>
        <v>3077381.5500517809</v>
      </c>
      <c r="F25" s="91">
        <f t="shared" si="1"/>
        <v>64696929.13583748</v>
      </c>
      <c r="G25" s="92">
        <v>8.745E-2</v>
      </c>
      <c r="H25" s="62">
        <f t="shared" si="7"/>
        <v>0.1095</v>
      </c>
      <c r="I25" s="107">
        <f t="shared" si="8"/>
        <v>1.64125E-2</v>
      </c>
      <c r="J25" s="61">
        <f t="shared" si="2"/>
        <v>3076968.714813666</v>
      </c>
      <c r="K25" s="108">
        <f t="shared" si="9"/>
        <v>26</v>
      </c>
      <c r="L25">
        <f t="shared" si="10"/>
        <v>20</v>
      </c>
      <c r="M25">
        <f t="shared" si="11"/>
        <v>9</v>
      </c>
      <c r="N25">
        <f t="shared" si="12"/>
        <v>2025</v>
      </c>
      <c r="O25" s="22">
        <f>1095095/30</f>
        <v>36503.166666666664</v>
      </c>
      <c r="P25" s="34">
        <f t="shared" si="19"/>
        <v>365031.66666666663</v>
      </c>
      <c r="Q25" s="42">
        <v>45952</v>
      </c>
      <c r="R25" s="24">
        <v>1095095</v>
      </c>
      <c r="S25" s="24">
        <v>2004152</v>
      </c>
      <c r="T25" s="68">
        <v>36753</v>
      </c>
      <c r="U25" s="24"/>
      <c r="V25" s="24">
        <f t="shared" si="18"/>
        <v>3136000</v>
      </c>
      <c r="W25" s="24">
        <f>+W24-S25</f>
        <v>64688912</v>
      </c>
      <c r="Z25" s="23"/>
    </row>
    <row r="26" spans="1:26">
      <c r="A26" s="109">
        <f t="shared" si="3"/>
        <v>23</v>
      </c>
      <c r="B26" s="60">
        <f t="shared" si="4"/>
        <v>64696929.13583748</v>
      </c>
      <c r="C26" s="60">
        <f t="shared" si="5"/>
        <v>1061838.3494419327</v>
      </c>
      <c r="D26" s="60">
        <f>2013186+1945</f>
        <v>2015131</v>
      </c>
      <c r="E26" s="60">
        <f t="shared" si="6"/>
        <v>3076968.714813666</v>
      </c>
      <c r="F26" s="60">
        <f t="shared" si="1"/>
        <v>62681798.13583748</v>
      </c>
      <c r="G26" s="110">
        <v>8.7569999999999995E-2</v>
      </c>
      <c r="H26" s="111">
        <f t="shared" si="7"/>
        <v>0.1095</v>
      </c>
      <c r="I26" s="112">
        <f t="shared" si="8"/>
        <v>1.64225E-2</v>
      </c>
      <c r="J26" s="60">
        <f t="shared" si="2"/>
        <v>3077336.6869732081</v>
      </c>
      <c r="K26" s="113">
        <f t="shared" si="9"/>
        <v>25</v>
      </c>
      <c r="L26" s="5">
        <f t="shared" si="10"/>
        <v>20</v>
      </c>
      <c r="M26" s="5">
        <f t="shared" si="11"/>
        <v>10</v>
      </c>
      <c r="N26" s="5">
        <f t="shared" si="12"/>
        <v>2025</v>
      </c>
      <c r="O26" s="22">
        <f>1061838/30</f>
        <v>35394.6</v>
      </c>
      <c r="P26" s="34">
        <f t="shared" si="19"/>
        <v>353946</v>
      </c>
      <c r="Q26" s="42">
        <v>45981</v>
      </c>
      <c r="R26" s="24">
        <v>1061838</v>
      </c>
      <c r="S26" s="24">
        <v>2015470</v>
      </c>
      <c r="T26" s="68">
        <v>34692</v>
      </c>
      <c r="U26" s="24"/>
      <c r="V26" s="24">
        <f t="shared" si="18"/>
        <v>3112000</v>
      </c>
      <c r="W26" s="24">
        <f>+W25-S26</f>
        <v>62673442</v>
      </c>
      <c r="Z26" s="23"/>
    </row>
    <row r="27" spans="1:26">
      <c r="A27" s="11">
        <f t="shared" si="3"/>
        <v>24</v>
      </c>
      <c r="B27" s="61">
        <f t="shared" si="4"/>
        <v>62681798.13583748</v>
      </c>
      <c r="C27" s="61">
        <f t="shared" si="5"/>
        <v>1029391.8298857909</v>
      </c>
      <c r="D27" s="61">
        <v>2047945</v>
      </c>
      <c r="E27" s="61">
        <f t="shared" si="6"/>
        <v>3077336.6869732081</v>
      </c>
      <c r="F27" s="61">
        <f t="shared" si="1"/>
        <v>60633853.13583748</v>
      </c>
      <c r="G27" s="115">
        <v>8.7620000000000003E-2</v>
      </c>
      <c r="H27" s="62">
        <f t="shared" si="7"/>
        <v>0.1095</v>
      </c>
      <c r="I27" s="107">
        <f t="shared" si="8"/>
        <v>1.6426666666666669E-2</v>
      </c>
      <c r="J27" s="61">
        <f t="shared" si="2"/>
        <v>3077484.5487803547</v>
      </c>
      <c r="K27" s="108">
        <f t="shared" si="9"/>
        <v>24</v>
      </c>
      <c r="L27">
        <f t="shared" si="10"/>
        <v>20</v>
      </c>
      <c r="M27">
        <f t="shared" si="11"/>
        <v>11</v>
      </c>
      <c r="N27">
        <f t="shared" si="12"/>
        <v>2025</v>
      </c>
      <c r="O27" s="22">
        <f>1029392/30</f>
        <v>34313.066666666666</v>
      </c>
      <c r="P27" s="34">
        <f t="shared" si="19"/>
        <v>343130.66666666663</v>
      </c>
      <c r="Q27" s="42">
        <v>46030</v>
      </c>
      <c r="R27" s="24">
        <v>1071991</v>
      </c>
      <c r="S27" s="24">
        <v>2049890</v>
      </c>
      <c r="T27" s="68">
        <v>78119</v>
      </c>
      <c r="U27" s="24"/>
      <c r="V27" s="24">
        <f t="shared" si="18"/>
        <v>3200000</v>
      </c>
      <c r="W27" s="24">
        <f t="shared" ref="W27:W31" si="20">+W26-S27</f>
        <v>60623552</v>
      </c>
      <c r="Z27" s="23"/>
    </row>
    <row r="28" spans="1:26">
      <c r="A28" s="109">
        <f t="shared" si="3"/>
        <v>25</v>
      </c>
      <c r="B28" s="60">
        <f t="shared" si="4"/>
        <v>60633853.13583748</v>
      </c>
      <c r="C28" s="60">
        <f t="shared" si="5"/>
        <v>996012.09417802386</v>
      </c>
      <c r="D28" s="60">
        <v>2081473</v>
      </c>
      <c r="E28" s="60">
        <f t="shared" si="6"/>
        <v>3077484.5487803547</v>
      </c>
      <c r="F28" s="60">
        <f t="shared" si="1"/>
        <v>58552380.13583748</v>
      </c>
      <c r="G28" s="116">
        <v>8.8730000000000003E-2</v>
      </c>
      <c r="H28" s="111">
        <f t="shared" si="7"/>
        <v>0.1095</v>
      </c>
      <c r="I28" s="112">
        <f t="shared" si="8"/>
        <v>1.6519166666666668E-2</v>
      </c>
      <c r="J28" s="60">
        <f t="shared" si="2"/>
        <v>3080645.9324075961</v>
      </c>
      <c r="K28" s="113">
        <f t="shared" si="9"/>
        <v>23</v>
      </c>
      <c r="L28" s="5">
        <f t="shared" si="10"/>
        <v>20</v>
      </c>
      <c r="M28" s="5">
        <f t="shared" si="11"/>
        <v>12</v>
      </c>
      <c r="N28" s="5">
        <f t="shared" si="12"/>
        <v>2025</v>
      </c>
      <c r="O28" s="22">
        <f>996012/30</f>
        <v>33200.400000000001</v>
      </c>
      <c r="P28" s="34">
        <f t="shared" si="19"/>
        <v>332004</v>
      </c>
      <c r="Q28" s="42">
        <v>46050</v>
      </c>
      <c r="R28" s="24">
        <v>953413</v>
      </c>
      <c r="S28" s="24">
        <v>2081473</v>
      </c>
      <c r="T28" s="68">
        <v>35114</v>
      </c>
      <c r="U28" s="43"/>
      <c r="V28" s="24">
        <f t="shared" si="18"/>
        <v>3070000</v>
      </c>
      <c r="W28" s="24">
        <f t="shared" si="20"/>
        <v>58542079</v>
      </c>
      <c r="Z28" s="23"/>
    </row>
    <row r="29" spans="1:26">
      <c r="A29" s="11">
        <f t="shared" si="3"/>
        <v>26</v>
      </c>
      <c r="B29" s="61">
        <f t="shared" si="4"/>
        <v>58552380.13583748</v>
      </c>
      <c r="C29" s="61">
        <f t="shared" si="5"/>
        <v>967236.52619392204</v>
      </c>
      <c r="D29" s="61">
        <f>+S29+14714</f>
        <v>2113409</v>
      </c>
      <c r="E29" s="61">
        <f t="shared" si="6"/>
        <v>3080645.9324075961</v>
      </c>
      <c r="F29" s="61">
        <f t="shared" si="1"/>
        <v>56438971.13583748</v>
      </c>
      <c r="G29" s="115">
        <v>9.0770000000000003E-2</v>
      </c>
      <c r="H29" s="62">
        <f t="shared" si="7"/>
        <v>0.1095</v>
      </c>
      <c r="I29" s="107">
        <f t="shared" si="8"/>
        <v>1.6689166666666668E-2</v>
      </c>
      <c r="J29" s="61">
        <f t="shared" si="2"/>
        <v>3086234.5979601871</v>
      </c>
      <c r="K29" s="108">
        <f t="shared" si="9"/>
        <v>22</v>
      </c>
      <c r="L29">
        <f t="shared" si="10"/>
        <v>20</v>
      </c>
      <c r="M29">
        <f t="shared" si="11"/>
        <v>1</v>
      </c>
      <c r="N29">
        <f t="shared" si="12"/>
        <v>2026</v>
      </c>
      <c r="O29" s="22">
        <f>967237/30</f>
        <v>32241.233333333334</v>
      </c>
      <c r="P29" s="34">
        <f t="shared" si="19"/>
        <v>322412.33333333331</v>
      </c>
      <c r="Q29" s="42">
        <v>46071</v>
      </c>
      <c r="R29" s="24">
        <v>967237</v>
      </c>
      <c r="S29" s="24">
        <v>2098695</v>
      </c>
      <c r="T29" s="68">
        <v>34068</v>
      </c>
      <c r="U29" s="24"/>
      <c r="V29" s="24">
        <f t="shared" si="18"/>
        <v>3100000</v>
      </c>
      <c r="W29" s="24">
        <f t="shared" si="20"/>
        <v>56443384</v>
      </c>
      <c r="Z29" s="23"/>
    </row>
    <row r="30" spans="1:26">
      <c r="A30" s="11">
        <f t="shared" si="3"/>
        <v>27</v>
      </c>
      <c r="B30" s="35">
        <f t="shared" si="4"/>
        <v>56438971.13583748</v>
      </c>
      <c r="C30" s="35">
        <f t="shared" si="5"/>
        <v>941919.39578118105</v>
      </c>
      <c r="D30" s="35">
        <v>2144316</v>
      </c>
      <c r="E30" s="35">
        <f t="shared" si="6"/>
        <v>3086234.5979601871</v>
      </c>
      <c r="F30" s="35">
        <f t="shared" si="1"/>
        <v>54294655.13583748</v>
      </c>
      <c r="G30" s="115">
        <v>9.6619999999999998E-2</v>
      </c>
      <c r="H30" s="36">
        <f t="shared" si="7"/>
        <v>0.1095</v>
      </c>
      <c r="I30" s="37">
        <f t="shared" si="8"/>
        <v>1.7176666666666666E-2</v>
      </c>
      <c r="J30" s="35">
        <f t="shared" si="2"/>
        <v>3101638.2304415274</v>
      </c>
      <c r="K30" s="108">
        <f t="shared" si="9"/>
        <v>21</v>
      </c>
      <c r="L30">
        <f t="shared" si="10"/>
        <v>20</v>
      </c>
      <c r="M30">
        <f t="shared" si="11"/>
        <v>2</v>
      </c>
      <c r="N30">
        <f t="shared" si="12"/>
        <v>2026</v>
      </c>
      <c r="O30" s="22">
        <f>941919/30</f>
        <v>31397.3</v>
      </c>
      <c r="P30" s="34">
        <f t="shared" si="19"/>
        <v>313973</v>
      </c>
      <c r="Q30" s="42">
        <v>46111</v>
      </c>
      <c r="R30" s="24">
        <v>967129</v>
      </c>
      <c r="S30" s="24">
        <v>2159030</v>
      </c>
      <c r="T30" s="68">
        <v>63841</v>
      </c>
      <c r="U30" s="24"/>
      <c r="V30" s="24">
        <f t="shared" si="18"/>
        <v>3190000</v>
      </c>
      <c r="W30" s="24">
        <f>+W29-S30</f>
        <v>54284354</v>
      </c>
      <c r="Z30" s="23"/>
    </row>
    <row r="31" spans="1:26" ht="15">
      <c r="A31" s="11">
        <f t="shared" si="3"/>
        <v>28</v>
      </c>
      <c r="B31" s="35">
        <f t="shared" si="4"/>
        <v>54294655.13583748</v>
      </c>
      <c r="C31" s="35">
        <f t="shared" si="5"/>
        <v>932601.19304990175</v>
      </c>
      <c r="D31" s="35">
        <v>2169037</v>
      </c>
      <c r="E31" s="35">
        <f t="shared" si="6"/>
        <v>3101638.2304415274</v>
      </c>
      <c r="F31" s="35">
        <f t="shared" si="1"/>
        <v>52125618.13583748</v>
      </c>
      <c r="G31" s="115">
        <v>0.10299999999999999</v>
      </c>
      <c r="H31" s="36">
        <f t="shared" si="7"/>
        <v>0.1095</v>
      </c>
      <c r="I31" s="37">
        <f t="shared" si="8"/>
        <v>1.7708333333333333E-2</v>
      </c>
      <c r="J31" s="35">
        <f t="shared" si="2"/>
        <v>3117768.0648019221</v>
      </c>
      <c r="K31" s="108">
        <f t="shared" si="9"/>
        <v>20</v>
      </c>
      <c r="L31">
        <f t="shared" si="10"/>
        <v>20</v>
      </c>
      <c r="M31">
        <f t="shared" si="11"/>
        <v>3</v>
      </c>
      <c r="N31">
        <f t="shared" si="12"/>
        <v>2026</v>
      </c>
      <c r="O31" s="22">
        <f>932601/30</f>
        <v>31086.7</v>
      </c>
      <c r="P31" s="34">
        <f t="shared" ref="P31:P36" si="21">+O31*10</f>
        <v>310867</v>
      </c>
      <c r="Q31" s="42">
        <v>46157</v>
      </c>
      <c r="R31" s="24">
        <v>1830449</v>
      </c>
      <c r="S31" s="24">
        <v>4338215</v>
      </c>
      <c r="T31" s="68">
        <v>109121</v>
      </c>
      <c r="U31" s="43"/>
      <c r="V31" s="24">
        <f t="shared" si="18"/>
        <v>6277785</v>
      </c>
      <c r="W31" s="24">
        <f>+W30-S31</f>
        <v>49946139</v>
      </c>
    </row>
    <row r="32" spans="1:26" ht="15">
      <c r="A32" s="11">
        <f t="shared" si="3"/>
        <v>29</v>
      </c>
      <c r="B32" s="35">
        <f t="shared" si="4"/>
        <v>52125618.13583748</v>
      </c>
      <c r="C32" s="35">
        <f t="shared" si="5"/>
        <v>923057.82115545531</v>
      </c>
      <c r="D32" s="35">
        <f>2169178+25532</f>
        <v>2194710</v>
      </c>
      <c r="E32" s="35">
        <f t="shared" si="6"/>
        <v>3117768.0648019221</v>
      </c>
      <c r="F32" s="35">
        <f t="shared" si="1"/>
        <v>49930908.13583748</v>
      </c>
      <c r="G32" s="115">
        <v>0.10745</v>
      </c>
      <c r="H32" s="36">
        <f t="shared" si="7"/>
        <v>0.1095</v>
      </c>
      <c r="I32" s="37">
        <f t="shared" si="8"/>
        <v>1.8079166666666667E-2</v>
      </c>
      <c r="J32" s="35">
        <f t="shared" si="2"/>
        <v>3128541.9283711342</v>
      </c>
      <c r="K32" s="108">
        <f t="shared" si="9"/>
        <v>19</v>
      </c>
      <c r="L32">
        <f t="shared" si="10"/>
        <v>20</v>
      </c>
      <c r="M32">
        <f t="shared" si="11"/>
        <v>4</v>
      </c>
      <c r="N32">
        <f t="shared" si="12"/>
        <v>2026</v>
      </c>
      <c r="O32" s="22">
        <f>923058/30</f>
        <v>30768.6</v>
      </c>
      <c r="P32" s="34">
        <f t="shared" si="21"/>
        <v>307686</v>
      </c>
      <c r="Q32" s="42">
        <v>46196</v>
      </c>
      <c r="R32" s="24">
        <v>902709</v>
      </c>
      <c r="S32" s="24">
        <v>2247971</v>
      </c>
      <c r="T32" s="68">
        <v>49320</v>
      </c>
      <c r="U32" s="43"/>
      <c r="V32" s="24">
        <f t="shared" si="18"/>
        <v>3200000</v>
      </c>
      <c r="W32" s="24">
        <f>+W31-S32</f>
        <v>47698168</v>
      </c>
      <c r="Z32" s="23"/>
    </row>
    <row r="33" spans="1:31" ht="15">
      <c r="A33" s="11">
        <f t="shared" si="3"/>
        <v>30</v>
      </c>
      <c r="B33" s="35">
        <f t="shared" si="4"/>
        <v>49930908.13583748</v>
      </c>
      <c r="C33" s="35">
        <f t="shared" si="5"/>
        <v>902709.21000582841</v>
      </c>
      <c r="D33" s="35">
        <f>2222439+3394</f>
        <v>2225833</v>
      </c>
      <c r="E33" s="35">
        <f t="shared" si="6"/>
        <v>3128541.9283711342</v>
      </c>
      <c r="F33" s="35">
        <f t="shared" si="1"/>
        <v>47705075.13583748</v>
      </c>
      <c r="G33" s="115">
        <v>0.10580000000000001</v>
      </c>
      <c r="H33" s="36">
        <f t="shared" si="7"/>
        <v>0.1095</v>
      </c>
      <c r="I33" s="37">
        <f t="shared" si="8"/>
        <v>1.7941666666666665E-2</v>
      </c>
      <c r="J33" s="35">
        <f t="shared" si="2"/>
        <v>3124732.5515996655</v>
      </c>
      <c r="K33" s="108">
        <f t="shared" si="9"/>
        <v>18</v>
      </c>
      <c r="L33">
        <f t="shared" si="10"/>
        <v>20</v>
      </c>
      <c r="M33">
        <f t="shared" si="11"/>
        <v>5</v>
      </c>
      <c r="N33">
        <f t="shared" si="12"/>
        <v>2026</v>
      </c>
      <c r="O33" s="22">
        <f>902709/30</f>
        <v>30090.3</v>
      </c>
      <c r="P33" s="34">
        <f t="shared" si="21"/>
        <v>300903</v>
      </c>
      <c r="Q33" s="42">
        <v>46240</v>
      </c>
      <c r="R33" s="24">
        <v>855909</v>
      </c>
      <c r="S33" s="24">
        <v>2234355</v>
      </c>
      <c r="T33" s="68">
        <v>69736</v>
      </c>
      <c r="U33" s="43"/>
      <c r="V33" s="24">
        <f t="shared" si="18"/>
        <v>3160000</v>
      </c>
      <c r="W33" s="24">
        <f>+W32-S33</f>
        <v>45463813</v>
      </c>
    </row>
    <row r="34" spans="1:31" ht="15">
      <c r="A34" s="11">
        <f t="shared" si="3"/>
        <v>31</v>
      </c>
      <c r="B34" s="35">
        <f t="shared" si="4"/>
        <v>47705075.13583748</v>
      </c>
      <c r="C34" s="35">
        <f t="shared" si="5"/>
        <v>855908.55639548402</v>
      </c>
      <c r="D34" s="35">
        <v>2230961</v>
      </c>
      <c r="E34" s="35">
        <f t="shared" si="6"/>
        <v>3124732.5515996655</v>
      </c>
      <c r="F34" s="35">
        <f t="shared" si="1"/>
        <v>45474114.13583748</v>
      </c>
      <c r="G34" s="115">
        <v>0.10935</v>
      </c>
      <c r="H34" s="36">
        <f t="shared" si="7"/>
        <v>0.1095</v>
      </c>
      <c r="I34" s="37">
        <f t="shared" si="8"/>
        <v>1.82375E-2</v>
      </c>
      <c r="J34" s="35">
        <f t="shared" si="2"/>
        <v>3135134.3560400126</v>
      </c>
      <c r="K34" s="108">
        <f t="shared" si="9"/>
        <v>17</v>
      </c>
      <c r="L34">
        <f t="shared" si="10"/>
        <v>20</v>
      </c>
      <c r="M34">
        <f t="shared" si="11"/>
        <v>6</v>
      </c>
      <c r="N34">
        <f t="shared" si="12"/>
        <v>2026</v>
      </c>
      <c r="O34" s="22">
        <f>855909/30</f>
        <v>28530.3</v>
      </c>
      <c r="P34" s="34">
        <f t="shared" si="21"/>
        <v>285303</v>
      </c>
      <c r="Q34" s="43"/>
      <c r="R34" s="43"/>
      <c r="S34" s="43"/>
      <c r="T34" s="43"/>
      <c r="U34" s="43"/>
      <c r="V34" s="24"/>
      <c r="W34" s="43"/>
    </row>
    <row r="35" spans="1:31" ht="15">
      <c r="A35" s="101">
        <f t="shared" si="3"/>
        <v>32</v>
      </c>
      <c r="B35" s="102">
        <f t="shared" si="4"/>
        <v>45474114.13583748</v>
      </c>
      <c r="C35" s="102">
        <f t="shared" si="5"/>
        <v>829334.15655233606</v>
      </c>
      <c r="D35" s="102">
        <f t="shared" ref="D30:D39" si="22">IF(A35=" "," ",+E35-C35)</f>
        <v>2305800.1994876764</v>
      </c>
      <c r="E35" s="102">
        <f t="shared" si="6"/>
        <v>3135134.3560400126</v>
      </c>
      <c r="F35" s="102">
        <f t="shared" si="1"/>
        <v>43168313.936349802</v>
      </c>
      <c r="G35" s="128">
        <v>0.1145</v>
      </c>
      <c r="H35" s="103">
        <f t="shared" si="7"/>
        <v>0.1095</v>
      </c>
      <c r="I35" s="104">
        <f t="shared" si="8"/>
        <v>1.8666666666666668E-2</v>
      </c>
      <c r="J35" s="102">
        <f t="shared" si="2"/>
        <v>3145869.6315789749</v>
      </c>
      <c r="K35" s="105">
        <f t="shared" si="9"/>
        <v>16</v>
      </c>
      <c r="L35" s="106">
        <f t="shared" si="10"/>
        <v>20</v>
      </c>
      <c r="M35" s="106">
        <f t="shared" si="11"/>
        <v>7</v>
      </c>
      <c r="N35" s="106">
        <f t="shared" si="12"/>
        <v>2026</v>
      </c>
      <c r="O35" s="22">
        <f>828644/30</f>
        <v>27621.466666666667</v>
      </c>
      <c r="P35" s="34">
        <f t="shared" si="21"/>
        <v>276214.66666666669</v>
      </c>
      <c r="Q35" s="43"/>
      <c r="R35" s="43"/>
      <c r="S35" s="43"/>
      <c r="T35" s="43"/>
      <c r="U35" s="43"/>
      <c r="V35" s="24"/>
      <c r="W35" s="43"/>
    </row>
    <row r="36" spans="1:31" ht="15">
      <c r="A36" s="101">
        <f t="shared" si="3"/>
        <v>33</v>
      </c>
      <c r="B36" s="102">
        <f t="shared" si="4"/>
        <v>43168313.936349802</v>
      </c>
      <c r="C36" s="102">
        <f t="shared" si="5"/>
        <v>805808.52681186306</v>
      </c>
      <c r="D36" s="102">
        <f t="shared" si="22"/>
        <v>2340061.1047671121</v>
      </c>
      <c r="E36" s="102">
        <f t="shared" si="6"/>
        <v>3145869.6315789749</v>
      </c>
      <c r="F36" s="102">
        <f t="shared" si="1"/>
        <v>40828252.831582688</v>
      </c>
      <c r="G36" s="114">
        <v>0.11230999999999999</v>
      </c>
      <c r="H36" s="103">
        <f t="shared" si="7"/>
        <v>0.1095</v>
      </c>
      <c r="I36" s="104">
        <f t="shared" si="8"/>
        <v>1.8484166666666666E-2</v>
      </c>
      <c r="J36" s="102">
        <f t="shared" si="2"/>
        <v>3141556.7827283652</v>
      </c>
      <c r="K36" s="105">
        <f t="shared" si="9"/>
        <v>15</v>
      </c>
      <c r="L36" s="106">
        <f t="shared" si="10"/>
        <v>20</v>
      </c>
      <c r="M36" s="106">
        <f t="shared" si="11"/>
        <v>8</v>
      </c>
      <c r="N36" s="106">
        <f t="shared" si="12"/>
        <v>2026</v>
      </c>
      <c r="O36" s="22">
        <f>805138/30</f>
        <v>26837.933333333334</v>
      </c>
      <c r="P36" s="34">
        <f t="shared" si="21"/>
        <v>268379.33333333337</v>
      </c>
      <c r="Q36" s="43"/>
      <c r="R36" s="43"/>
      <c r="S36" s="43"/>
      <c r="T36" s="43"/>
      <c r="U36" s="43"/>
      <c r="V36" s="24"/>
      <c r="W36" s="43"/>
    </row>
    <row r="37" spans="1:31">
      <c r="A37" s="11">
        <f t="shared" si="3"/>
        <v>34</v>
      </c>
      <c r="B37" s="2">
        <f t="shared" si="4"/>
        <v>40828252.831582688</v>
      </c>
      <c r="C37" s="2">
        <f t="shared" si="5"/>
        <v>754676.23004777962</v>
      </c>
      <c r="D37" s="2">
        <f t="shared" si="22"/>
        <v>2386880.5526805855</v>
      </c>
      <c r="E37" s="59">
        <f t="shared" si="6"/>
        <v>3141556.7827283652</v>
      </c>
      <c r="F37" s="60">
        <f t="shared" si="1"/>
        <v>38441372.278902099</v>
      </c>
      <c r="G37" s="12">
        <v>0.12332</v>
      </c>
      <c r="H37" s="12">
        <f t="shared" si="7"/>
        <v>0.1095</v>
      </c>
      <c r="I37" s="8">
        <f t="shared" si="8"/>
        <v>1.9401666666666668E-2</v>
      </c>
      <c r="J37" s="2">
        <f t="shared" si="2"/>
        <v>3161977.1908180779</v>
      </c>
      <c r="K37" s="7">
        <f t="shared" si="9"/>
        <v>14</v>
      </c>
      <c r="L37">
        <f t="shared" si="10"/>
        <v>20</v>
      </c>
      <c r="M37">
        <f t="shared" si="11"/>
        <v>9</v>
      </c>
      <c r="N37">
        <f t="shared" si="12"/>
        <v>2026</v>
      </c>
      <c r="P37" s="99"/>
      <c r="Q37" s="43"/>
      <c r="R37" s="43"/>
      <c r="S37" s="43"/>
      <c r="T37" s="43"/>
      <c r="U37" s="43"/>
      <c r="V37" s="43"/>
      <c r="W37" s="43"/>
    </row>
    <row r="38" spans="1:31">
      <c r="A38" s="11">
        <f t="shared" si="3"/>
        <v>35</v>
      </c>
      <c r="B38" s="2">
        <f t="shared" si="4"/>
        <v>38441372.278902099</v>
      </c>
      <c r="C38" s="2">
        <f t="shared" si="5"/>
        <v>745826.69116449892</v>
      </c>
      <c r="D38" s="2">
        <f t="shared" si="22"/>
        <v>2416150.4996535787</v>
      </c>
      <c r="E38" s="59">
        <f t="shared" si="6"/>
        <v>3161977.1908180779</v>
      </c>
      <c r="F38" s="60">
        <f t="shared" si="1"/>
        <v>36025221.779248521</v>
      </c>
      <c r="G38" s="12">
        <v>0.12332</v>
      </c>
      <c r="H38" s="12">
        <f t="shared" si="7"/>
        <v>0.1095</v>
      </c>
      <c r="I38" s="8">
        <f t="shared" si="8"/>
        <v>1.9401666666666668E-2</v>
      </c>
      <c r="J38" s="2">
        <f t="shared" si="2"/>
        <v>3161977.1908180797</v>
      </c>
      <c r="K38" s="7">
        <f t="shared" si="9"/>
        <v>13</v>
      </c>
      <c r="L38">
        <f t="shared" si="10"/>
        <v>20</v>
      </c>
      <c r="M38">
        <f t="shared" si="11"/>
        <v>10</v>
      </c>
      <c r="N38">
        <f t="shared" si="12"/>
        <v>2026</v>
      </c>
      <c r="P38" s="99"/>
      <c r="Q38" s="43"/>
      <c r="R38" s="43"/>
      <c r="S38" s="43"/>
      <c r="T38" s="43"/>
      <c r="U38" s="43"/>
      <c r="V38" s="43"/>
      <c r="W38" s="43"/>
    </row>
    <row r="39" spans="1:31">
      <c r="A39" s="11">
        <f t="shared" si="3"/>
        <v>36</v>
      </c>
      <c r="B39" s="2">
        <f t="shared" si="4"/>
        <v>36025221.779248521</v>
      </c>
      <c r="C39" s="2">
        <f t="shared" si="5"/>
        <v>698949.34455372009</v>
      </c>
      <c r="D39" s="2">
        <f t="shared" si="22"/>
        <v>2463027.8462643595</v>
      </c>
      <c r="E39" s="59">
        <f t="shared" si="6"/>
        <v>3161977.1908180797</v>
      </c>
      <c r="F39" s="60">
        <f t="shared" si="1"/>
        <v>33562193.932984158</v>
      </c>
      <c r="G39" s="12">
        <v>0.12332</v>
      </c>
      <c r="H39" s="12">
        <f t="shared" si="7"/>
        <v>0.1095</v>
      </c>
      <c r="I39" s="8">
        <f t="shared" si="8"/>
        <v>1.9401666666666668E-2</v>
      </c>
      <c r="J39" s="2">
        <f t="shared" si="2"/>
        <v>3161977.1908180793</v>
      </c>
      <c r="K39" s="7">
        <f t="shared" si="9"/>
        <v>12</v>
      </c>
      <c r="L39">
        <f t="shared" si="10"/>
        <v>20</v>
      </c>
      <c r="M39">
        <f t="shared" si="11"/>
        <v>11</v>
      </c>
      <c r="N39">
        <f t="shared" si="12"/>
        <v>2026</v>
      </c>
      <c r="P39" s="99"/>
      <c r="Q39" s="43"/>
      <c r="R39" s="43"/>
      <c r="S39" s="43"/>
      <c r="T39" s="43"/>
      <c r="U39" s="43"/>
      <c r="V39" s="43"/>
      <c r="W39" s="43"/>
    </row>
    <row r="40" spans="1:31">
      <c r="A40" s="11">
        <f t="shared" si="3"/>
        <v>37</v>
      </c>
      <c r="B40" s="2">
        <f t="shared" ref="B40:B48" si="23">IF(A40=" "," ",+F39)</f>
        <v>33562193.932984158</v>
      </c>
      <c r="C40" s="2">
        <f t="shared" ref="C40:C48" si="24">IF(A40=" "," ",+B40*I39)</f>
        <v>651162.49928978097</v>
      </c>
      <c r="D40" s="2">
        <f t="shared" ref="D40:D48" si="25">IF(A40=" "," ",+E40-C40)</f>
        <v>2510814.6915282984</v>
      </c>
      <c r="E40" s="59">
        <f t="shared" ref="E40:E48" si="26">IF(A40=" "," ",+J39)</f>
        <v>3161977.1908180793</v>
      </c>
      <c r="F40" s="60">
        <f t="shared" ref="F40:F48" si="27">+B40-D40</f>
        <v>31051379.24145586</v>
      </c>
      <c r="G40" s="12">
        <v>0.12332</v>
      </c>
      <c r="H40" s="12">
        <f t="shared" ref="H40:H48" si="28">IF(A40=" "," ",+H39)</f>
        <v>0.1095</v>
      </c>
      <c r="I40" s="8">
        <f t="shared" ref="I40:I48" si="29">IF(A40=" "," ",((G40+H40)/12))</f>
        <v>1.9401666666666668E-2</v>
      </c>
      <c r="J40" s="2">
        <f t="shared" ref="J40:J48" si="30">PMT(I40,K40,-F40,0)</f>
        <v>3161977.1908180793</v>
      </c>
      <c r="K40" s="7">
        <f t="shared" ref="K40:K48" si="31">IF(A37=" "," ",+$B$2-A40)</f>
        <v>11</v>
      </c>
      <c r="L40">
        <f t="shared" ref="L40:L48" si="32">IF(A40&lt;&gt;" ",+L39," ")</f>
        <v>20</v>
      </c>
      <c r="M40">
        <f t="shared" ref="M40:M48" si="33">IF(AND(A40&lt;&gt;" ")*(M39=12),1,1+M39)</f>
        <v>12</v>
      </c>
      <c r="N40">
        <f t="shared" ref="N40:N48" si="34">IF(AND(A40&lt;&gt;" ")*(M40=1),1+N39,N39)</f>
        <v>2026</v>
      </c>
    </row>
    <row r="41" spans="1:31">
      <c r="A41" s="11">
        <f t="shared" si="3"/>
        <v>38</v>
      </c>
      <c r="B41" s="2">
        <f t="shared" si="23"/>
        <v>31051379.24145586</v>
      </c>
      <c r="C41" s="2">
        <f t="shared" si="24"/>
        <v>602448.50958297949</v>
      </c>
      <c r="D41" s="2">
        <f t="shared" si="25"/>
        <v>2559528.6812350997</v>
      </c>
      <c r="E41" s="59">
        <f t="shared" si="26"/>
        <v>3161977.1908180793</v>
      </c>
      <c r="F41" s="60">
        <f t="shared" si="27"/>
        <v>28491850.560220759</v>
      </c>
      <c r="G41" s="12">
        <v>0.12332</v>
      </c>
      <c r="H41" s="12">
        <f t="shared" si="28"/>
        <v>0.1095</v>
      </c>
      <c r="I41" s="8">
        <f t="shared" si="29"/>
        <v>1.9401666666666668E-2</v>
      </c>
      <c r="J41" s="2">
        <f t="shared" si="30"/>
        <v>3161977.1908180793</v>
      </c>
      <c r="K41" s="7">
        <f t="shared" si="31"/>
        <v>10</v>
      </c>
      <c r="L41">
        <f t="shared" si="32"/>
        <v>20</v>
      </c>
      <c r="M41">
        <f t="shared" si="33"/>
        <v>1</v>
      </c>
      <c r="N41">
        <f t="shared" si="34"/>
        <v>2027</v>
      </c>
    </row>
    <row r="42" spans="1:31">
      <c r="A42" s="11">
        <f t="shared" si="3"/>
        <v>39</v>
      </c>
      <c r="B42" s="2">
        <f t="shared" si="23"/>
        <v>28491850.560220759</v>
      </c>
      <c r="C42" s="2">
        <f t="shared" si="24"/>
        <v>552789.38728588307</v>
      </c>
      <c r="D42" s="2">
        <f t="shared" si="25"/>
        <v>2609187.8035321962</v>
      </c>
      <c r="E42" s="59">
        <f t="shared" si="26"/>
        <v>3161977.1908180793</v>
      </c>
      <c r="F42" s="60">
        <f t="shared" si="27"/>
        <v>25882662.756688565</v>
      </c>
      <c r="G42" s="12">
        <v>0.12332</v>
      </c>
      <c r="H42" s="12">
        <f t="shared" si="28"/>
        <v>0.1095</v>
      </c>
      <c r="I42" s="8">
        <f t="shared" si="29"/>
        <v>1.9401666666666668E-2</v>
      </c>
      <c r="J42" s="2">
        <f t="shared" si="30"/>
        <v>3161977.1908180793</v>
      </c>
      <c r="K42" s="7">
        <f t="shared" si="31"/>
        <v>9</v>
      </c>
      <c r="L42">
        <f t="shared" si="32"/>
        <v>20</v>
      </c>
      <c r="M42">
        <f t="shared" si="33"/>
        <v>2</v>
      </c>
      <c r="N42">
        <f t="shared" si="34"/>
        <v>2027</v>
      </c>
    </row>
    <row r="43" spans="1:31">
      <c r="A43" s="11">
        <f t="shared" si="3"/>
        <v>40</v>
      </c>
      <c r="B43" s="2">
        <f t="shared" si="23"/>
        <v>25882662.756688565</v>
      </c>
      <c r="C43" s="2">
        <f t="shared" si="24"/>
        <v>502166.79525101936</v>
      </c>
      <c r="D43" s="2">
        <f t="shared" si="25"/>
        <v>2659810.39556706</v>
      </c>
      <c r="E43" s="59">
        <f t="shared" si="26"/>
        <v>3161977.1908180793</v>
      </c>
      <c r="F43" s="60">
        <f t="shared" si="27"/>
        <v>23222852.361121505</v>
      </c>
      <c r="G43" s="12">
        <v>0.12332</v>
      </c>
      <c r="H43" s="12">
        <f t="shared" si="28"/>
        <v>0.1095</v>
      </c>
      <c r="I43" s="8">
        <f t="shared" si="29"/>
        <v>1.9401666666666668E-2</v>
      </c>
      <c r="J43" s="2">
        <f t="shared" si="30"/>
        <v>3161977.1908180797</v>
      </c>
      <c r="K43" s="7">
        <f t="shared" si="31"/>
        <v>8</v>
      </c>
      <c r="L43">
        <f t="shared" si="32"/>
        <v>20</v>
      </c>
      <c r="M43">
        <f t="shared" si="33"/>
        <v>3</v>
      </c>
      <c r="N43">
        <f t="shared" si="34"/>
        <v>2027</v>
      </c>
    </row>
    <row r="44" spans="1:31">
      <c r="A44" s="11">
        <f t="shared" si="3"/>
        <v>41</v>
      </c>
      <c r="B44" s="2">
        <f t="shared" si="23"/>
        <v>23222852.361121505</v>
      </c>
      <c r="C44" s="2">
        <f t="shared" si="24"/>
        <v>450562.04055969242</v>
      </c>
      <c r="D44" s="2">
        <f t="shared" si="25"/>
        <v>2711415.1502583874</v>
      </c>
      <c r="E44" s="59">
        <f t="shared" si="26"/>
        <v>3161977.1908180797</v>
      </c>
      <c r="F44" s="60">
        <f t="shared" si="27"/>
        <v>20511437.210863117</v>
      </c>
      <c r="G44" s="12">
        <v>0.12332</v>
      </c>
      <c r="H44" s="12">
        <f t="shared" si="28"/>
        <v>0.1095</v>
      </c>
      <c r="I44" s="8">
        <f t="shared" si="29"/>
        <v>1.9401666666666668E-2</v>
      </c>
      <c r="J44" s="2">
        <f t="shared" si="30"/>
        <v>3161977.1908180788</v>
      </c>
      <c r="K44" s="7">
        <f t="shared" si="31"/>
        <v>7</v>
      </c>
      <c r="L44">
        <f t="shared" si="32"/>
        <v>20</v>
      </c>
      <c r="M44">
        <f t="shared" si="33"/>
        <v>4</v>
      </c>
      <c r="N44">
        <f t="shared" si="34"/>
        <v>2027</v>
      </c>
    </row>
    <row r="45" spans="1:31">
      <c r="A45" s="11">
        <f t="shared" si="3"/>
        <v>42</v>
      </c>
      <c r="B45" s="2">
        <f t="shared" si="23"/>
        <v>20511437.210863117</v>
      </c>
      <c r="C45" s="2">
        <f t="shared" si="24"/>
        <v>397956.06761942926</v>
      </c>
      <c r="D45" s="2">
        <f t="shared" si="25"/>
        <v>2764021.1231986494</v>
      </c>
      <c r="E45" s="59">
        <f t="shared" si="26"/>
        <v>3161977.1908180788</v>
      </c>
      <c r="F45" s="60">
        <f t="shared" si="27"/>
        <v>17747416.087664466</v>
      </c>
      <c r="G45" s="12">
        <v>0.12332</v>
      </c>
      <c r="H45" s="12">
        <f t="shared" si="28"/>
        <v>0.1095</v>
      </c>
      <c r="I45" s="8">
        <f t="shared" si="29"/>
        <v>1.9401666666666668E-2</v>
      </c>
      <c r="J45" s="2">
        <f t="shared" si="30"/>
        <v>3161977.1908180793</v>
      </c>
      <c r="K45" s="7">
        <f t="shared" si="31"/>
        <v>6</v>
      </c>
      <c r="L45">
        <f t="shared" si="32"/>
        <v>20</v>
      </c>
      <c r="M45">
        <f t="shared" si="33"/>
        <v>5</v>
      </c>
      <c r="N45">
        <f t="shared" si="34"/>
        <v>2027</v>
      </c>
    </row>
    <row r="46" spans="1:31">
      <c r="A46" s="11">
        <f t="shared" si="3"/>
        <v>43</v>
      </c>
      <c r="B46" s="2">
        <f t="shared" si="23"/>
        <v>17747416.087664466</v>
      </c>
      <c r="C46" s="2">
        <f t="shared" si="24"/>
        <v>344329.45112750342</v>
      </c>
      <c r="D46" s="2">
        <f t="shared" si="25"/>
        <v>2817647.7396905757</v>
      </c>
      <c r="E46" s="59">
        <f t="shared" si="26"/>
        <v>3161977.1908180793</v>
      </c>
      <c r="F46" s="60">
        <f t="shared" si="27"/>
        <v>14929768.347973891</v>
      </c>
      <c r="G46" s="12">
        <v>0.12332</v>
      </c>
      <c r="H46" s="12">
        <f t="shared" si="28"/>
        <v>0.1095</v>
      </c>
      <c r="I46" s="8">
        <f t="shared" si="29"/>
        <v>1.9401666666666668E-2</v>
      </c>
      <c r="J46" s="2">
        <f t="shared" si="30"/>
        <v>3161977.1908180793</v>
      </c>
      <c r="K46" s="7">
        <f t="shared" si="31"/>
        <v>5</v>
      </c>
      <c r="L46">
        <f t="shared" si="32"/>
        <v>20</v>
      </c>
      <c r="M46">
        <f t="shared" si="33"/>
        <v>6</v>
      </c>
      <c r="N46">
        <f t="shared" si="34"/>
        <v>2027</v>
      </c>
      <c r="AE46">
        <f>+AE47/20</f>
        <v>47616.9</v>
      </c>
    </row>
    <row r="47" spans="1:31">
      <c r="A47" s="11">
        <f t="shared" si="3"/>
        <v>44</v>
      </c>
      <c r="B47" s="2">
        <f t="shared" si="23"/>
        <v>14929768.347973891</v>
      </c>
      <c r="C47" s="2">
        <f t="shared" si="24"/>
        <v>289662.38889794011</v>
      </c>
      <c r="D47" s="2">
        <f t="shared" si="25"/>
        <v>2872314.8019201392</v>
      </c>
      <c r="E47" s="59">
        <f t="shared" si="26"/>
        <v>3161977.1908180793</v>
      </c>
      <c r="F47" s="60">
        <f t="shared" si="27"/>
        <v>12057453.546053752</v>
      </c>
      <c r="G47" s="12">
        <v>0.12332</v>
      </c>
      <c r="H47" s="12">
        <f t="shared" si="28"/>
        <v>0.1095</v>
      </c>
      <c r="I47" s="8">
        <f t="shared" si="29"/>
        <v>1.9401666666666668E-2</v>
      </c>
      <c r="J47" s="2">
        <f t="shared" si="30"/>
        <v>3161977.1908180788</v>
      </c>
      <c r="K47" s="7">
        <f t="shared" si="31"/>
        <v>4</v>
      </c>
      <c r="L47">
        <f t="shared" si="32"/>
        <v>20</v>
      </c>
      <c r="M47">
        <f t="shared" si="33"/>
        <v>7</v>
      </c>
      <c r="N47">
        <f t="shared" si="34"/>
        <v>2027</v>
      </c>
      <c r="AC47">
        <v>333053</v>
      </c>
      <c r="AE47" s="23">
        <f>+AE55+AE50</f>
        <v>952338</v>
      </c>
    </row>
    <row r="48" spans="1:31">
      <c r="A48" s="11">
        <f t="shared" si="3"/>
        <v>45</v>
      </c>
      <c r="B48" s="2">
        <f t="shared" si="23"/>
        <v>12057453.546053752</v>
      </c>
      <c r="C48" s="2">
        <f t="shared" si="24"/>
        <v>233934.69454935289</v>
      </c>
      <c r="D48" s="2">
        <f t="shared" si="25"/>
        <v>2928042.496268726</v>
      </c>
      <c r="E48" s="59">
        <f t="shared" si="26"/>
        <v>3161977.1908180788</v>
      </c>
      <c r="F48" s="60">
        <f t="shared" si="27"/>
        <v>9129411.0497850254</v>
      </c>
      <c r="G48" s="12">
        <v>0.12332</v>
      </c>
      <c r="H48" s="12">
        <f t="shared" si="28"/>
        <v>0.1095</v>
      </c>
      <c r="I48" s="8">
        <f t="shared" si="29"/>
        <v>1.9401666666666668E-2</v>
      </c>
      <c r="J48" s="2">
        <f t="shared" si="30"/>
        <v>3161977.1908180788</v>
      </c>
      <c r="K48" s="7">
        <f t="shared" si="31"/>
        <v>3</v>
      </c>
      <c r="L48">
        <f t="shared" si="32"/>
        <v>20</v>
      </c>
      <c r="M48">
        <f t="shared" si="33"/>
        <v>8</v>
      </c>
      <c r="N48">
        <f t="shared" si="34"/>
        <v>2027</v>
      </c>
      <c r="AC48">
        <v>-134914</v>
      </c>
    </row>
    <row r="49" spans="1:42">
      <c r="A49" s="11">
        <f t="shared" si="3"/>
        <v>46</v>
      </c>
      <c r="B49" s="2">
        <f t="shared" ref="B49:B51" si="35">IF(A49=" "," ",+F48)</f>
        <v>9129411.0497850254</v>
      </c>
      <c r="C49" s="2">
        <f t="shared" ref="C49:C51" si="36">IF(A49=" "," ",+B49*I48)</f>
        <v>177125.79005091247</v>
      </c>
      <c r="D49" s="2">
        <f t="shared" ref="D49:D51" si="37">IF(A49=" "," ",+E49-C49)</f>
        <v>2984851.4007671662</v>
      </c>
      <c r="E49" s="59">
        <f t="shared" ref="E49:E51" si="38">IF(A49=" "," ",+J48)</f>
        <v>3161977.1908180788</v>
      </c>
      <c r="F49" s="60">
        <f t="shared" ref="F49:F51" si="39">+B49-D49</f>
        <v>6144559.6490178593</v>
      </c>
      <c r="G49" s="12">
        <v>0.12332</v>
      </c>
      <c r="H49" s="12">
        <f t="shared" ref="H49:H51" si="40">IF(A49=" "," ",+H48)</f>
        <v>0.1095</v>
      </c>
      <c r="I49" s="8">
        <f t="shared" ref="I49:I51" si="41">IF(A49=" "," ",((G49+H49)/12))</f>
        <v>1.9401666666666668E-2</v>
      </c>
      <c r="J49" s="2">
        <f t="shared" ref="J49:J51" si="42">PMT(I49,K49,-F49,0)</f>
        <v>3161977.1908180779</v>
      </c>
      <c r="K49" s="7">
        <f t="shared" ref="K49:K51" si="43">IF(A46=" "," ",+$B$2-A49)</f>
        <v>2</v>
      </c>
      <c r="L49">
        <f t="shared" ref="L49:L51" si="44">IF(A49&lt;&gt;" ",+L48," ")</f>
        <v>20</v>
      </c>
      <c r="M49">
        <f t="shared" ref="M49:M51" si="45">IF(AND(A49&lt;&gt;" ")*(M48=12),1,1+M48)</f>
        <v>9</v>
      </c>
      <c r="N49">
        <f t="shared" ref="N49:N51" si="46">IF(AND(A49&lt;&gt;" ")*(M49=1),1+N48,N48)</f>
        <v>2027</v>
      </c>
      <c r="AC49">
        <f>SUM(AC47:AC48)</f>
        <v>198139</v>
      </c>
    </row>
    <row r="50" spans="1:42">
      <c r="A50" s="11">
        <f t="shared" si="3"/>
        <v>47</v>
      </c>
      <c r="B50" s="2">
        <f t="shared" si="35"/>
        <v>6144559.6490178593</v>
      </c>
      <c r="C50" s="2">
        <f t="shared" si="36"/>
        <v>119214.69812369483</v>
      </c>
      <c r="D50" s="2">
        <f t="shared" si="37"/>
        <v>3042762.492694383</v>
      </c>
      <c r="E50" s="59">
        <f t="shared" si="38"/>
        <v>3161977.1908180779</v>
      </c>
      <c r="F50" s="60">
        <f t="shared" si="39"/>
        <v>3101797.1563234762</v>
      </c>
      <c r="G50" s="12">
        <v>0.12332</v>
      </c>
      <c r="H50" s="12">
        <f t="shared" si="40"/>
        <v>0.1095</v>
      </c>
      <c r="I50" s="8">
        <f t="shared" si="41"/>
        <v>1.9401666666666668E-2</v>
      </c>
      <c r="J50" s="2">
        <f t="shared" si="42"/>
        <v>3161977.1908180788</v>
      </c>
      <c r="K50" s="7">
        <f t="shared" si="43"/>
        <v>1</v>
      </c>
      <c r="L50">
        <f t="shared" si="44"/>
        <v>20</v>
      </c>
      <c r="M50">
        <f t="shared" si="45"/>
        <v>10</v>
      </c>
      <c r="N50">
        <f t="shared" si="46"/>
        <v>2027</v>
      </c>
      <c r="AC50" s="64" t="s">
        <v>43</v>
      </c>
      <c r="AE50">
        <v>60649</v>
      </c>
    </row>
    <row r="51" spans="1:42">
      <c r="A51" s="11">
        <f t="shared" si="3"/>
        <v>48</v>
      </c>
      <c r="B51" s="2">
        <f t="shared" si="35"/>
        <v>3101797.1563234762</v>
      </c>
      <c r="C51" s="2">
        <f t="shared" si="36"/>
        <v>60180.034494602645</v>
      </c>
      <c r="D51" s="2">
        <f t="shared" si="37"/>
        <v>3101797.1563234762</v>
      </c>
      <c r="E51" s="59">
        <f t="shared" si="38"/>
        <v>3161977.1908180788</v>
      </c>
      <c r="F51" s="60">
        <f t="shared" si="39"/>
        <v>0</v>
      </c>
      <c r="G51" s="12">
        <v>0.12332</v>
      </c>
      <c r="H51" s="12">
        <f t="shared" si="40"/>
        <v>0.1095</v>
      </c>
      <c r="I51" s="8">
        <f t="shared" si="41"/>
        <v>1.9401666666666668E-2</v>
      </c>
      <c r="J51" s="2" t="e">
        <f t="shared" si="42"/>
        <v>#NUM!</v>
      </c>
      <c r="K51" s="7">
        <f t="shared" si="43"/>
        <v>0</v>
      </c>
      <c r="L51">
        <f t="shared" si="44"/>
        <v>20</v>
      </c>
      <c r="M51">
        <f t="shared" si="45"/>
        <v>11</v>
      </c>
      <c r="N51">
        <f t="shared" si="46"/>
        <v>2027</v>
      </c>
      <c r="R51" s="4"/>
      <c r="AC51" s="4">
        <f>+(AC55+AC49)/20</f>
        <v>57514.564755352112</v>
      </c>
      <c r="AD51" s="23"/>
      <c r="AE51" t="s">
        <v>44</v>
      </c>
    </row>
    <row r="52" spans="1:42">
      <c r="A52" s="11"/>
      <c r="B52" s="2"/>
      <c r="C52" s="2"/>
      <c r="D52" s="2"/>
      <c r="E52" s="59"/>
      <c r="F52" s="60"/>
      <c r="G52" s="12"/>
      <c r="H52" s="12"/>
      <c r="I52" s="8"/>
      <c r="J52" s="2"/>
      <c r="K52" s="7"/>
      <c r="Q52" s="129" t="s">
        <v>45</v>
      </c>
      <c r="R52" s="130"/>
      <c r="S52" s="130"/>
      <c r="T52" s="130"/>
      <c r="U52" s="130"/>
      <c r="V52" s="130"/>
      <c r="W52" s="131"/>
      <c r="AB52" s="23"/>
      <c r="AC52" s="4">
        <f>+O16*10</f>
        <v>480243.66666666669</v>
      </c>
      <c r="AD52" s="23"/>
      <c r="AG52">
        <f>+O19*20</f>
        <v>862362.55818420101</v>
      </c>
    </row>
    <row r="53" spans="1:42">
      <c r="A53" s="11"/>
      <c r="B53" s="2"/>
      <c r="C53" s="2"/>
      <c r="D53" s="2"/>
      <c r="E53" s="59"/>
      <c r="F53" s="60"/>
      <c r="G53" s="12"/>
      <c r="H53" s="12"/>
      <c r="I53" s="8"/>
      <c r="J53" s="2"/>
      <c r="K53" s="7"/>
      <c r="AD53" s="23"/>
      <c r="AG53">
        <f>+O20*10</f>
        <v>420756.64448841714</v>
      </c>
      <c r="AI53" s="87">
        <v>-163</v>
      </c>
    </row>
    <row r="54" spans="1:42">
      <c r="A54" s="11"/>
      <c r="B54" s="2"/>
      <c r="C54" s="2"/>
      <c r="D54" s="2"/>
      <c r="E54" s="59"/>
      <c r="F54" s="60"/>
      <c r="G54" s="12"/>
      <c r="H54" s="12"/>
      <c r="I54" s="8"/>
      <c r="J54" s="2"/>
      <c r="K54" s="7"/>
      <c r="Q54" s="46">
        <v>45231</v>
      </c>
      <c r="R54" s="46">
        <v>45261</v>
      </c>
      <c r="S54" s="46">
        <v>45292</v>
      </c>
      <c r="T54" s="46">
        <v>45323</v>
      </c>
      <c r="U54" s="46">
        <v>45352</v>
      </c>
      <c r="V54" s="46">
        <v>45383</v>
      </c>
      <c r="W54" s="46">
        <v>45413</v>
      </c>
      <c r="X54" s="46">
        <v>45444</v>
      </c>
      <c r="Y54" s="46">
        <v>45474</v>
      </c>
      <c r="Z54" s="46">
        <v>45505</v>
      </c>
      <c r="AA54" s="46">
        <v>45536</v>
      </c>
      <c r="AB54" s="46">
        <v>45566</v>
      </c>
      <c r="AC54" s="46">
        <v>45597</v>
      </c>
      <c r="AD54" s="46">
        <v>45627</v>
      </c>
      <c r="AE54" s="85">
        <v>45658</v>
      </c>
      <c r="AF54" s="85">
        <v>45689</v>
      </c>
      <c r="AG54" s="85">
        <v>45717</v>
      </c>
      <c r="AH54" s="85">
        <v>45748</v>
      </c>
      <c r="AI54" s="85">
        <v>45778</v>
      </c>
      <c r="AJ54" s="85">
        <v>45809</v>
      </c>
      <c r="AK54" s="85">
        <v>45839</v>
      </c>
      <c r="AL54" s="85">
        <v>45870</v>
      </c>
      <c r="AM54" s="85">
        <v>45901</v>
      </c>
      <c r="AN54" s="85">
        <v>45931</v>
      </c>
      <c r="AO54" s="85">
        <v>45962</v>
      </c>
      <c r="AP54" s="85">
        <v>45992</v>
      </c>
    </row>
    <row r="55" spans="1:42">
      <c r="A55" s="11"/>
      <c r="B55" s="2"/>
      <c r="C55" s="2"/>
      <c r="D55" s="2"/>
      <c r="E55" s="59"/>
      <c r="F55" s="60"/>
      <c r="G55" s="12"/>
      <c r="H55" s="12"/>
      <c r="I55" s="8"/>
      <c r="J55" s="2"/>
      <c r="K55" s="7"/>
      <c r="Q55" s="23">
        <f>+P4</f>
        <v>651561.93333333335</v>
      </c>
      <c r="R55" s="23">
        <f>+R4-Q55</f>
        <v>1303124.0666666667</v>
      </c>
      <c r="S55" s="23">
        <f>+R5-R56</f>
        <v>1273506.7075320804</v>
      </c>
      <c r="T55" s="22">
        <f>+R6-S56</f>
        <v>1242242</v>
      </c>
      <c r="U55" s="23">
        <f>-13+R7-T56</f>
        <v>1226465.5745693564</v>
      </c>
      <c r="V55" s="23">
        <f>+R8-U56</f>
        <v>1190720.6210723743</v>
      </c>
      <c r="W55" s="23">
        <f>+R9-V56</f>
        <v>1153398.4715043395</v>
      </c>
      <c r="X55" s="23">
        <f>+R10-W56</f>
        <v>1128893.750846467</v>
      </c>
      <c r="Y55" s="23">
        <f>+R11-X56</f>
        <v>1105101.6666666667</v>
      </c>
      <c r="Z55" s="23">
        <f>+R12-P12</f>
        <v>1046310.6666666667</v>
      </c>
      <c r="AA55" s="23">
        <f>+C13-Z56</f>
        <v>1028402.9190210471</v>
      </c>
      <c r="AB55" s="23">
        <f>+R14-P14</f>
        <v>995105.01341365336</v>
      </c>
      <c r="AC55" s="23">
        <f>+R15-AB56</f>
        <v>952152.29510704218</v>
      </c>
      <c r="AD55" s="23">
        <f>+R16-AC56</f>
        <v>960487.33333333326</v>
      </c>
      <c r="AE55" s="23">
        <f>+R17-AD56</f>
        <v>891689</v>
      </c>
      <c r="AF55" s="23">
        <f>1317956-AE56</f>
        <v>878637.33333333326</v>
      </c>
      <c r="AG55" s="23">
        <f>+C19-AF56</f>
        <v>862362.55818420113</v>
      </c>
      <c r="AH55" s="23">
        <f>+C20-AG56</f>
        <v>841513.28897683439</v>
      </c>
      <c r="AI55" s="98">
        <f>+C21-AH56+AI53</f>
        <v>821245.39236857637</v>
      </c>
      <c r="AJ55" s="23">
        <f>+O22*20-1</f>
        <v>793159.3583756783</v>
      </c>
      <c r="AK55" s="23">
        <f>+O23*20+3</f>
        <v>771670.33333333337</v>
      </c>
      <c r="AL55" s="23">
        <f>+O24*20-49</f>
        <v>748413.66666666663</v>
      </c>
      <c r="AM55" s="23">
        <f>+O25*20-5</f>
        <v>730058.33333333326</v>
      </c>
      <c r="AN55" s="23">
        <f>+O26*20-6</f>
        <v>707886</v>
      </c>
      <c r="AO55" s="23">
        <f>+O27*20-3</f>
        <v>686258.33333333326</v>
      </c>
      <c r="AP55" s="23">
        <f>+O28*20+2</f>
        <v>664010</v>
      </c>
    </row>
    <row r="56" spans="1:42">
      <c r="A56" s="11"/>
      <c r="B56" s="2"/>
      <c r="C56" s="2"/>
      <c r="D56" s="2"/>
      <c r="E56" s="59"/>
      <c r="F56" s="60"/>
      <c r="G56" s="12"/>
      <c r="H56" s="12"/>
      <c r="I56" s="8"/>
      <c r="J56" s="2"/>
      <c r="K56" s="7"/>
      <c r="Q56" s="39"/>
      <c r="R56" s="40">
        <f>+P5</f>
        <v>636753.29246791964</v>
      </c>
      <c r="S56" s="40">
        <f>+P6</f>
        <v>621121</v>
      </c>
      <c r="T56" s="40">
        <f>+P7</f>
        <v>613259.42543064361</v>
      </c>
      <c r="U56" s="40">
        <f>+P8</f>
        <v>595360.37892762583</v>
      </c>
      <c r="V56" s="40">
        <f>+P9</f>
        <v>576728.52849566063</v>
      </c>
      <c r="W56" s="40">
        <f>+P10</f>
        <v>564465.24915353314</v>
      </c>
      <c r="X56" s="40">
        <f>+P11</f>
        <v>547767.33333333326</v>
      </c>
      <c r="Y56" s="40">
        <f>+P12</f>
        <v>523155.33333333331</v>
      </c>
      <c r="Z56" s="40">
        <f>+P13</f>
        <v>514201.45951052348</v>
      </c>
      <c r="AA56" s="70">
        <f>+P14</f>
        <v>496286.98658634664</v>
      </c>
      <c r="AB56" s="40">
        <f>+P15</f>
        <v>477459.70489295782</v>
      </c>
      <c r="AC56" s="40">
        <f>+P16</f>
        <v>480243.66666666669</v>
      </c>
      <c r="AD56" s="40">
        <f>+P17</f>
        <v>445858</v>
      </c>
      <c r="AE56" s="40">
        <f>+P18</f>
        <v>439318.66666666669</v>
      </c>
      <c r="AF56" s="40">
        <f>+P19</f>
        <v>431181.27909210051</v>
      </c>
      <c r="AG56" s="40">
        <f>+P20</f>
        <v>420756.64448841714</v>
      </c>
      <c r="AH56" s="40">
        <f>+P21</f>
        <v>410704.19618428813</v>
      </c>
      <c r="AI56" s="40">
        <f>+P22</f>
        <v>396580.17918783915</v>
      </c>
      <c r="AJ56" s="40">
        <f>+P23</f>
        <v>385833.66666666669</v>
      </c>
      <c r="AK56" s="40">
        <f>+P24</f>
        <v>374231.33333333331</v>
      </c>
      <c r="AL56" s="40">
        <f>+P25</f>
        <v>365031.66666666663</v>
      </c>
      <c r="AM56" s="40">
        <f>+P26</f>
        <v>353946</v>
      </c>
      <c r="AN56" s="40">
        <f>+P27</f>
        <v>343130.66666666663</v>
      </c>
      <c r="AO56" s="40">
        <f>+P28</f>
        <v>332004</v>
      </c>
      <c r="AP56" s="40">
        <f>+P29</f>
        <v>322412.33333333331</v>
      </c>
    </row>
    <row r="57" spans="1:42">
      <c r="A57" s="11"/>
      <c r="B57" s="2"/>
      <c r="C57" s="2"/>
      <c r="D57" s="2"/>
      <c r="E57" s="59"/>
      <c r="F57" s="60"/>
      <c r="G57" s="12"/>
      <c r="H57" s="12"/>
      <c r="I57" s="8"/>
      <c r="J57" s="2"/>
      <c r="K57" s="7"/>
      <c r="Q57" s="23">
        <f>+Q55</f>
        <v>651561.93333333335</v>
      </c>
      <c r="R57" s="23">
        <f t="shared" ref="R57:AC57" si="47">SUM(R55:R56)</f>
        <v>1939877.3591345863</v>
      </c>
      <c r="S57" s="23">
        <f t="shared" si="47"/>
        <v>1894627.7075320804</v>
      </c>
      <c r="T57" s="23">
        <f t="shared" si="47"/>
        <v>1855501.4254306436</v>
      </c>
      <c r="U57" s="23">
        <f t="shared" si="47"/>
        <v>1821825.9534969823</v>
      </c>
      <c r="V57" s="23">
        <f t="shared" si="47"/>
        <v>1767449.1495680348</v>
      </c>
      <c r="W57" s="23">
        <f t="shared" si="47"/>
        <v>1717863.7206578725</v>
      </c>
      <c r="X57" s="23">
        <f t="shared" si="47"/>
        <v>1676661.0841798002</v>
      </c>
      <c r="Y57" s="23">
        <f t="shared" si="47"/>
        <v>1628257</v>
      </c>
      <c r="Z57" s="23">
        <f t="shared" si="47"/>
        <v>1560512.1261771903</v>
      </c>
      <c r="AA57" s="23">
        <f t="shared" si="47"/>
        <v>1524689.9056073937</v>
      </c>
      <c r="AB57" s="23">
        <f t="shared" si="47"/>
        <v>1472564.7183066113</v>
      </c>
      <c r="AC57" s="23">
        <f t="shared" si="47"/>
        <v>1432395.9617737089</v>
      </c>
      <c r="AD57" s="23">
        <f>+AD55+AD56</f>
        <v>1406345.3333333333</v>
      </c>
      <c r="AE57" s="23">
        <f>+AE55+AE56</f>
        <v>1331007.6666666667</v>
      </c>
      <c r="AF57" s="23">
        <f>+AF56+AF55</f>
        <v>1309818.6124254337</v>
      </c>
      <c r="AG57" s="23">
        <f>+AG56+AG55</f>
        <v>1283119.2026726182</v>
      </c>
      <c r="AH57" s="23">
        <f>+AH56+AH55</f>
        <v>1252217.4851611224</v>
      </c>
      <c r="AI57" s="23">
        <f t="shared" ref="AI57:AP57" si="48">SUM(AI55:AI56)</f>
        <v>1217825.5715564154</v>
      </c>
      <c r="AJ57" s="23">
        <f t="shared" si="48"/>
        <v>1178993.025042345</v>
      </c>
      <c r="AK57" s="23">
        <f t="shared" si="48"/>
        <v>1145901.6666666667</v>
      </c>
      <c r="AL57" s="23">
        <f t="shared" si="48"/>
        <v>1113445.3333333333</v>
      </c>
      <c r="AM57" s="23">
        <f t="shared" si="48"/>
        <v>1084004.3333333333</v>
      </c>
      <c r="AN57" s="23">
        <f t="shared" si="48"/>
        <v>1051016.6666666665</v>
      </c>
      <c r="AO57" s="23">
        <f t="shared" si="48"/>
        <v>1018262.3333333333</v>
      </c>
      <c r="AP57" s="23">
        <f t="shared" si="48"/>
        <v>986422.33333333326</v>
      </c>
    </row>
    <row r="58" spans="1:42">
      <c r="A58" s="11"/>
      <c r="B58" s="2"/>
      <c r="C58" s="2"/>
      <c r="D58" s="2"/>
      <c r="E58" s="59"/>
      <c r="F58" s="60"/>
      <c r="G58" s="12"/>
      <c r="H58" s="12"/>
      <c r="I58" s="8"/>
      <c r="J58" s="2"/>
      <c r="K58" s="7"/>
      <c r="AC58" s="23">
        <f>+AC57+AC49</f>
        <v>1630534.9617737089</v>
      </c>
      <c r="AD58" s="23"/>
      <c r="AE58" s="23">
        <f>+AE57+AE50</f>
        <v>1391656.6666666667</v>
      </c>
    </row>
    <row r="59" spans="1:42">
      <c r="A59" s="11"/>
      <c r="B59" s="2"/>
      <c r="C59" s="2"/>
      <c r="D59" s="2"/>
      <c r="E59" s="59"/>
      <c r="F59" s="60"/>
      <c r="G59" s="12"/>
      <c r="H59" s="12"/>
      <c r="I59" s="8"/>
      <c r="J59" s="2"/>
      <c r="K59" s="7"/>
      <c r="Q59" s="23"/>
      <c r="R59" s="23">
        <f>+Q57+R55</f>
        <v>1954686</v>
      </c>
      <c r="S59" s="23">
        <f>+S55+R56</f>
        <v>1910260</v>
      </c>
      <c r="T59" s="23">
        <f>+T55+S56</f>
        <v>1863363</v>
      </c>
      <c r="U59" s="23">
        <f>+U55+T56</f>
        <v>1839725</v>
      </c>
      <c r="V59" s="23">
        <f>+V55+U56</f>
        <v>1786081</v>
      </c>
      <c r="W59" s="23">
        <f t="shared" ref="W59:X59" si="49">+W55+V56</f>
        <v>1730127</v>
      </c>
      <c r="X59" s="23">
        <f t="shared" si="49"/>
        <v>1693359</v>
      </c>
      <c r="Y59" s="23">
        <f t="shared" ref="Y59:AF59" si="50">+Y56+Z55</f>
        <v>1569466</v>
      </c>
      <c r="Z59" s="23">
        <f t="shared" si="50"/>
        <v>1542604.3785315705</v>
      </c>
      <c r="AA59" s="23">
        <f t="shared" si="50"/>
        <v>1491392</v>
      </c>
      <c r="AB59" s="23">
        <f t="shared" si="50"/>
        <v>1429612</v>
      </c>
      <c r="AC59" s="23">
        <f t="shared" si="50"/>
        <v>1440731</v>
      </c>
      <c r="AD59" s="23">
        <f t="shared" si="50"/>
        <v>1337547</v>
      </c>
      <c r="AE59" s="23">
        <f t="shared" si="50"/>
        <v>1317956</v>
      </c>
      <c r="AF59" s="23">
        <f t="shared" si="50"/>
        <v>1293543.8372763016</v>
      </c>
    </row>
    <row r="60" spans="1:42">
      <c r="A60" s="11"/>
      <c r="B60" s="2"/>
      <c r="C60" s="2"/>
      <c r="D60" s="2"/>
      <c r="E60" s="59"/>
      <c r="F60" s="60"/>
      <c r="G60" s="12"/>
      <c r="H60" s="12"/>
      <c r="I60" s="8"/>
      <c r="J60" s="2"/>
      <c r="K60" s="7"/>
      <c r="AO60" s="23"/>
    </row>
    <row r="61" spans="1:42">
      <c r="A61" s="11"/>
      <c r="B61" s="2"/>
      <c r="C61" s="2"/>
      <c r="D61" s="2"/>
      <c r="E61" s="59"/>
      <c r="F61" s="60"/>
      <c r="G61" s="12"/>
      <c r="H61" s="12"/>
      <c r="I61" s="8"/>
      <c r="J61" s="2"/>
      <c r="K61" s="7"/>
      <c r="AN61" s="23"/>
    </row>
    <row r="62" spans="1:42" ht="15">
      <c r="A62" s="11"/>
      <c r="B62" s="2"/>
      <c r="C62" s="2"/>
      <c r="D62" s="2"/>
      <c r="E62" s="59"/>
      <c r="F62" s="60"/>
      <c r="G62" s="12"/>
      <c r="H62" s="12"/>
      <c r="I62" s="8"/>
      <c r="J62" s="2"/>
      <c r="K62" s="7"/>
      <c r="Q62" s="85">
        <v>46023</v>
      </c>
      <c r="R62" s="85">
        <v>46054</v>
      </c>
      <c r="S62" s="85">
        <v>46082</v>
      </c>
      <c r="T62" s="85">
        <v>46113</v>
      </c>
      <c r="U62" s="85">
        <v>46143</v>
      </c>
      <c r="V62" s="85">
        <v>46143</v>
      </c>
      <c r="W62" s="85">
        <v>46174</v>
      </c>
      <c r="X62" s="85">
        <v>46204</v>
      </c>
      <c r="AP62" s="23"/>
    </row>
    <row r="63" spans="1:42">
      <c r="A63" s="11"/>
      <c r="B63" s="2"/>
      <c r="C63" s="2"/>
      <c r="D63" s="2"/>
      <c r="E63" s="59"/>
      <c r="F63" s="60"/>
      <c r="G63" s="12"/>
      <c r="H63" s="12"/>
      <c r="I63" s="8"/>
      <c r="J63" s="2"/>
      <c r="K63" s="7"/>
      <c r="Q63" s="23">
        <f>+O29*20</f>
        <v>644824.66666666663</v>
      </c>
      <c r="R63" s="23">
        <f>+O30*20-2</f>
        <v>627944</v>
      </c>
      <c r="S63" s="23">
        <f>+O31*20+1</f>
        <v>621735</v>
      </c>
      <c r="T63" s="23">
        <f>+O32*20+1</f>
        <v>615373</v>
      </c>
      <c r="V63" s="23">
        <f>+O33*20-4</f>
        <v>601802</v>
      </c>
      <c r="W63" s="23">
        <f>+O34*20+5</f>
        <v>570611</v>
      </c>
      <c r="X63" s="23">
        <f>+O35*20-5</f>
        <v>552424.33333333337</v>
      </c>
      <c r="AJ63" s="22"/>
      <c r="AK63" s="22"/>
      <c r="AL63" s="23"/>
    </row>
    <row r="64" spans="1:42">
      <c r="A64" s="11"/>
      <c r="B64" s="35"/>
      <c r="C64" s="35"/>
      <c r="D64" s="35"/>
      <c r="E64" s="35"/>
      <c r="F64" s="35"/>
      <c r="G64" s="12"/>
      <c r="H64" s="12"/>
      <c r="I64" s="8"/>
      <c r="J64" s="2"/>
      <c r="K64" s="38"/>
      <c r="Q64" s="40">
        <f>+P30</f>
        <v>313973</v>
      </c>
      <c r="R64" s="40">
        <f>+P31</f>
        <v>310867</v>
      </c>
      <c r="S64" s="40">
        <f>+P32</f>
        <v>307686</v>
      </c>
      <c r="T64" s="40">
        <f>+P33</f>
        <v>300903</v>
      </c>
      <c r="V64" s="40">
        <f>+P34</f>
        <v>285303</v>
      </c>
      <c r="W64" s="40">
        <f>+P35</f>
        <v>276214.66666666669</v>
      </c>
      <c r="X64" s="40">
        <f>+P36</f>
        <v>268379.33333333337</v>
      </c>
      <c r="AJ64" s="22"/>
      <c r="AK64" s="22"/>
      <c r="AL64" s="23"/>
    </row>
    <row r="65" spans="1:38">
      <c r="A65" s="11"/>
      <c r="B65" s="35"/>
      <c r="C65" s="35"/>
      <c r="D65" s="35"/>
      <c r="E65" s="35"/>
      <c r="F65" s="35"/>
      <c r="G65" s="12"/>
      <c r="H65" s="12"/>
      <c r="I65" s="8"/>
      <c r="J65" s="35"/>
      <c r="K65" s="38"/>
      <c r="Q65" s="23">
        <f t="shared" ref="Q65:X65" si="51">SUM(Q63:Q64)</f>
        <v>958797.66666666663</v>
      </c>
      <c r="R65" s="23">
        <f t="shared" si="51"/>
        <v>938811</v>
      </c>
      <c r="S65" s="23">
        <f t="shared" si="51"/>
        <v>929421</v>
      </c>
      <c r="T65" s="23">
        <f t="shared" si="51"/>
        <v>916276</v>
      </c>
      <c r="V65" s="23">
        <f t="shared" si="51"/>
        <v>887105</v>
      </c>
      <c r="W65" s="23">
        <f t="shared" si="51"/>
        <v>846825.66666666674</v>
      </c>
      <c r="X65" s="23">
        <f t="shared" si="51"/>
        <v>820803.66666666674</v>
      </c>
      <c r="AJ65" s="22"/>
      <c r="AK65" s="22"/>
      <c r="AL65" s="23"/>
    </row>
    <row r="66" spans="1:38">
      <c r="A66" s="11"/>
      <c r="B66" s="35"/>
      <c r="C66" s="35"/>
      <c r="D66" s="35"/>
      <c r="E66" s="35"/>
      <c r="F66" s="35"/>
      <c r="G66" s="12"/>
      <c r="H66" s="12"/>
      <c r="I66" s="8"/>
      <c r="J66" s="35"/>
      <c r="K66" s="38"/>
      <c r="AJ66" s="22"/>
      <c r="AK66" s="22"/>
      <c r="AL66" s="23"/>
    </row>
    <row r="67" spans="1:38">
      <c r="A67" s="11"/>
      <c r="B67" s="35"/>
      <c r="C67" s="35"/>
      <c r="D67" s="35"/>
      <c r="E67" s="35"/>
      <c r="F67" s="35"/>
      <c r="G67" s="12"/>
      <c r="H67" s="12"/>
      <c r="I67" s="8"/>
      <c r="J67" s="35"/>
      <c r="K67" s="38"/>
      <c r="AJ67" s="22"/>
      <c r="AK67" s="22"/>
      <c r="AL67" s="23"/>
    </row>
    <row r="68" spans="1:38">
      <c r="A68" s="11"/>
      <c r="B68" s="35"/>
      <c r="C68" s="35"/>
      <c r="D68" s="35"/>
      <c r="E68" s="35"/>
      <c r="F68" s="35"/>
      <c r="G68" s="36"/>
      <c r="H68" s="36"/>
      <c r="I68" s="37"/>
      <c r="J68" s="35"/>
      <c r="K68" s="38"/>
      <c r="Q68" s="23"/>
      <c r="R68" s="23"/>
      <c r="T68" s="23"/>
      <c r="W68" s="23"/>
      <c r="X68" s="23"/>
      <c r="AJ68" s="22"/>
      <c r="AK68" s="22"/>
      <c r="AL68" s="23"/>
    </row>
    <row r="69" spans="1:38">
      <c r="A69" s="11"/>
      <c r="B69" s="35"/>
      <c r="C69" s="35"/>
      <c r="D69" s="35"/>
      <c r="E69" s="35"/>
      <c r="F69" s="35"/>
      <c r="G69" s="36"/>
      <c r="H69" s="36"/>
      <c r="I69" s="37"/>
      <c r="J69" s="35"/>
      <c r="K69" s="38"/>
      <c r="V69" s="23"/>
      <c r="AJ69" s="22"/>
      <c r="AK69" s="22"/>
      <c r="AL69" s="23"/>
    </row>
    <row r="70" spans="1:38">
      <c r="A70" s="11"/>
      <c r="B70" s="35"/>
      <c r="C70" s="35"/>
      <c r="D70" s="35"/>
      <c r="E70" s="35"/>
      <c r="F70" s="35"/>
      <c r="G70" s="36"/>
      <c r="H70" s="36"/>
      <c r="I70" s="37"/>
      <c r="J70" s="35"/>
      <c r="K70" s="38"/>
      <c r="AK70" s="23"/>
      <c r="AL70" s="23"/>
    </row>
    <row r="71" spans="1:38">
      <c r="A71" s="11"/>
      <c r="B71" s="35"/>
      <c r="C71" s="35"/>
      <c r="D71" s="35"/>
      <c r="E71" s="35"/>
      <c r="F71" s="35"/>
      <c r="G71" s="36"/>
      <c r="H71" s="36"/>
      <c r="I71" s="37"/>
      <c r="J71" s="35"/>
      <c r="K71" s="38"/>
      <c r="S71" s="23"/>
    </row>
    <row r="72" spans="1:38">
      <c r="A72" s="11"/>
      <c r="B72" s="35"/>
      <c r="C72" s="35"/>
      <c r="D72" s="35"/>
      <c r="E72" s="35"/>
      <c r="F72" s="35"/>
      <c r="G72" s="36"/>
      <c r="H72" s="36"/>
      <c r="I72" s="37"/>
      <c r="J72" s="35"/>
      <c r="K72" s="38"/>
    </row>
    <row r="73" spans="1:38">
      <c r="A73" s="11"/>
      <c r="B73" s="35"/>
      <c r="C73" s="35"/>
      <c r="D73" s="35"/>
      <c r="E73" s="35"/>
      <c r="F73" s="35"/>
      <c r="G73" s="36"/>
      <c r="H73" s="36"/>
      <c r="I73" s="37"/>
      <c r="J73" s="35"/>
      <c r="K73" s="38"/>
    </row>
    <row r="74" spans="1:38">
      <c r="A74" s="11"/>
      <c r="B74" s="35"/>
      <c r="C74" s="35"/>
      <c r="D74" s="35"/>
      <c r="E74" s="35"/>
      <c r="F74" s="35"/>
      <c r="G74" s="36"/>
      <c r="H74" s="36"/>
      <c r="I74" s="37"/>
      <c r="J74" s="35"/>
      <c r="K74" s="38"/>
    </row>
    <row r="75" spans="1:38">
      <c r="A75" s="11"/>
      <c r="B75" s="35"/>
      <c r="C75" s="35"/>
      <c r="D75" s="35"/>
      <c r="E75" s="35"/>
      <c r="F75" s="35"/>
      <c r="G75" s="36"/>
      <c r="H75" s="36"/>
      <c r="I75" s="37"/>
      <c r="J75" s="35"/>
      <c r="K75" s="38"/>
    </row>
    <row r="76" spans="1:38">
      <c r="A76" s="11"/>
      <c r="B76" s="35"/>
      <c r="C76" s="35"/>
      <c r="D76" s="35"/>
      <c r="E76" s="35"/>
      <c r="F76" s="35"/>
      <c r="G76" s="36"/>
      <c r="H76" s="36"/>
      <c r="I76" s="37"/>
      <c r="J76" s="35"/>
      <c r="K76" s="38"/>
    </row>
    <row r="77" spans="1:38">
      <c r="A77" s="11"/>
      <c r="B77" s="35"/>
      <c r="C77" s="35"/>
      <c r="D77" s="35"/>
      <c r="E77" s="35"/>
      <c r="F77" s="35"/>
      <c r="G77" s="36"/>
      <c r="H77" s="36"/>
      <c r="I77" s="37"/>
      <c r="J77" s="35"/>
      <c r="K77" s="38"/>
    </row>
    <row r="78" spans="1:38">
      <c r="A78" s="11"/>
      <c r="B78" s="35"/>
      <c r="C78" s="35"/>
      <c r="D78" s="35"/>
      <c r="E78" s="35"/>
      <c r="F78" s="35"/>
      <c r="G78" s="36"/>
      <c r="H78" s="36"/>
      <c r="I78" s="37"/>
      <c r="J78" s="35"/>
      <c r="K78" s="38"/>
    </row>
    <row r="79" spans="1:38">
      <c r="A79" s="11"/>
      <c r="B79" s="35"/>
      <c r="C79" s="35"/>
      <c r="D79" s="35"/>
      <c r="E79" s="35"/>
      <c r="F79" s="35"/>
      <c r="G79" s="36"/>
      <c r="H79" s="36"/>
      <c r="I79" s="37"/>
      <c r="J79" s="35"/>
      <c r="K79" s="38"/>
    </row>
    <row r="80" spans="1:38">
      <c r="A80" s="11"/>
      <c r="B80" s="35"/>
      <c r="C80" s="35"/>
      <c r="D80" s="35"/>
      <c r="E80" s="35"/>
      <c r="F80" s="35"/>
      <c r="G80" s="36"/>
      <c r="H80" s="36"/>
      <c r="I80" s="37"/>
      <c r="J80" s="35"/>
      <c r="K80" s="38"/>
    </row>
    <row r="81" spans="1:11">
      <c r="A81" s="11"/>
      <c r="B81" s="35"/>
      <c r="C81" s="35"/>
      <c r="D81" s="35"/>
      <c r="E81" s="35"/>
      <c r="F81" s="35"/>
      <c r="G81" s="36"/>
      <c r="H81" s="36"/>
      <c r="I81" s="37"/>
      <c r="J81" s="35"/>
      <c r="K81" s="38"/>
    </row>
    <row r="82" spans="1:11">
      <c r="A82" s="11"/>
      <c r="B82" s="35"/>
      <c r="C82" s="35"/>
      <c r="D82" s="35"/>
      <c r="E82" s="35"/>
      <c r="F82" s="35"/>
      <c r="G82" s="36"/>
      <c r="H82" s="36"/>
      <c r="I82" s="37"/>
      <c r="J82" s="35"/>
      <c r="K82" s="38"/>
    </row>
    <row r="83" spans="1:11">
      <c r="A83" s="11"/>
      <c r="B83" s="35"/>
      <c r="C83" s="35"/>
      <c r="D83" s="35"/>
      <c r="E83" s="35"/>
      <c r="F83" s="35"/>
      <c r="G83" s="36"/>
      <c r="H83" s="36"/>
      <c r="I83" s="37"/>
      <c r="J83" s="35"/>
      <c r="K83" s="38"/>
    </row>
    <row r="84" spans="1:11">
      <c r="A84" s="11"/>
      <c r="B84" s="35"/>
      <c r="C84" s="35"/>
      <c r="D84" s="35"/>
      <c r="E84" s="35"/>
      <c r="F84" s="35"/>
      <c r="G84" s="36"/>
      <c r="H84" s="36"/>
      <c r="I84" s="37"/>
      <c r="J84" s="35"/>
      <c r="K84" s="38"/>
    </row>
    <row r="85" spans="1:11">
      <c r="A85" s="11"/>
      <c r="B85" s="35"/>
      <c r="C85" s="35"/>
      <c r="D85" s="35"/>
      <c r="E85" s="35"/>
      <c r="F85" s="35"/>
      <c r="G85" s="36"/>
      <c r="H85" s="36"/>
      <c r="I85" s="37"/>
      <c r="J85" s="35"/>
      <c r="K85" s="38"/>
    </row>
    <row r="86" spans="1:11">
      <c r="A86" s="11"/>
      <c r="B86" s="35"/>
      <c r="C86" s="35"/>
      <c r="D86" s="35"/>
      <c r="E86" s="35"/>
      <c r="F86" s="35"/>
      <c r="G86" s="36"/>
      <c r="H86" s="36"/>
      <c r="I86" s="37"/>
      <c r="J86" s="35"/>
      <c r="K86" s="38"/>
    </row>
    <row r="87" spans="1:11">
      <c r="A87" s="11"/>
      <c r="B87" s="35"/>
      <c r="C87" s="35"/>
      <c r="D87" s="35"/>
      <c r="E87" s="35"/>
      <c r="F87" s="35"/>
      <c r="G87" s="36"/>
      <c r="H87" s="36"/>
      <c r="I87" s="37"/>
      <c r="J87" s="35"/>
      <c r="K87" s="38"/>
    </row>
    <row r="88" spans="1:11">
      <c r="A88" s="11"/>
      <c r="B88" s="35"/>
      <c r="C88" s="35"/>
      <c r="D88" s="35"/>
      <c r="E88" s="35"/>
      <c r="F88" s="35"/>
      <c r="G88" s="36"/>
      <c r="H88" s="36"/>
      <c r="I88" s="37"/>
      <c r="J88" s="35"/>
      <c r="K88" s="38"/>
    </row>
    <row r="89" spans="1:11">
      <c r="A89" s="11"/>
      <c r="B89" s="35"/>
      <c r="C89" s="35"/>
      <c r="D89" s="35"/>
      <c r="E89" s="35"/>
      <c r="F89" s="35"/>
      <c r="G89" s="36"/>
      <c r="H89" s="36"/>
      <c r="I89" s="37"/>
      <c r="J89" s="35"/>
      <c r="K89" s="38"/>
    </row>
    <row r="90" spans="1:11">
      <c r="A90" s="11"/>
      <c r="B90" s="35"/>
      <c r="C90" s="35"/>
      <c r="D90" s="35"/>
      <c r="E90" s="35"/>
      <c r="F90" s="35"/>
      <c r="G90" s="36"/>
      <c r="H90" s="36"/>
      <c r="I90" s="37"/>
      <c r="J90" s="35"/>
      <c r="K90" s="38"/>
    </row>
    <row r="91" spans="1:11">
      <c r="A91" s="11"/>
      <c r="B91" s="35"/>
      <c r="C91" s="35"/>
      <c r="D91" s="35"/>
      <c r="E91" s="35"/>
      <c r="F91" s="35"/>
      <c r="G91" s="36"/>
      <c r="H91" s="36"/>
      <c r="I91" s="37"/>
      <c r="J91" s="35"/>
      <c r="K91" s="38"/>
    </row>
    <row r="92" spans="1:11">
      <c r="A92" s="11"/>
      <c r="B92" s="35"/>
      <c r="C92" s="35"/>
      <c r="D92" s="35"/>
      <c r="E92" s="35"/>
      <c r="F92" s="35"/>
      <c r="G92" s="36"/>
      <c r="H92" s="36"/>
      <c r="I92" s="37"/>
      <c r="J92" s="35"/>
      <c r="K92" s="38"/>
    </row>
    <row r="93" spans="1:11">
      <c r="A93" s="11"/>
      <c r="B93" s="35"/>
      <c r="C93" s="35"/>
      <c r="D93" s="35"/>
      <c r="E93" s="35"/>
      <c r="F93" s="35"/>
      <c r="G93" s="36"/>
      <c r="H93" s="36"/>
      <c r="I93" s="37"/>
      <c r="J93" s="35"/>
      <c r="K93" s="38"/>
    </row>
    <row r="94" spans="1:11">
      <c r="A94" s="11"/>
      <c r="B94" s="35"/>
      <c r="C94" s="35"/>
      <c r="D94" s="35"/>
      <c r="E94" s="35"/>
      <c r="F94" s="35"/>
      <c r="G94" s="36"/>
      <c r="H94" s="36"/>
      <c r="I94" s="37"/>
      <c r="J94" s="35"/>
      <c r="K94" s="38"/>
    </row>
    <row r="95" spans="1:11">
      <c r="A95" s="11"/>
      <c r="B95" s="35"/>
      <c r="C95" s="35"/>
      <c r="D95" s="35"/>
      <c r="E95" s="35"/>
      <c r="F95" s="35"/>
      <c r="G95" s="36"/>
      <c r="H95" s="36"/>
      <c r="I95" s="37"/>
      <c r="J95" s="35"/>
      <c r="K95" s="38"/>
    </row>
    <row r="96" spans="1:11">
      <c r="A96" s="11"/>
      <c r="B96" s="35"/>
      <c r="C96" s="35"/>
      <c r="D96" s="35"/>
      <c r="E96" s="35"/>
      <c r="F96" s="35"/>
      <c r="G96" s="36"/>
      <c r="H96" s="36"/>
      <c r="I96" s="37"/>
      <c r="J96" s="35"/>
      <c r="K96" s="38"/>
    </row>
    <row r="97" spans="1:11">
      <c r="A97" s="11"/>
      <c r="B97" s="35"/>
      <c r="C97" s="35"/>
      <c r="D97" s="35"/>
      <c r="E97" s="35"/>
      <c r="F97" s="35"/>
      <c r="G97" s="36"/>
      <c r="H97" s="36"/>
      <c r="I97" s="37"/>
      <c r="J97" s="35"/>
      <c r="K97" s="38"/>
    </row>
    <row r="98" spans="1:11">
      <c r="A98" s="11"/>
      <c r="B98" s="35"/>
      <c r="C98" s="35"/>
      <c r="D98" s="35"/>
      <c r="E98" s="35"/>
      <c r="F98" s="35"/>
      <c r="G98" s="36"/>
      <c r="H98" s="36"/>
      <c r="I98" s="37"/>
      <c r="J98" s="35"/>
      <c r="K98" s="38"/>
    </row>
    <row r="99" spans="1:11">
      <c r="A99" s="11"/>
      <c r="B99" s="35"/>
      <c r="C99" s="35"/>
      <c r="D99" s="35"/>
      <c r="E99" s="35"/>
      <c r="F99" s="35"/>
      <c r="G99" s="36"/>
      <c r="H99" s="36"/>
      <c r="I99" s="37"/>
      <c r="J99" s="35"/>
      <c r="K99" s="38"/>
    </row>
    <row r="100" spans="1:11">
      <c r="A100" s="11"/>
      <c r="B100" s="35"/>
      <c r="C100" s="35"/>
      <c r="D100" s="35"/>
      <c r="E100" s="35"/>
      <c r="F100" s="35"/>
      <c r="G100" s="36"/>
      <c r="H100" s="36"/>
      <c r="I100" s="37"/>
      <c r="J100" s="35"/>
      <c r="K100" s="38"/>
    </row>
    <row r="101" spans="1:11">
      <c r="A101" s="11"/>
      <c r="B101" s="35"/>
      <c r="C101" s="35"/>
      <c r="D101" s="35"/>
      <c r="E101" s="35"/>
      <c r="F101" s="35"/>
      <c r="G101" s="36"/>
      <c r="H101" s="36"/>
      <c r="I101" s="37"/>
      <c r="J101" s="35"/>
      <c r="K101" s="38"/>
    </row>
    <row r="102" spans="1:11">
      <c r="A102" s="11"/>
      <c r="B102" s="35"/>
      <c r="C102" s="35"/>
      <c r="D102" s="35"/>
      <c r="E102" s="35"/>
      <c r="F102" s="35"/>
      <c r="G102" s="36"/>
      <c r="H102" s="36"/>
      <c r="I102" s="37"/>
      <c r="J102" s="35"/>
      <c r="K102" s="38"/>
    </row>
    <row r="103" spans="1:11">
      <c r="A103" s="11"/>
      <c r="B103" s="35"/>
      <c r="C103" s="35"/>
      <c r="D103" s="35"/>
      <c r="E103" s="35"/>
      <c r="F103" s="35"/>
      <c r="G103" s="36"/>
      <c r="H103" s="36"/>
      <c r="I103" s="37"/>
      <c r="J103" s="35"/>
      <c r="K103" s="38"/>
    </row>
    <row r="104" spans="1:11">
      <c r="A104" s="11"/>
      <c r="B104" s="35"/>
      <c r="C104" s="35"/>
      <c r="D104" s="35"/>
      <c r="E104" s="35"/>
      <c r="F104" s="35"/>
      <c r="G104" s="36"/>
      <c r="H104" s="36"/>
      <c r="I104" s="37"/>
      <c r="J104" s="35"/>
      <c r="K104" s="38"/>
    </row>
    <row r="105" spans="1:11">
      <c r="A105" s="11"/>
      <c r="B105" s="35"/>
      <c r="C105" s="35"/>
      <c r="D105" s="35"/>
      <c r="E105" s="35"/>
      <c r="F105" s="35"/>
      <c r="G105" s="36"/>
      <c r="H105" s="36"/>
      <c r="I105" s="37"/>
      <c r="J105" s="35"/>
      <c r="K105" s="38"/>
    </row>
    <row r="106" spans="1:11">
      <c r="A106" s="11"/>
      <c r="B106" s="35"/>
      <c r="C106" s="35"/>
      <c r="D106" s="35"/>
      <c r="E106" s="35"/>
      <c r="F106" s="35"/>
      <c r="G106" s="36"/>
      <c r="H106" s="36"/>
      <c r="I106" s="37"/>
      <c r="J106" s="35"/>
      <c r="K106" s="38"/>
    </row>
    <row r="107" spans="1:11">
      <c r="A107" s="11"/>
      <c r="B107" s="35"/>
      <c r="C107" s="35"/>
      <c r="D107" s="35"/>
      <c r="E107" s="35"/>
      <c r="F107" s="35"/>
      <c r="G107" s="36"/>
      <c r="H107" s="36"/>
      <c r="I107" s="37"/>
      <c r="J107" s="35"/>
      <c r="K107" s="38"/>
    </row>
    <row r="108" spans="1:11">
      <c r="A108" s="11"/>
      <c r="B108" s="35"/>
      <c r="C108" s="35"/>
      <c r="D108" s="35"/>
      <c r="E108" s="35"/>
      <c r="F108" s="35"/>
      <c r="G108" s="36"/>
      <c r="H108" s="36"/>
      <c r="I108" s="37"/>
      <c r="J108" s="35"/>
      <c r="K108" s="38"/>
    </row>
    <row r="109" spans="1:11">
      <c r="A109" s="11"/>
      <c r="B109" s="35"/>
      <c r="C109" s="35"/>
      <c r="D109" s="35"/>
      <c r="E109" s="35"/>
      <c r="F109" s="35"/>
      <c r="G109" s="36"/>
      <c r="H109" s="36"/>
      <c r="I109" s="37"/>
      <c r="J109" s="35"/>
      <c r="K109" s="38"/>
    </row>
    <row r="110" spans="1:11">
      <c r="A110" s="11"/>
      <c r="B110" s="35"/>
      <c r="C110" s="35"/>
      <c r="D110" s="35"/>
      <c r="E110" s="35"/>
      <c r="F110" s="35"/>
      <c r="G110" s="36"/>
      <c r="H110" s="36"/>
      <c r="I110" s="37"/>
      <c r="J110" s="35"/>
      <c r="K110" s="38"/>
    </row>
    <row r="111" spans="1:11">
      <c r="A111" s="11"/>
      <c r="B111" s="35"/>
      <c r="C111" s="35"/>
      <c r="D111" s="35"/>
      <c r="E111" s="35"/>
      <c r="F111" s="35"/>
      <c r="G111" s="36"/>
      <c r="H111" s="36"/>
      <c r="I111" s="37"/>
      <c r="J111" s="35"/>
      <c r="K111" s="38"/>
    </row>
    <row r="112" spans="1:11">
      <c r="A112" s="11"/>
      <c r="B112" s="35"/>
      <c r="C112" s="35"/>
      <c r="D112" s="35"/>
      <c r="E112" s="35"/>
      <c r="F112" s="35"/>
      <c r="G112" s="36"/>
      <c r="H112" s="36"/>
      <c r="I112" s="37"/>
      <c r="J112" s="35"/>
      <c r="K112" s="38"/>
    </row>
    <row r="113" spans="1:11">
      <c r="A113" s="11"/>
      <c r="B113" s="35"/>
      <c r="C113" s="35"/>
      <c r="D113" s="35"/>
      <c r="E113" s="35"/>
      <c r="F113" s="35"/>
      <c r="G113" s="36"/>
      <c r="H113" s="36"/>
      <c r="I113" s="37"/>
      <c r="J113" s="35"/>
      <c r="K113" s="38"/>
    </row>
    <row r="114" spans="1:11">
      <c r="A114" s="11"/>
      <c r="B114" s="35"/>
      <c r="C114" s="35"/>
      <c r="D114" s="35"/>
      <c r="E114" s="35"/>
      <c r="F114" s="35"/>
      <c r="G114" s="36"/>
      <c r="H114" s="36"/>
      <c r="I114" s="37"/>
      <c r="J114" s="35"/>
      <c r="K114" s="38"/>
    </row>
    <row r="115" spans="1:11">
      <c r="A115" s="11"/>
      <c r="B115" s="35"/>
      <c r="C115" s="35"/>
      <c r="D115" s="35"/>
      <c r="E115" s="35"/>
      <c r="F115" s="35"/>
      <c r="G115" s="36"/>
      <c r="H115" s="36"/>
      <c r="I115" s="37"/>
      <c r="J115" s="35"/>
      <c r="K115" s="38"/>
    </row>
    <row r="116" spans="1:11">
      <c r="A116" s="11"/>
      <c r="B116" s="35"/>
      <c r="C116" s="35"/>
      <c r="D116" s="35"/>
      <c r="E116" s="35"/>
      <c r="F116" s="35"/>
      <c r="G116" s="36"/>
      <c r="H116" s="36"/>
      <c r="I116" s="37"/>
      <c r="J116" s="35"/>
      <c r="K116" s="38"/>
    </row>
    <row r="117" spans="1:11">
      <c r="A117" s="11"/>
      <c r="B117" s="35"/>
      <c r="C117" s="35"/>
      <c r="D117" s="35"/>
      <c r="E117" s="35"/>
      <c r="F117" s="35"/>
      <c r="G117" s="36"/>
      <c r="H117" s="36"/>
      <c r="I117" s="37"/>
      <c r="J117" s="35"/>
      <c r="K117" s="38"/>
    </row>
    <row r="118" spans="1:11">
      <c r="A118" s="11"/>
      <c r="B118" s="35"/>
      <c r="C118" s="35"/>
      <c r="D118" s="35"/>
      <c r="E118" s="35"/>
      <c r="F118" s="35"/>
      <c r="G118" s="36"/>
      <c r="H118" s="36"/>
      <c r="I118" s="37"/>
      <c r="J118" s="35"/>
      <c r="K118" s="38"/>
    </row>
    <row r="119" spans="1:11">
      <c r="A119" s="11"/>
      <c r="B119" s="35"/>
      <c r="C119" s="35"/>
      <c r="D119" s="35"/>
      <c r="E119" s="35"/>
      <c r="F119" s="35"/>
      <c r="G119" s="36"/>
      <c r="H119" s="36"/>
      <c r="I119" s="37"/>
      <c r="J119" s="35"/>
      <c r="K119" s="38"/>
    </row>
    <row r="120" spans="1:11">
      <c r="A120" s="11"/>
      <c r="B120" s="35"/>
      <c r="C120" s="35"/>
      <c r="D120" s="35"/>
      <c r="E120" s="35"/>
      <c r="F120" s="35"/>
      <c r="G120" s="36"/>
      <c r="H120" s="36"/>
      <c r="I120" s="37"/>
      <c r="J120" s="35"/>
      <c r="K120" s="38"/>
    </row>
    <row r="121" spans="1:11">
      <c r="A121" s="11"/>
      <c r="B121" s="35"/>
      <c r="C121" s="35"/>
      <c r="D121" s="35"/>
      <c r="E121" s="35"/>
      <c r="F121" s="35"/>
      <c r="G121" s="36"/>
      <c r="H121" s="36"/>
      <c r="I121" s="37"/>
      <c r="J121" s="35"/>
      <c r="K121" s="38"/>
    </row>
    <row r="122" spans="1:11">
      <c r="A122" s="11"/>
      <c r="B122" s="35"/>
      <c r="C122" s="35"/>
      <c r="D122" s="35"/>
      <c r="E122" s="35"/>
      <c r="F122" s="35"/>
      <c r="G122" s="36"/>
      <c r="H122" s="36"/>
      <c r="I122" s="37"/>
      <c r="J122" s="35"/>
      <c r="K122" s="38"/>
    </row>
    <row r="123" spans="1:11">
      <c r="A123" s="11"/>
      <c r="B123" s="35"/>
      <c r="C123" s="35"/>
      <c r="D123" s="35"/>
      <c r="E123" s="35"/>
      <c r="F123" s="35"/>
      <c r="G123" s="36"/>
      <c r="H123" s="36"/>
      <c r="I123" s="37"/>
      <c r="J123" s="35"/>
      <c r="K123" s="38"/>
    </row>
    <row r="124" spans="1:11">
      <c r="A124" s="11"/>
    </row>
  </sheetData>
  <mergeCells count="2">
    <mergeCell ref="Q52:W52"/>
    <mergeCell ref="Q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35" t="s">
        <v>23</v>
      </c>
      <c r="B2" s="136"/>
      <c r="C2" s="136"/>
      <c r="D2" s="137"/>
    </row>
    <row r="3" spans="1:4" ht="26.45">
      <c r="A3" s="25" t="s">
        <v>36</v>
      </c>
      <c r="B3" s="18" t="s">
        <v>37</v>
      </c>
      <c r="C3" s="19" t="s">
        <v>46</v>
      </c>
      <c r="D3" s="26" t="s">
        <v>47</v>
      </c>
    </row>
    <row r="4" spans="1:4">
      <c r="A4" s="27"/>
      <c r="B4" s="24"/>
      <c r="C4" s="24"/>
      <c r="D4" s="28"/>
    </row>
    <row r="5" spans="1:4">
      <c r="A5" s="27"/>
      <c r="B5" s="24"/>
      <c r="C5" s="24"/>
      <c r="D5" s="29"/>
    </row>
    <row r="6" spans="1:4" ht="15" thickBot="1">
      <c r="A6" s="30"/>
      <c r="B6" s="31"/>
      <c r="C6" s="32"/>
      <c r="D6" s="33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M26"/>
  <sheetViews>
    <sheetView topLeftCell="A9" workbookViewId="0">
      <selection activeCell="F19" sqref="F19"/>
    </sheetView>
  </sheetViews>
  <sheetFormatPr defaultColWidth="11.42578125" defaultRowHeight="15" customHeight="1"/>
  <cols>
    <col min="1" max="4" width="13.5703125" bestFit="1" customWidth="1"/>
    <col min="6" max="6" width="13.5703125" customWidth="1"/>
    <col min="8" max="11" width="13.5703125" bestFit="1" customWidth="1"/>
    <col min="12" max="12" width="13.140625" customWidth="1"/>
    <col min="13" max="13" width="16.140625" customWidth="1"/>
  </cols>
  <sheetData>
    <row r="2" spans="1:13" ht="14.45">
      <c r="A2" s="138" t="s">
        <v>48</v>
      </c>
      <c r="B2" s="138"/>
      <c r="C2" s="138"/>
      <c r="D2" s="138"/>
      <c r="G2" s="139" t="s">
        <v>49</v>
      </c>
      <c r="H2" s="139"/>
      <c r="I2" s="139"/>
      <c r="J2" s="139"/>
    </row>
    <row r="4" spans="1:13" ht="26.45">
      <c r="A4" s="47" t="s">
        <v>36</v>
      </c>
      <c r="B4" s="48" t="s">
        <v>37</v>
      </c>
      <c r="C4" s="49" t="s">
        <v>46</v>
      </c>
      <c r="D4" s="56" t="s">
        <v>47</v>
      </c>
      <c r="F4" s="50" t="s">
        <v>50</v>
      </c>
      <c r="G4" s="50" t="s">
        <v>36</v>
      </c>
      <c r="H4" s="51" t="s">
        <v>37</v>
      </c>
      <c r="I4" s="52" t="s">
        <v>46</v>
      </c>
      <c r="J4" s="52" t="s">
        <v>51</v>
      </c>
    </row>
    <row r="5" spans="1:13" ht="14.45">
      <c r="A5" s="54">
        <v>45092</v>
      </c>
      <c r="B5" s="55">
        <v>11579428</v>
      </c>
      <c r="C5" s="55">
        <v>5047163</v>
      </c>
      <c r="D5" s="55">
        <f>+C5+B5</f>
        <v>16626591</v>
      </c>
      <c r="F5" s="53">
        <v>1</v>
      </c>
      <c r="G5" s="42">
        <v>45092</v>
      </c>
      <c r="H5" s="20">
        <v>11579428</v>
      </c>
      <c r="I5" s="20">
        <v>5047163</v>
      </c>
      <c r="J5" s="44">
        <f>+H5+I5</f>
        <v>16626591</v>
      </c>
    </row>
    <row r="6" spans="1:13" ht="14.45">
      <c r="A6" s="42">
        <v>45121</v>
      </c>
      <c r="B6" s="55">
        <v>11095536</v>
      </c>
      <c r="C6" s="57">
        <v>5531054</v>
      </c>
      <c r="D6" s="55">
        <f>+C6+B6</f>
        <v>16626590</v>
      </c>
      <c r="F6" s="41">
        <v>2</v>
      </c>
      <c r="G6" s="42">
        <v>45122</v>
      </c>
      <c r="H6" s="24">
        <v>11478140</v>
      </c>
      <c r="I6" s="24">
        <v>5148450</v>
      </c>
      <c r="J6" s="44">
        <f>SUM(H6:I6)</f>
        <v>16626590</v>
      </c>
    </row>
    <row r="7" spans="1:13" ht="14.45">
      <c r="A7" s="42">
        <v>45153</v>
      </c>
      <c r="B7" s="55"/>
      <c r="C7" s="55"/>
      <c r="D7" s="55">
        <f>+C7+B7</f>
        <v>0</v>
      </c>
      <c r="F7" s="41">
        <v>3</v>
      </c>
      <c r="G7" s="42">
        <v>45153</v>
      </c>
      <c r="H7" s="24">
        <v>11368085</v>
      </c>
      <c r="I7" s="24">
        <v>5247935</v>
      </c>
      <c r="J7" s="44">
        <f>SUM(H7:I7)</f>
        <v>16616020</v>
      </c>
    </row>
    <row r="8" spans="1:13" ht="14.45">
      <c r="A8" s="43"/>
      <c r="B8" s="45"/>
      <c r="C8" s="44"/>
      <c r="D8" s="44"/>
    </row>
    <row r="11" spans="1:13" ht="14.45">
      <c r="A11" s="140" t="s">
        <v>45</v>
      </c>
      <c r="B11" s="140"/>
      <c r="C11" s="140"/>
      <c r="D11" s="140"/>
    </row>
    <row r="13" spans="1:13" ht="15" customHeight="1">
      <c r="A13" s="46">
        <v>45047</v>
      </c>
      <c r="B13" s="46">
        <v>45078</v>
      </c>
      <c r="C13" s="46">
        <v>45108</v>
      </c>
    </row>
    <row r="14" spans="1:13" ht="31.5" customHeight="1">
      <c r="A14" s="23">
        <v>5789714.166666666</v>
      </c>
      <c r="B14" s="23">
        <v>5789714</v>
      </c>
      <c r="C14" s="23">
        <v>5356465.8998543695</v>
      </c>
      <c r="H14" s="141" t="s">
        <v>52</v>
      </c>
      <c r="I14" s="142"/>
      <c r="J14" s="142"/>
      <c r="K14" s="142"/>
      <c r="L14" s="142"/>
      <c r="M14" s="143"/>
    </row>
    <row r="15" spans="1:13" ht="26.1">
      <c r="A15" s="39"/>
      <c r="B15" s="40">
        <v>5739070.1001456305</v>
      </c>
      <c r="C15" s="40">
        <v>5684042.6006204812</v>
      </c>
      <c r="H15" s="80" t="s">
        <v>36</v>
      </c>
      <c r="I15" s="81" t="s">
        <v>37</v>
      </c>
      <c r="J15" s="82" t="s">
        <v>53</v>
      </c>
      <c r="K15" s="81" t="s">
        <v>39</v>
      </c>
      <c r="L15" s="82" t="s">
        <v>41</v>
      </c>
      <c r="M15" s="83" t="s">
        <v>54</v>
      </c>
    </row>
    <row r="16" spans="1:13" ht="14.45">
      <c r="A16" s="23">
        <f>SUM(A14:A15)</f>
        <v>5789714.166666666</v>
      </c>
      <c r="B16" s="23">
        <f>SUM(B14:B15)</f>
        <v>11528784.100145631</v>
      </c>
      <c r="C16" s="23">
        <f>SUM(C14:C15)</f>
        <v>11040508.500474852</v>
      </c>
      <c r="H16" s="84">
        <v>45280</v>
      </c>
      <c r="I16" s="73">
        <v>1954686</v>
      </c>
      <c r="J16" s="73">
        <v>1290201</v>
      </c>
      <c r="K16" s="73"/>
      <c r="L16" s="73">
        <f t="shared" ref="L16:L26" si="0">SUM(I16:K16)</f>
        <v>3244887</v>
      </c>
      <c r="M16" s="74">
        <f>+INGEOROZCOL!B4-J16</f>
        <v>99466799</v>
      </c>
    </row>
    <row r="17" spans="1:13" ht="15" customHeight="1">
      <c r="H17" s="78">
        <v>45314</v>
      </c>
      <c r="I17" s="75">
        <v>1910260</v>
      </c>
      <c r="J17" s="75">
        <v>1318764</v>
      </c>
      <c r="K17" s="75">
        <v>3144</v>
      </c>
      <c r="L17" s="73">
        <f t="shared" si="0"/>
        <v>3232168</v>
      </c>
      <c r="M17" s="74">
        <f t="shared" ref="M17:M26" si="1">+M16-J17</f>
        <v>98148035</v>
      </c>
    </row>
    <row r="18" spans="1:13" ht="14.45">
      <c r="A18" s="23">
        <f>+A16+B14</f>
        <v>11579428.166666666</v>
      </c>
      <c r="B18" s="23">
        <f>+B15+C14</f>
        <v>11095536</v>
      </c>
      <c r="H18" s="78">
        <v>45344</v>
      </c>
      <c r="I18" s="75">
        <v>1863363</v>
      </c>
      <c r="J18" s="75">
        <v>1355807</v>
      </c>
      <c r="K18" s="75">
        <v>2226</v>
      </c>
      <c r="L18" s="73">
        <f t="shared" si="0"/>
        <v>3221396</v>
      </c>
      <c r="M18" s="74">
        <f t="shared" si="1"/>
        <v>96792228</v>
      </c>
    </row>
    <row r="19" spans="1:13" ht="15" customHeight="1">
      <c r="H19" s="78">
        <v>45371</v>
      </c>
      <c r="I19" s="75">
        <v>1839738</v>
      </c>
      <c r="J19" s="75">
        <v>1381911</v>
      </c>
      <c r="K19" s="75">
        <v>49</v>
      </c>
      <c r="L19" s="73">
        <f t="shared" si="0"/>
        <v>3221698</v>
      </c>
      <c r="M19" s="74">
        <f t="shared" si="1"/>
        <v>95410317</v>
      </c>
    </row>
    <row r="20" spans="1:13" ht="15" customHeight="1">
      <c r="H20" s="78">
        <v>45405</v>
      </c>
      <c r="I20" s="75">
        <v>1786081</v>
      </c>
      <c r="J20" s="75">
        <v>1412549</v>
      </c>
      <c r="K20" s="75">
        <v>3197</v>
      </c>
      <c r="L20" s="75">
        <f t="shared" si="0"/>
        <v>3201827</v>
      </c>
      <c r="M20" s="74">
        <f t="shared" si="1"/>
        <v>93997768</v>
      </c>
    </row>
    <row r="21" spans="1:13" ht="15" customHeight="1">
      <c r="H21" s="78">
        <v>45434</v>
      </c>
      <c r="I21" s="75">
        <v>1730127</v>
      </c>
      <c r="J21" s="75">
        <v>1454053</v>
      </c>
      <c r="K21" s="75">
        <v>2165</v>
      </c>
      <c r="L21" s="75">
        <f t="shared" si="0"/>
        <v>3186345</v>
      </c>
      <c r="M21" s="74">
        <f t="shared" si="1"/>
        <v>92543715</v>
      </c>
    </row>
    <row r="22" spans="1:13" ht="15" customHeight="1">
      <c r="H22" s="78">
        <v>45467</v>
      </c>
      <c r="I22" s="75">
        <v>1693359</v>
      </c>
      <c r="J22" s="75">
        <v>1481100</v>
      </c>
      <c r="K22" s="75">
        <v>4230</v>
      </c>
      <c r="L22" s="75">
        <f t="shared" si="0"/>
        <v>3178689</v>
      </c>
      <c r="M22" s="74">
        <f t="shared" si="1"/>
        <v>91062615</v>
      </c>
    </row>
    <row r="23" spans="1:13" ht="15" customHeight="1">
      <c r="H23" s="78">
        <v>45497</v>
      </c>
      <c r="I23" s="75">
        <v>1652869</v>
      </c>
      <c r="J23" s="75">
        <v>1522931</v>
      </c>
      <c r="K23" s="75">
        <v>4200</v>
      </c>
      <c r="L23" s="75">
        <f t="shared" si="0"/>
        <v>3180000</v>
      </c>
      <c r="M23" s="74">
        <f t="shared" si="1"/>
        <v>89539684</v>
      </c>
    </row>
    <row r="24" spans="1:13" ht="15" customHeight="1">
      <c r="H24" s="78">
        <v>45530</v>
      </c>
      <c r="I24" s="75">
        <v>1569466</v>
      </c>
      <c r="J24" s="75">
        <v>1554264</v>
      </c>
      <c r="K24" s="75">
        <v>6270</v>
      </c>
      <c r="L24" s="75">
        <f t="shared" si="0"/>
        <v>3130000</v>
      </c>
      <c r="M24" s="74">
        <f t="shared" si="1"/>
        <v>87985420</v>
      </c>
    </row>
    <row r="25" spans="1:13" ht="15" customHeight="1">
      <c r="H25" s="78">
        <v>45568</v>
      </c>
      <c r="I25" s="75">
        <v>1743476</v>
      </c>
      <c r="J25" s="75">
        <v>1582811</v>
      </c>
      <c r="K25" s="75">
        <v>13792</v>
      </c>
      <c r="L25" s="75">
        <f t="shared" si="0"/>
        <v>3340079</v>
      </c>
      <c r="M25" s="74">
        <f t="shared" si="1"/>
        <v>86402609</v>
      </c>
    </row>
    <row r="26" spans="1:13" ht="15" customHeight="1">
      <c r="H26" s="79">
        <v>45586</v>
      </c>
      <c r="I26" s="76">
        <v>1491392</v>
      </c>
      <c r="J26" s="76">
        <v>1642269</v>
      </c>
      <c r="K26" s="76">
        <v>1239</v>
      </c>
      <c r="L26" s="76">
        <f t="shared" si="0"/>
        <v>3134900</v>
      </c>
      <c r="M26" s="77">
        <f t="shared" si="1"/>
        <v>84760340</v>
      </c>
    </row>
  </sheetData>
  <mergeCells count="4">
    <mergeCell ref="A2:D2"/>
    <mergeCell ref="G2:J2"/>
    <mergeCell ref="A11:D11"/>
    <mergeCell ref="H14:M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57D1B0BC-F5EA-4E76-9739-047DDD0A37F6}"/>
</file>

<file path=customXml/itemProps2.xml><?xml version="1.0" encoding="utf-8"?>
<ds:datastoreItem xmlns:ds="http://schemas.openxmlformats.org/officeDocument/2006/customXml" ds:itemID="{F8FA3F21-3CB1-4BC5-AABF-8B55082C1541}"/>
</file>

<file path=customXml/itemProps3.xml><?xml version="1.0" encoding="utf-8"?>
<ds:datastoreItem xmlns:ds="http://schemas.openxmlformats.org/officeDocument/2006/customXml" ds:itemID="{4F872DCE-A738-4D70-8D78-A804F241EA36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2026-08-10T15:28:38Z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