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MC\HBI_Capital\wt-ui-develop\casos-nuevos\"/>
    </mc:Choice>
  </mc:AlternateContent>
  <xr:revisionPtr revIDLastSave="0" documentId="13_ncr:1_{5E217A7D-D386-4F0F-8B66-627624F95425}" xr6:coauthVersionLast="47" xr6:coauthVersionMax="47" xr10:uidLastSave="{00000000-0000-0000-0000-000000000000}"/>
  <bookViews>
    <workbookView xWindow="-108" yWindow="-108" windowWidth="23256" windowHeight="13896" firstSheet="1" activeTab="1" xr2:uid="{0920E443-DC1E-47E3-8B6F-959661E6D6A8}"/>
  </bookViews>
  <sheets>
    <sheet name="TasaImplicita" sheetId="1" state="hidden" r:id="rId1"/>
    <sheet name="ICOEQUIPOS" sheetId="2" r:id="rId2"/>
    <sheet name="Hoja1" sheetId="3" state="hidden" r:id="rId3"/>
    <sheet name="Hoja2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AH9" i="2"/>
  <c r="D12" i="2"/>
  <c r="V14" i="2"/>
  <c r="T14" i="2"/>
  <c r="AG9" i="2"/>
  <c r="F11" i="2"/>
  <c r="D11" i="2"/>
  <c r="V13" i="2"/>
  <c r="V12" i="2"/>
  <c r="D10" i="2"/>
  <c r="V11" i="2"/>
  <c r="T11" i="2"/>
  <c r="T12" i="2" s="1"/>
  <c r="T13" i="2" s="1"/>
  <c r="D9" i="2"/>
  <c r="V10" i="2"/>
  <c r="T10" i="2"/>
  <c r="AE9" i="2"/>
  <c r="AD9" i="2"/>
  <c r="P9" i="2"/>
  <c r="O9" i="2"/>
  <c r="D8" i="2"/>
  <c r="V9" i="2"/>
  <c r="T9" i="2"/>
  <c r="D7" i="2"/>
  <c r="AC9" i="2"/>
  <c r="D6" i="2"/>
  <c r="AB9" i="2"/>
  <c r="D5" i="2"/>
  <c r="V8" i="2"/>
  <c r="V7" i="2"/>
  <c r="V6" i="2"/>
  <c r="V5" i="2"/>
  <c r="D4" i="2"/>
  <c r="H4" i="2"/>
  <c r="F1" i="2"/>
  <c r="B4" i="2"/>
  <c r="T4" i="2" s="1"/>
  <c r="T5" i="2" s="1"/>
  <c r="T6" i="2" s="1"/>
  <c r="T7" i="2" s="1"/>
  <c r="T8" i="2" s="1"/>
  <c r="V4" i="2"/>
  <c r="C4" i="2" l="1"/>
  <c r="O4" i="2" s="1"/>
  <c r="P4" i="2" l="1"/>
  <c r="Z9" i="2"/>
  <c r="J7" i="5"/>
  <c r="J5" i="5"/>
  <c r="J6" i="5"/>
  <c r="B18" i="5"/>
  <c r="B16" i="5" l="1"/>
  <c r="A16" i="5"/>
  <c r="A18" i="5" s="1"/>
  <c r="D7" i="5"/>
  <c r="D6" i="5"/>
  <c r="D5" i="5"/>
  <c r="C16" i="5" l="1"/>
  <c r="I4" i="2" l="1"/>
  <c r="C12" i="1" l="1"/>
  <c r="G5" i="1"/>
  <c r="G2" i="1"/>
  <c r="G1" i="1"/>
  <c r="B9" i="1"/>
  <c r="B7" i="1"/>
  <c r="A4" i="2" l="1"/>
  <c r="A5" i="2" s="1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H5" i="2" l="1"/>
  <c r="K4" i="2"/>
  <c r="F2" i="2"/>
  <c r="L5" i="2"/>
  <c r="M5" i="2"/>
  <c r="N5" i="2" s="1"/>
  <c r="A6" i="2"/>
  <c r="H6" i="2" s="1"/>
  <c r="K5" i="2"/>
  <c r="I5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Y9" i="2" l="1"/>
  <c r="I6" i="2"/>
  <c r="E4" i="2"/>
  <c r="A7" i="2"/>
  <c r="H7" i="2" s="1"/>
  <c r="M6" i="2"/>
  <c r="N6" i="2" s="1"/>
  <c r="L6" i="2"/>
  <c r="K6" i="2"/>
  <c r="B10" i="1"/>
  <c r="Y11" i="2" l="1"/>
  <c r="K7" i="2"/>
  <c r="F4" i="2"/>
  <c r="B5" i="2" s="1"/>
  <c r="F5" i="2" s="1"/>
  <c r="M7" i="2"/>
  <c r="I7" i="2"/>
  <c r="L7" i="2"/>
  <c r="A8" i="2"/>
  <c r="H8" i="2" s="1"/>
  <c r="C5" i="2" l="1"/>
  <c r="O5" i="2" s="1"/>
  <c r="AA9" i="2" s="1"/>
  <c r="J4" i="2"/>
  <c r="E5" i="2" s="1"/>
  <c r="N7" i="2"/>
  <c r="M8" i="2"/>
  <c r="A9" i="2"/>
  <c r="A10" i="2" s="1"/>
  <c r="K10" i="2" s="1"/>
  <c r="I8" i="2"/>
  <c r="L8" i="2"/>
  <c r="K8" i="2"/>
  <c r="P5" i="2" l="1"/>
  <c r="Z10" i="2" s="1"/>
  <c r="H9" i="2"/>
  <c r="H10" i="2" s="1"/>
  <c r="Z11" i="2"/>
  <c r="L9" i="2"/>
  <c r="L10" i="2" s="1"/>
  <c r="N8" i="2"/>
  <c r="A11" i="2"/>
  <c r="K9" i="2"/>
  <c r="M9" i="2"/>
  <c r="M10" i="2" s="1"/>
  <c r="J5" i="2" l="1"/>
  <c r="B6" i="2"/>
  <c r="H11" i="2"/>
  <c r="E6" i="2"/>
  <c r="L11" i="2"/>
  <c r="C6" i="2"/>
  <c r="O6" i="2" s="1"/>
  <c r="K11" i="2"/>
  <c r="M11" i="2"/>
  <c r="A12" i="2"/>
  <c r="A13" i="2" s="1"/>
  <c r="N9" i="2"/>
  <c r="N10" i="2" s="1"/>
  <c r="P6" i="2" l="1"/>
  <c r="H12" i="2"/>
  <c r="H13" i="2" s="1"/>
  <c r="I9" i="2"/>
  <c r="AA10" i="2"/>
  <c r="L12" i="2"/>
  <c r="L13" i="2" s="1"/>
  <c r="M12" i="2"/>
  <c r="M13" i="2" s="1"/>
  <c r="K12" i="2"/>
  <c r="N11" i="2"/>
  <c r="A14" i="2"/>
  <c r="K13" i="2"/>
  <c r="H14" i="2" l="1"/>
  <c r="AA11" i="2"/>
  <c r="N12" i="2"/>
  <c r="N13" i="2" s="1"/>
  <c r="M14" i="2"/>
  <c r="L14" i="2"/>
  <c r="A15" i="2"/>
  <c r="K14" i="2"/>
  <c r="H15" i="2" l="1"/>
  <c r="N14" i="2"/>
  <c r="M15" i="2"/>
  <c r="L15" i="2"/>
  <c r="A16" i="2"/>
  <c r="K15" i="2"/>
  <c r="H16" i="2" l="1"/>
  <c r="N15" i="2"/>
  <c r="M16" i="2"/>
  <c r="L16" i="2"/>
  <c r="A17" i="2"/>
  <c r="K16" i="2"/>
  <c r="H17" i="2" l="1"/>
  <c r="N16" i="2"/>
  <c r="M17" i="2"/>
  <c r="L17" i="2"/>
  <c r="A18" i="2"/>
  <c r="K17" i="2"/>
  <c r="H18" i="2" l="1"/>
  <c r="N17" i="2"/>
  <c r="M18" i="2"/>
  <c r="L18" i="2"/>
  <c r="A19" i="2"/>
  <c r="K18" i="2"/>
  <c r="H19" i="2" l="1"/>
  <c r="N18" i="2"/>
  <c r="M19" i="2"/>
  <c r="L19" i="2"/>
  <c r="K19" i="2"/>
  <c r="A20" i="2"/>
  <c r="H20" i="2" l="1"/>
  <c r="N19" i="2"/>
  <c r="M20" i="2"/>
  <c r="L20" i="2"/>
  <c r="K20" i="2"/>
  <c r="A21" i="2"/>
  <c r="H21" i="2" l="1"/>
  <c r="N20" i="2"/>
  <c r="M21" i="2"/>
  <c r="L21" i="2"/>
  <c r="K21" i="2"/>
  <c r="A22" i="2"/>
  <c r="H22" i="2" s="1"/>
  <c r="N21" i="2" l="1"/>
  <c r="M22" i="2"/>
  <c r="L22" i="2"/>
  <c r="K22" i="2"/>
  <c r="A23" i="2"/>
  <c r="H23" i="2" s="1"/>
  <c r="M23" i="2" l="1"/>
  <c r="N22" i="2"/>
  <c r="L23" i="2"/>
  <c r="K23" i="2"/>
  <c r="A24" i="2"/>
  <c r="H24" i="2" l="1"/>
  <c r="N23" i="2"/>
  <c r="M24" i="2"/>
  <c r="L24" i="2"/>
  <c r="K24" i="2"/>
  <c r="A25" i="2"/>
  <c r="H25" i="2" l="1"/>
  <c r="N24" i="2"/>
  <c r="M25" i="2"/>
  <c r="L25" i="2"/>
  <c r="K25" i="2"/>
  <c r="A26" i="2"/>
  <c r="H26" i="2" l="1"/>
  <c r="A27" i="2"/>
  <c r="N25" i="2"/>
  <c r="M26" i="2"/>
  <c r="L26" i="2"/>
  <c r="K26" i="2"/>
  <c r="H27" i="2" l="1"/>
  <c r="I27" i="2" s="1"/>
  <c r="L27" i="2"/>
  <c r="M27" i="2"/>
  <c r="A28" i="2"/>
  <c r="K27" i="2"/>
  <c r="N26" i="2"/>
  <c r="N27" i="2" s="1"/>
  <c r="M28" i="2" l="1"/>
  <c r="N28" i="2"/>
  <c r="A29" i="2"/>
  <c r="H28" i="2"/>
  <c r="I28" i="2" s="1"/>
  <c r="K28" i="2"/>
  <c r="L28" i="2"/>
  <c r="F6" i="2"/>
  <c r="A30" i="2" l="1"/>
  <c r="H29" i="2"/>
  <c r="I29" i="2" s="1"/>
  <c r="L29" i="2"/>
  <c r="M29" i="2"/>
  <c r="N29" i="2" s="1"/>
  <c r="K29" i="2"/>
  <c r="J6" i="2"/>
  <c r="E7" i="2" s="1"/>
  <c r="B7" i="2"/>
  <c r="C7" i="2" s="1"/>
  <c r="O7" i="2" s="1"/>
  <c r="P7" i="2" s="1"/>
  <c r="L30" i="2" l="1"/>
  <c r="H30" i="2"/>
  <c r="A31" i="2"/>
  <c r="I30" i="2"/>
  <c r="M30" i="2"/>
  <c r="N30" i="2"/>
  <c r="K30" i="2"/>
  <c r="I10" i="2"/>
  <c r="K31" i="2" l="1"/>
  <c r="H31" i="2"/>
  <c r="I31" i="2" s="1"/>
  <c r="A32" i="2"/>
  <c r="M31" i="2"/>
  <c r="N31" i="2" s="1"/>
  <c r="L31" i="2"/>
  <c r="F7" i="2"/>
  <c r="L32" i="2" l="1"/>
  <c r="H32" i="2"/>
  <c r="I32" i="2" s="1"/>
  <c r="A33" i="2"/>
  <c r="M32" i="2"/>
  <c r="N32" i="2" s="1"/>
  <c r="K32" i="2"/>
  <c r="B8" i="2"/>
  <c r="C8" i="2" s="1"/>
  <c r="O8" i="2" s="1"/>
  <c r="J7" i="2"/>
  <c r="E8" i="2" s="1"/>
  <c r="P8" i="2" l="1"/>
  <c r="AC10" i="2" s="1"/>
  <c r="AB10" i="2"/>
  <c r="A34" i="2"/>
  <c r="H33" i="2"/>
  <c r="I33" i="2" s="1"/>
  <c r="L33" i="2"/>
  <c r="M33" i="2"/>
  <c r="K33" i="2"/>
  <c r="I11" i="2"/>
  <c r="AB11" i="2"/>
  <c r="AC11" i="2"/>
  <c r="H34" i="2" l="1"/>
  <c r="I34" i="2"/>
  <c r="L34" i="2"/>
  <c r="A35" i="2"/>
  <c r="K34" i="2"/>
  <c r="N33" i="2"/>
  <c r="M34" i="2"/>
  <c r="F8" i="2"/>
  <c r="H35" i="2" l="1"/>
  <c r="I35" i="2"/>
  <c r="L35" i="2"/>
  <c r="A36" i="2"/>
  <c r="K35" i="2"/>
  <c r="N34" i="2"/>
  <c r="M35" i="2"/>
  <c r="B9" i="2"/>
  <c r="C9" i="2" s="1"/>
  <c r="J8" i="2"/>
  <c r="E9" i="2" s="1"/>
  <c r="AD10" i="2"/>
  <c r="L36" i="2" l="1"/>
  <c r="H36" i="2"/>
  <c r="I36" i="2"/>
  <c r="A37" i="2"/>
  <c r="K36" i="2"/>
  <c r="N35" i="2"/>
  <c r="M36" i="2"/>
  <c r="F9" i="2"/>
  <c r="I12" i="2"/>
  <c r="AD11" i="2"/>
  <c r="K37" i="2" l="1"/>
  <c r="H37" i="2"/>
  <c r="I37" i="2"/>
  <c r="A38" i="2"/>
  <c r="L37" i="2"/>
  <c r="L38" i="2" s="1"/>
  <c r="N36" i="2"/>
  <c r="M37" i="2"/>
  <c r="J9" i="2"/>
  <c r="E10" i="2" s="1"/>
  <c r="B10" i="2"/>
  <c r="C10" i="2" s="1"/>
  <c r="O10" i="2" s="1"/>
  <c r="AF9" i="2" l="1"/>
  <c r="P10" i="2"/>
  <c r="K38" i="2"/>
  <c r="A39" i="2"/>
  <c r="H38" i="2"/>
  <c r="I38" i="2"/>
  <c r="M38" i="2"/>
  <c r="N37" i="2"/>
  <c r="F10" i="2"/>
  <c r="I13" i="2"/>
  <c r="AE10" i="2"/>
  <c r="H39" i="2" l="1"/>
  <c r="I39" i="2"/>
  <c r="L39" i="2"/>
  <c r="K39" i="2"/>
  <c r="N38" i="2"/>
  <c r="M39" i="2"/>
  <c r="N39" i="2" s="1"/>
  <c r="J10" i="2"/>
  <c r="E11" i="2" s="1"/>
  <c r="B11" i="2"/>
  <c r="C11" i="2" s="1"/>
  <c r="O11" i="2" s="1"/>
  <c r="P11" i="2" s="1"/>
  <c r="AE11" i="2"/>
  <c r="I14" i="2" l="1"/>
  <c r="AF10" i="2"/>
  <c r="AF11" i="2" l="1"/>
  <c r="J11" i="2" l="1"/>
  <c r="E12" i="2" s="1"/>
  <c r="B12" i="2"/>
  <c r="C12" i="2" s="1"/>
  <c r="O12" i="2" s="1"/>
  <c r="P12" i="2" l="1"/>
  <c r="AG10" i="2" s="1"/>
  <c r="F12" i="2"/>
  <c r="AG11" i="2"/>
  <c r="I15" i="2"/>
  <c r="J12" i="2" l="1"/>
  <c r="E13" i="2" s="1"/>
  <c r="B13" i="2"/>
  <c r="C13" i="2" s="1"/>
  <c r="O13" i="2" s="1"/>
  <c r="P13" i="2" s="1"/>
  <c r="AH10" i="2"/>
  <c r="F13" i="2" l="1"/>
  <c r="AH11" i="2"/>
  <c r="I16" i="2"/>
  <c r="J13" i="2" l="1"/>
  <c r="E14" i="2" s="1"/>
  <c r="B14" i="2"/>
  <c r="C14" i="2" s="1"/>
  <c r="O14" i="2" s="1"/>
  <c r="P14" i="2" s="1"/>
  <c r="AI10" i="2" s="1"/>
  <c r="AI11" i="2" s="1"/>
  <c r="D14" i="2" l="1"/>
  <c r="F14" i="2" s="1"/>
  <c r="I17" i="2"/>
  <c r="AJ10" i="2"/>
  <c r="J14" i="2" l="1"/>
  <c r="E15" i="2" s="1"/>
  <c r="B15" i="2"/>
  <c r="C15" i="2" s="1"/>
  <c r="AJ11" i="2"/>
  <c r="D15" i="2" l="1"/>
  <c r="I18" i="2"/>
  <c r="F15" i="2" l="1"/>
  <c r="B16" i="2" s="1"/>
  <c r="C16" i="2" s="1"/>
  <c r="J15" i="2" l="1"/>
  <c r="E16" i="2" s="1"/>
  <c r="D16" i="2" s="1"/>
  <c r="F16" i="2" s="1"/>
  <c r="I19" i="2"/>
  <c r="J16" i="2" l="1"/>
  <c r="E17" i="2" s="1"/>
  <c r="B17" i="2"/>
  <c r="C17" i="2" s="1"/>
  <c r="D17" i="2" l="1"/>
  <c r="F17" i="2" s="1"/>
  <c r="I20" i="2"/>
  <c r="J17" i="2" l="1"/>
  <c r="E18" i="2" s="1"/>
  <c r="B18" i="2"/>
  <c r="C18" i="2" s="1"/>
  <c r="D18" i="2" l="1"/>
  <c r="F18" i="2" s="1"/>
  <c r="I21" i="2"/>
  <c r="J18" i="2" l="1"/>
  <c r="E19" i="2" s="1"/>
  <c r="B19" i="2"/>
  <c r="C19" i="2" s="1"/>
  <c r="D19" i="2" l="1"/>
  <c r="F19" i="2" s="1"/>
  <c r="I22" i="2"/>
  <c r="J19" i="2" l="1"/>
  <c r="E20" i="2" s="1"/>
  <c r="B20" i="2"/>
  <c r="C20" i="2" s="1"/>
  <c r="D20" i="2" l="1"/>
  <c r="F20" i="2" s="1"/>
  <c r="I23" i="2"/>
  <c r="J20" i="2" l="1"/>
  <c r="E21" i="2" s="1"/>
  <c r="B21" i="2"/>
  <c r="C21" i="2" s="1"/>
  <c r="D21" i="2" l="1"/>
  <c r="F21" i="2" s="1"/>
  <c r="I24" i="2"/>
  <c r="J21" i="2" l="1"/>
  <c r="E22" i="2" s="1"/>
  <c r="B22" i="2"/>
  <c r="C22" i="2" s="1"/>
  <c r="D22" i="2" l="1"/>
  <c r="F22" i="2" s="1"/>
  <c r="I25" i="2"/>
  <c r="J22" i="2" l="1"/>
  <c r="E23" i="2" s="1"/>
  <c r="B23" i="2"/>
  <c r="C23" i="2" s="1"/>
  <c r="D23" i="2" l="1"/>
  <c r="F23" i="2" s="1"/>
  <c r="I26" i="2"/>
  <c r="B24" i="2" l="1"/>
  <c r="C24" i="2" s="1"/>
  <c r="J23" i="2"/>
  <c r="E24" i="2" s="1"/>
  <c r="D24" i="2" l="1"/>
  <c r="F24" i="2" s="1"/>
  <c r="B25" i="2" l="1"/>
  <c r="C25" i="2" s="1"/>
  <c r="J24" i="2"/>
  <c r="E25" i="2" s="1"/>
  <c r="D25" i="2" l="1"/>
  <c r="F25" i="2" s="1"/>
  <c r="B26" i="2" l="1"/>
  <c r="C26" i="2" s="1"/>
  <c r="J25" i="2"/>
  <c r="E26" i="2" s="1"/>
  <c r="D26" i="2" l="1"/>
  <c r="F26" i="2" s="1"/>
  <c r="B27" i="2" s="1"/>
  <c r="C27" i="2" s="1"/>
  <c r="J26" i="2" l="1"/>
  <c r="E27" i="2" s="1"/>
  <c r="D27" i="2" s="1"/>
  <c r="F27" i="2" s="1"/>
  <c r="B28" i="2" l="1"/>
  <c r="C28" i="2" s="1"/>
  <c r="J27" i="2"/>
  <c r="E28" i="2" s="1"/>
  <c r="D28" i="2" l="1"/>
  <c r="F28" i="2" s="1"/>
  <c r="J28" i="2" l="1"/>
  <c r="E29" i="2" s="1"/>
  <c r="B29" i="2"/>
  <c r="C29" i="2" s="1"/>
  <c r="D29" i="2" l="1"/>
  <c r="F29" i="2" s="1"/>
  <c r="J29" i="2" s="1"/>
  <c r="E30" i="2" s="1"/>
  <c r="B30" i="2" l="1"/>
  <c r="C30" i="2" s="1"/>
  <c r="D30" i="2" s="1"/>
  <c r="F30" i="2" s="1"/>
  <c r="J30" i="2" s="1"/>
  <c r="E31" i="2" s="1"/>
  <c r="B31" i="2" l="1"/>
  <c r="C31" i="2" s="1"/>
  <c r="D31" i="2" s="1"/>
  <c r="F31" i="2" s="1"/>
  <c r="B32" i="2" s="1"/>
  <c r="C32" i="2" s="1"/>
  <c r="J31" i="2" l="1"/>
  <c r="E32" i="2" s="1"/>
  <c r="D32" i="2" s="1"/>
  <c r="F32" i="2" s="1"/>
  <c r="J32" i="2" l="1"/>
  <c r="E33" i="2" s="1"/>
  <c r="B33" i="2"/>
  <c r="C33" i="2" s="1"/>
  <c r="D33" i="2" l="1"/>
  <c r="F33" i="2" s="1"/>
  <c r="J33" i="2" l="1"/>
  <c r="E34" i="2" s="1"/>
  <c r="B34" i="2"/>
  <c r="C34" i="2" s="1"/>
  <c r="D34" i="2" l="1"/>
  <c r="F34" i="2" s="1"/>
  <c r="B35" i="2" l="1"/>
  <c r="C35" i="2" s="1"/>
  <c r="J34" i="2"/>
  <c r="E35" i="2" s="1"/>
  <c r="D35" i="2" l="1"/>
  <c r="F35" i="2" s="1"/>
  <c r="B36" i="2" l="1"/>
  <c r="C36" i="2" s="1"/>
  <c r="J35" i="2"/>
  <c r="E36" i="2" s="1"/>
  <c r="D36" i="2" l="1"/>
  <c r="F36" i="2" s="1"/>
  <c r="B37" i="2" l="1"/>
  <c r="C37" i="2" s="1"/>
  <c r="J36" i="2"/>
  <c r="E37" i="2" s="1"/>
  <c r="D37" i="2" l="1"/>
  <c r="F37" i="2" s="1"/>
  <c r="B38" i="2" s="1"/>
  <c r="C38" i="2" s="1"/>
  <c r="J37" i="2" l="1"/>
  <c r="E38" i="2" s="1"/>
  <c r="D38" i="2" s="1"/>
  <c r="F38" i="2" s="1"/>
  <c r="J38" i="2" s="1"/>
  <c r="E39" i="2" s="1"/>
  <c r="B39" i="2" l="1"/>
  <c r="C39" i="2" s="1"/>
  <c r="D39" i="2" s="1"/>
  <c r="F39" i="2" s="1"/>
  <c r="J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  <author>tc={5F6035AF-B065-46FD-A288-B255856158C7}</author>
    <author>tc={0F670AA8-ACE5-4994-BC8B-910432373C5D}</author>
  </authors>
  <commentList>
    <comment ref="U5" authorId="0" shapeId="0" xr:uid="{2BBD8A01-67B7-4FE4-A70D-FAAFC0A3C780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4467</t>
        </r>
      </text>
    </comment>
    <comment ref="U10" authorId="0" shapeId="0" xr:uid="{70ABA2DB-21E8-489C-AC09-AE9307687883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5831</t>
        </r>
      </text>
    </comment>
    <comment ref="U11" authorId="1" shapeId="0" xr:uid="{5F6035AF-B065-46FD-A288-B255856158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5973</t>
      </text>
    </comment>
    <comment ref="U12" authorId="2" shapeId="0" xr:uid="{0F670AA8-ACE5-4994-BC8B-910432373C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6345</t>
      </text>
    </comment>
  </commentList>
</comments>
</file>

<file path=xl/sharedStrings.xml><?xml version="1.0" encoding="utf-8"?>
<sst xmlns="http://schemas.openxmlformats.org/spreadsheetml/2006/main" count="64" uniqueCount="47">
  <si>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</si>
  <si>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</si>
  <si>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</si>
  <si>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</si>
  <si>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</si>
  <si>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</si>
  <si>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</si>
  <si>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</si>
  <si>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</si>
  <si>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</si>
  <si>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</si>
  <si>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</si>
  <si>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</si>
  <si>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</si>
  <si>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</si>
  <si>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</si>
  <si>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</si>
  <si>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</si>
  <si>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</si>
  <si>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</si>
  <si>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</si>
  <si>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</si>
  <si>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</si>
  <si>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</si>
  <si>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</si>
  <si>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</si>
  <si>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</si>
  <si>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</si>
  <si>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</si>
  <si>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</si>
  <si>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}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</si>
  <si>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</si>
  <si>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</si>
  <si>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</si>
  <si>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</si>
  <si>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</si>
  <si>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</si>
  <si>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</si>
  <si>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</si>
  <si>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Saldo a capital</t>
  </si>
  <si>
    <t>Intereses de mora</t>
  </si>
  <si>
    <t>Valor pagado cliente</t>
  </si>
  <si>
    <t xml:space="preserve">APLICACIÓN DEL PAGO </t>
  </si>
  <si>
    <t xml:space="preserve">EXTRACTO </t>
  </si>
  <si>
    <t>Cuota #</t>
  </si>
  <si>
    <t>Valor a pagar</t>
  </si>
  <si>
    <t>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</si>
</sst>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10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5" fontId="0" fillId="0" borderId="0" xfId="0" applyNumberFormat="1"/>
    <xf numFmtId="0" fontId="0" fillId="3" borderId="0" xfId="0" applyFill="1"/>
    <xf numFmtId="165" fontId="0" fillId="3" borderId="0" xfId="0" applyNumberFormat="1" applyFill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6" fontId="0" fillId="2" borderId="0" xfId="2" applyNumberFormat="1" applyFont="1" applyFill="1" applyProtection="1">
      <protection locked="0"/>
    </xf>
    <xf numFmtId="165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6" fontId="0" fillId="0" borderId="0" xfId="2" applyNumberFormat="1" applyFont="1" applyProtection="1"/>
    <xf numFmtId="165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64" fontId="0" fillId="5" borderId="4" xfId="1" applyFont="1" applyFill="1" applyBorder="1"/>
    <xf numFmtId="14" fontId="0" fillId="0" borderId="0" xfId="0" applyNumberFormat="1"/>
    <xf numFmtId="164" fontId="0" fillId="0" borderId="0" xfId="1" applyFont="1"/>
    <xf numFmtId="164" fontId="0" fillId="0" borderId="0" xfId="0" applyNumberFormat="1"/>
    <xf numFmtId="164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164" fontId="5" fillId="6" borderId="9" xfId="1" applyFont="1" applyFill="1" applyBorder="1"/>
    <xf numFmtId="164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5" fontId="0" fillId="0" borderId="11" xfId="0" applyNumberFormat="1" applyBorder="1"/>
    <xf numFmtId="164" fontId="0" fillId="0" borderId="11" xfId="0" applyNumberFormat="1" applyBorder="1"/>
    <xf numFmtId="164" fontId="5" fillId="6" borderId="12" xfId="0" applyNumberFormat="1" applyFont="1" applyFill="1" applyBorder="1"/>
    <xf numFmtId="164" fontId="0" fillId="7" borderId="0" xfId="1" applyFont="1" applyFill="1"/>
    <xf numFmtId="0" fontId="0" fillId="0" borderId="13" xfId="0" applyBorder="1"/>
    <xf numFmtId="164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164" fontId="0" fillId="0" borderId="4" xfId="0" applyNumberFormat="1" applyBorder="1"/>
    <xf numFmtId="165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/>
    </xf>
    <xf numFmtId="14" fontId="0" fillId="0" borderId="4" xfId="1" applyNumberFormat="1" applyFont="1" applyFill="1" applyBorder="1"/>
    <xf numFmtId="164" fontId="0" fillId="0" borderId="4" xfId="1" applyFont="1" applyFill="1" applyBorder="1"/>
    <xf numFmtId="0" fontId="3" fillId="5" borderId="4" xfId="0" applyFont="1" applyFill="1" applyBorder="1" applyAlignment="1">
      <alignment horizontal="center" wrapText="1"/>
    </xf>
    <xf numFmtId="164" fontId="5" fillId="3" borderId="4" xfId="1" applyFont="1" applyFill="1" applyBorder="1"/>
    <xf numFmtId="14" fontId="6" fillId="0" borderId="0" xfId="0" applyNumberFormat="1" applyFont="1"/>
    <xf numFmtId="166" fontId="1" fillId="0" borderId="0" xfId="2" applyNumberFormat="1" applyFont="1" applyFill="1" applyProtection="1">
      <protection locked="0"/>
    </xf>
    <xf numFmtId="0" fontId="6" fillId="0" borderId="0" xfId="0" applyFont="1"/>
    <xf numFmtId="164" fontId="0" fillId="3" borderId="4" xfId="1" applyFont="1" applyFill="1" applyBorder="1"/>
    <xf numFmtId="14" fontId="0" fillId="3" borderId="4" xfId="0" applyNumberFormat="1" applyFill="1" applyBorder="1"/>
    <xf numFmtId="165" fontId="1" fillId="0" borderId="0" xfId="1" applyNumberFormat="1" applyFont="1" applyFill="1" applyBorder="1"/>
    <xf numFmtId="164" fontId="7" fillId="3" borderId="4" xfId="1" applyFont="1" applyFill="1" applyBorder="1"/>
    <xf numFmtId="165" fontId="8" fillId="0" borderId="0" xfId="1" applyNumberFormat="1" applyFont="1" applyFill="1"/>
    <xf numFmtId="166" fontId="8" fillId="0" borderId="0" xfId="2" applyNumberFormat="1" applyFont="1" applyFill="1" applyProtection="1">
      <protection locked="0"/>
    </xf>
    <xf numFmtId="166" fontId="1" fillId="0" borderId="0" xfId="2" applyNumberFormat="1" applyFont="1" applyFill="1"/>
    <xf numFmtId="165" fontId="1" fillId="0" borderId="0" xfId="1" applyNumberFormat="1" applyFont="1" applyFill="1"/>
    <xf numFmtId="0" fontId="9" fillId="0" borderId="0" xfId="0" applyFont="1" applyAlignment="1">
      <alignment horizontal="center"/>
    </xf>
    <xf numFmtId="165" fontId="8" fillId="0" borderId="0" xfId="1" applyNumberFormat="1" applyFont="1" applyFill="1" applyBorder="1"/>
    <xf numFmtId="0" fontId="5" fillId="0" borderId="0" xfId="0" applyFont="1"/>
    <xf numFmtId="0" fontId="10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165" fontId="11" fillId="10" borderId="0" xfId="1" applyNumberFormat="1" applyFont="1" applyFill="1"/>
    <xf numFmtId="166" fontId="5" fillId="10" borderId="0" xfId="2" applyNumberFormat="1" applyFont="1" applyFill="1" applyProtection="1">
      <protection locked="0"/>
    </xf>
    <xf numFmtId="166" fontId="5" fillId="10" borderId="0" xfId="2" applyNumberFormat="1" applyFont="1" applyFill="1"/>
    <xf numFmtId="165" fontId="5" fillId="10" borderId="0" xfId="1" applyNumberFormat="1" applyFont="1" applyFill="1"/>
    <xf numFmtId="0" fontId="2" fillId="10" borderId="0" xfId="0" applyFont="1" applyFill="1" applyAlignment="1">
      <alignment horizontal="center"/>
    </xf>
    <xf numFmtId="0" fontId="5" fillId="10" borderId="0" xfId="0" applyFont="1" applyFill="1"/>
    <xf numFmtId="14" fontId="0" fillId="3" borderId="3" xfId="1" applyNumberFormat="1" applyFont="1" applyFill="1" applyBorder="1"/>
    <xf numFmtId="164" fontId="0" fillId="3" borderId="3" xfId="1" applyFont="1" applyFill="1" applyBorder="1"/>
    <xf numFmtId="164" fontId="7" fillId="3" borderId="3" xfId="1" applyFont="1" applyFill="1" applyBorder="1"/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wrapText="1"/>
    </xf>
    <xf numFmtId="166" fontId="11" fillId="10" borderId="0" xfId="2" applyNumberFormat="1" applyFont="1" applyFill="1" applyProtection="1">
      <protection locked="0"/>
    </xf>
    <xf numFmtId="164" fontId="0" fillId="0" borderId="0" xfId="0" applyNumberFormat="1" applyAlignment="1">
      <alignment horizontal="center"/>
    </xf>
    <xf numFmtId="166" fontId="14" fillId="0" borderId="0" xfId="2" applyNumberFormat="1" applyFont="1" applyFill="1" applyProtection="1">
      <protection locked="0"/>
    </xf>
    <xf numFmtId="164" fontId="7" fillId="0" borderId="4" xfId="1" applyFont="1" applyFill="1" applyBorder="1"/>
    <xf numFmtId="166" fontId="7" fillId="0" borderId="0" xfId="2" applyNumberFormat="1" applyFont="1" applyFill="1" applyProtection="1">
      <protection locked="0"/>
    </xf>
    <xf numFmtId="0" fontId="5" fillId="10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83A503C2-BC3F-4B56-AECE-61B44A63F588}" userId="S::david.estupinan_hbi.com.co#ext#@gecolsacat.onmicrosoft.com::bfb2fc63-0cdd-43c2-b79a-4f2ae73597db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1" dT="2026-05-26T21:21:59.64" personId="{83A503C2-BC3F-4B56-AECE-61B44A63F588}" id="{5F6035AF-B065-46FD-A288-B255856158C7}">
    <text>5973</text>
  </threadedComment>
  <threadedComment ref="U12" dT="2026-06-26T16:46:46.82" personId="{83A503C2-BC3F-4B56-AECE-61B44A63F588}" id="{0F670AA8-ACE5-4994-BC8B-910432373C5D}">
    <text>6345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baseColWidth="10" defaultColWidth="11.44140625" defaultRowHeight="14.4" x14ac:dyDescent="0.3"/>
  <cols>
    <col min="1" max="1" width="18.6640625" bestFit="1" customWidth="1"/>
    <col min="2" max="2" width="14.109375" bestFit="1" customWidth="1"/>
    <col min="3" max="3" width="11.109375" bestFit="1" customWidth="1"/>
    <col min="6" max="6" width="15" bestFit="1" customWidth="1"/>
    <col min="10" max="10" width="11.88671875" bestFit="1" customWidth="1"/>
  </cols>
  <sheetData>
    <row r="1" spans="1:11" x14ac:dyDescent="0.3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 x14ac:dyDescent="0.3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 x14ac:dyDescent="0.3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 x14ac:dyDescent="0.3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 x14ac:dyDescent="0.3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 x14ac:dyDescent="0.3">
      <c r="A6" t="s">
        <v>12</v>
      </c>
      <c r="B6" s="2">
        <v>120</v>
      </c>
    </row>
    <row r="7" spans="1:11" x14ac:dyDescent="0.3">
      <c r="A7" t="s">
        <v>13</v>
      </c>
      <c r="B7" s="2">
        <f>PMT(B5,B6,-B1,0)</f>
        <v>171000.69483453908</v>
      </c>
    </row>
    <row r="8" spans="1:11" x14ac:dyDescent="0.3">
      <c r="A8" t="s">
        <v>1</v>
      </c>
      <c r="B8" s="1">
        <v>5.0000000000000001E-3</v>
      </c>
    </row>
    <row r="9" spans="1:11" x14ac:dyDescent="0.3">
      <c r="A9" t="s">
        <v>14</v>
      </c>
      <c r="B9" s="3">
        <f>IRR(B11:B131,5%)</f>
        <v>1.3797499999999907E-2</v>
      </c>
    </row>
    <row r="10" spans="1:11" x14ac:dyDescent="0.3">
      <c r="A10" t="s">
        <v>15</v>
      </c>
      <c r="B10" s="3">
        <f>IRR(C11:C131,5%)</f>
        <v>1.3824337313149915E-2</v>
      </c>
    </row>
    <row r="11" spans="1:11" x14ac:dyDescent="0.3">
      <c r="A11" s="5"/>
      <c r="B11" s="6">
        <f>-B1</f>
        <v>-10000000</v>
      </c>
      <c r="C11" s="6">
        <f>+B11</f>
        <v>-10000000</v>
      </c>
    </row>
    <row r="12" spans="1:11" x14ac:dyDescent="0.3">
      <c r="A12" s="7">
        <v>1</v>
      </c>
      <c r="B12" s="6">
        <f>+B7</f>
        <v>171000.69483453908</v>
      </c>
      <c r="C12" s="6">
        <f>+B12+G5-K5</f>
        <v>183000.69483453908</v>
      </c>
    </row>
    <row r="13" spans="1:11" x14ac:dyDescent="0.3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 x14ac:dyDescent="0.3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 x14ac:dyDescent="0.3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 x14ac:dyDescent="0.3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 x14ac:dyDescent="0.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 x14ac:dyDescent="0.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 x14ac:dyDescent="0.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 x14ac:dyDescent="0.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 x14ac:dyDescent="0.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 x14ac:dyDescent="0.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 x14ac:dyDescent="0.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 x14ac:dyDescent="0.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 x14ac:dyDescent="0.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 x14ac:dyDescent="0.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 x14ac:dyDescent="0.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 x14ac:dyDescent="0.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 x14ac:dyDescent="0.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 x14ac:dyDescent="0.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 x14ac:dyDescent="0.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 x14ac:dyDescent="0.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 x14ac:dyDescent="0.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 x14ac:dyDescent="0.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 x14ac:dyDescent="0.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 x14ac:dyDescent="0.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 x14ac:dyDescent="0.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 x14ac:dyDescent="0.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 x14ac:dyDescent="0.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 x14ac:dyDescent="0.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 x14ac:dyDescent="0.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 x14ac:dyDescent="0.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 x14ac:dyDescent="0.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 x14ac:dyDescent="0.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 x14ac:dyDescent="0.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 x14ac:dyDescent="0.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 x14ac:dyDescent="0.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 x14ac:dyDescent="0.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 x14ac:dyDescent="0.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 x14ac:dyDescent="0.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 x14ac:dyDescent="0.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 x14ac:dyDescent="0.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 x14ac:dyDescent="0.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 x14ac:dyDescent="0.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 x14ac:dyDescent="0.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 x14ac:dyDescent="0.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 x14ac:dyDescent="0.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 x14ac:dyDescent="0.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 x14ac:dyDescent="0.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 x14ac:dyDescent="0.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 x14ac:dyDescent="0.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 x14ac:dyDescent="0.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 x14ac:dyDescent="0.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 x14ac:dyDescent="0.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 x14ac:dyDescent="0.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 x14ac:dyDescent="0.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 x14ac:dyDescent="0.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 x14ac:dyDescent="0.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 x14ac:dyDescent="0.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 x14ac:dyDescent="0.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 x14ac:dyDescent="0.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 x14ac:dyDescent="0.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 x14ac:dyDescent="0.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 x14ac:dyDescent="0.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 x14ac:dyDescent="0.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 x14ac:dyDescent="0.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 x14ac:dyDescent="0.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 x14ac:dyDescent="0.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 x14ac:dyDescent="0.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 x14ac:dyDescent="0.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 x14ac:dyDescent="0.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 x14ac:dyDescent="0.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 x14ac:dyDescent="0.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 x14ac:dyDescent="0.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 x14ac:dyDescent="0.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 x14ac:dyDescent="0.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 x14ac:dyDescent="0.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 x14ac:dyDescent="0.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 x14ac:dyDescent="0.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 x14ac:dyDescent="0.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 x14ac:dyDescent="0.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 x14ac:dyDescent="0.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 x14ac:dyDescent="0.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 x14ac:dyDescent="0.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 x14ac:dyDescent="0.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 x14ac:dyDescent="0.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 x14ac:dyDescent="0.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 x14ac:dyDescent="0.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 x14ac:dyDescent="0.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 x14ac:dyDescent="0.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 x14ac:dyDescent="0.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 x14ac:dyDescent="0.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 x14ac:dyDescent="0.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 x14ac:dyDescent="0.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 x14ac:dyDescent="0.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 x14ac:dyDescent="0.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 x14ac:dyDescent="0.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 x14ac:dyDescent="0.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 x14ac:dyDescent="0.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 x14ac:dyDescent="0.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 x14ac:dyDescent="0.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 x14ac:dyDescent="0.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 x14ac:dyDescent="0.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 x14ac:dyDescent="0.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 x14ac:dyDescent="0.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 x14ac:dyDescent="0.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 x14ac:dyDescent="0.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 x14ac:dyDescent="0.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 x14ac:dyDescent="0.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 x14ac:dyDescent="0.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 x14ac:dyDescent="0.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 x14ac:dyDescent="0.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 x14ac:dyDescent="0.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 x14ac:dyDescent="0.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 x14ac:dyDescent="0.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 x14ac:dyDescent="0.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 x14ac:dyDescent="0.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 x14ac:dyDescent="0.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 x14ac:dyDescent="0.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 x14ac:dyDescent="0.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 x14ac:dyDescent="0.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 x14ac:dyDescent="0.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J39"/>
  <sheetViews>
    <sheetView tabSelected="1" topLeftCell="F1" zoomScaleNormal="100" workbookViewId="0">
      <pane ySplit="3" topLeftCell="A4" activePane="bottomLeft" state="frozen"/>
      <selection pane="bottomLeft" activeCell="S21" sqref="S21"/>
    </sheetView>
  </sheetViews>
  <sheetFormatPr baseColWidth="10" defaultColWidth="11.44140625" defaultRowHeight="15" customHeight="1" x14ac:dyDescent="0.3"/>
  <cols>
    <col min="1" max="1" width="6.88671875" customWidth="1"/>
    <col min="2" max="2" width="14.109375" bestFit="1" customWidth="1"/>
    <col min="3" max="5" width="12.109375" bestFit="1" customWidth="1"/>
    <col min="6" max="6" width="13.6640625" bestFit="1" customWidth="1"/>
    <col min="7" max="7" width="12.109375" customWidth="1"/>
    <col min="8" max="8" width="10.44140625" customWidth="1"/>
    <col min="9" max="9" width="9.6640625" bestFit="1" customWidth="1"/>
    <col min="10" max="10" width="12.109375" customWidth="1"/>
    <col min="11" max="11" width="8.33203125" customWidth="1"/>
    <col min="12" max="12" width="3.33203125" bestFit="1" customWidth="1"/>
    <col min="13" max="13" width="4.33203125" bestFit="1" customWidth="1"/>
    <col min="14" max="14" width="5" bestFit="1" customWidth="1"/>
    <col min="15" max="15" width="14.44140625" customWidth="1"/>
    <col min="16" max="16" width="14.88671875" customWidth="1"/>
    <col min="17" max="17" width="13.5546875" bestFit="1" customWidth="1"/>
    <col min="18" max="18" width="14.5546875" bestFit="1" customWidth="1"/>
    <col min="19" max="19" width="16.33203125" bestFit="1" customWidth="1"/>
    <col min="20" max="21" width="16.33203125" customWidth="1"/>
    <col min="22" max="22" width="14.5546875" bestFit="1" customWidth="1"/>
    <col min="23" max="24" width="14.44140625" customWidth="1"/>
    <col min="25" max="25" width="13.109375" customWidth="1"/>
    <col min="26" max="27" width="14.44140625" customWidth="1"/>
    <col min="28" max="28" width="13.6640625" bestFit="1" customWidth="1"/>
    <col min="29" max="29" width="13.33203125" bestFit="1" customWidth="1"/>
    <col min="30" max="34" width="13.6640625" bestFit="1" customWidth="1"/>
  </cols>
  <sheetData>
    <row r="1" spans="1:36" ht="14.4" x14ac:dyDescent="0.3">
      <c r="A1" s="9" t="s">
        <v>16</v>
      </c>
      <c r="B1" s="12">
        <v>281970424</v>
      </c>
      <c r="C1" s="9" t="s">
        <v>17</v>
      </c>
      <c r="D1" s="11">
        <v>8.7550000000000003E-2</v>
      </c>
      <c r="E1" s="9" t="s">
        <v>18</v>
      </c>
      <c r="F1" s="14">
        <f>((D1+D2)/12)</f>
        <v>1.4379166666666667E-2</v>
      </c>
      <c r="H1" s="20" t="s">
        <v>19</v>
      </c>
      <c r="J1" s="53">
        <v>45951</v>
      </c>
      <c r="O1" s="53"/>
    </row>
    <row r="2" spans="1:36" ht="14.4" x14ac:dyDescent="0.3">
      <c r="A2" s="9" t="s">
        <v>20</v>
      </c>
      <c r="B2" s="13">
        <v>36</v>
      </c>
      <c r="C2" s="9" t="s">
        <v>21</v>
      </c>
      <c r="D2" s="11">
        <v>8.5000000000000006E-2</v>
      </c>
      <c r="E2" s="9" t="s">
        <v>22</v>
      </c>
      <c r="F2" s="15">
        <f>+PMT(F1,B2,-B1,0)</f>
        <v>10088835.818193128</v>
      </c>
      <c r="G2" s="15"/>
      <c r="J2" s="55">
        <v>256</v>
      </c>
      <c r="O2" s="53"/>
      <c r="Q2" s="88" t="s">
        <v>23</v>
      </c>
      <c r="R2" s="89"/>
      <c r="S2" s="89"/>
      <c r="T2" s="89"/>
      <c r="U2" s="89"/>
      <c r="V2" s="90"/>
    </row>
    <row r="3" spans="1:36" ht="27.6" x14ac:dyDescent="0.3">
      <c r="A3" s="66"/>
      <c r="B3" s="67" t="s">
        <v>24</v>
      </c>
      <c r="C3" s="67" t="s">
        <v>25</v>
      </c>
      <c r="D3" s="67" t="s">
        <v>26</v>
      </c>
      <c r="E3" s="67" t="s">
        <v>13</v>
      </c>
      <c r="F3" s="67" t="s">
        <v>27</v>
      </c>
      <c r="G3" s="67" t="s">
        <v>28</v>
      </c>
      <c r="H3" s="8" t="s">
        <v>6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  <c r="N3" s="8" t="s">
        <v>34</v>
      </c>
      <c r="O3" s="8" t="s">
        <v>32</v>
      </c>
      <c r="P3" s="16" t="s">
        <v>35</v>
      </c>
      <c r="Q3" s="79" t="s">
        <v>36</v>
      </c>
      <c r="R3" s="80" t="s">
        <v>37</v>
      </c>
      <c r="S3" s="81" t="s">
        <v>38</v>
      </c>
      <c r="T3" s="81" t="s">
        <v>39</v>
      </c>
      <c r="U3" s="80" t="s">
        <v>40</v>
      </c>
      <c r="V3" s="82" t="s">
        <v>41</v>
      </c>
    </row>
    <row r="4" spans="1:36" ht="14.4" x14ac:dyDescent="0.3">
      <c r="A4" s="10">
        <f>+TasaImplicita!A12</f>
        <v>1</v>
      </c>
      <c r="B4" s="60">
        <f>+B1</f>
        <v>281970424</v>
      </c>
      <c r="C4" s="60">
        <f>+B4*F1</f>
        <v>4054499.7217666665</v>
      </c>
      <c r="D4" s="60">
        <f>+S4</f>
        <v>7250686</v>
      </c>
      <c r="E4" s="60">
        <f>+F2</f>
        <v>10088835.818193128</v>
      </c>
      <c r="F4" s="60">
        <f>+B4-D4</f>
        <v>274719738</v>
      </c>
      <c r="G4" s="61">
        <v>8.763E-2</v>
      </c>
      <c r="H4" s="54">
        <f>+D2</f>
        <v>8.5000000000000006E-2</v>
      </c>
      <c r="I4" s="62">
        <f>((G4+H4)/12)</f>
        <v>1.4385833333333334E-2</v>
      </c>
      <c r="J4" s="63">
        <f>PMT(I4,K4,-F4,0)</f>
        <v>10045455.905293303</v>
      </c>
      <c r="K4" s="64">
        <f>+$B$2-A4</f>
        <v>35</v>
      </c>
      <c r="L4">
        <v>21</v>
      </c>
      <c r="M4">
        <v>11</v>
      </c>
      <c r="N4">
        <v>2025</v>
      </c>
      <c r="O4" s="21">
        <f t="shared" ref="O4:O14" si="0">+C4/30</f>
        <v>135149.99072555554</v>
      </c>
      <c r="P4" s="33">
        <f>+O4*9</f>
        <v>1216349.9165299998</v>
      </c>
      <c r="Q4" s="76">
        <v>45973</v>
      </c>
      <c r="R4" s="77">
        <v>2838150</v>
      </c>
      <c r="S4" s="77">
        <v>7250686</v>
      </c>
      <c r="T4" s="77">
        <f>B4-S4</f>
        <v>274719738</v>
      </c>
      <c r="U4" s="78">
        <v>0</v>
      </c>
      <c r="V4" s="77">
        <f t="shared" ref="V4:V15" si="1">+R4+S4+U4</f>
        <v>10088836</v>
      </c>
      <c r="AA4" s="22"/>
    </row>
    <row r="5" spans="1:36" ht="14.4" x14ac:dyDescent="0.3">
      <c r="A5" s="10">
        <f>IF(AND(A4&lt;$B$2)*(A4&lt;&gt;0),1+A4," ")</f>
        <v>2</v>
      </c>
      <c r="B5" s="60">
        <f>IF(A5=" "," ",+F4)</f>
        <v>274719738</v>
      </c>
      <c r="C5" s="60">
        <f>IF(A5=" "," ",+B5*I4)</f>
        <v>3952072.3642450003</v>
      </c>
      <c r="D5" s="60">
        <f>+S5</f>
        <v>4907762</v>
      </c>
      <c r="E5" s="60">
        <f>IF(A5=" "," ",+J4)</f>
        <v>10045455.905293303</v>
      </c>
      <c r="F5" s="60">
        <f>+B5-D5-S6</f>
        <v>214865912</v>
      </c>
      <c r="G5" s="54">
        <v>8.8730000000000003E-2</v>
      </c>
      <c r="H5" s="54">
        <f>IF(A5=" "," ",+H4)</f>
        <v>8.5000000000000006E-2</v>
      </c>
      <c r="I5" s="62">
        <f>IF(A5=" "," ",((G5+H5)/12))</f>
        <v>1.4477499999999999E-2</v>
      </c>
      <c r="J5" s="63">
        <f>PMT(I5,K5,-F5,0)</f>
        <v>8046766.7904217988</v>
      </c>
      <c r="K5" s="64">
        <f>IF(A2=" "," ",+$B$2-A5)</f>
        <v>34</v>
      </c>
      <c r="L5">
        <f>IF(A5&lt;&gt;" ",+L4," ")</f>
        <v>21</v>
      </c>
      <c r="M5">
        <f>IF(AND(A5&lt;&gt;" ")*(M4=12),1,1+M4)</f>
        <v>12</v>
      </c>
      <c r="N5">
        <f>IF(AND(A5&lt;&gt;" ")*(M5=1),1+N4,N4)</f>
        <v>2025</v>
      </c>
      <c r="O5" s="21">
        <f t="shared" si="0"/>
        <v>131735.74547483335</v>
      </c>
      <c r="P5" s="33">
        <f>+O5*18</f>
        <v>2371243.4185470003</v>
      </c>
      <c r="Q5" s="57">
        <v>46015</v>
      </c>
      <c r="R5" s="56">
        <v>5137694</v>
      </c>
      <c r="S5" s="56">
        <v>4907762</v>
      </c>
      <c r="T5" s="56">
        <f t="shared" ref="T5:T15" si="2">+T4-S5</f>
        <v>269811976</v>
      </c>
      <c r="U5" s="59">
        <v>8480</v>
      </c>
      <c r="V5" s="77">
        <f t="shared" si="1"/>
        <v>10053936</v>
      </c>
    </row>
    <row r="6" spans="1:36" ht="14.4" x14ac:dyDescent="0.3">
      <c r="A6" s="10">
        <f t="shared" ref="A6:A39" si="3">IF(AND(A5&lt;$B$2)*(A5&lt;&gt;0),1+A5," ")</f>
        <v>3</v>
      </c>
      <c r="B6" s="60">
        <f t="shared" ref="B6:B26" si="4">IF(A6=" "," ",+F5)</f>
        <v>214865912</v>
      </c>
      <c r="C6" s="60">
        <f t="shared" ref="C6:C26" si="5">IF(A6=" "," ",+B6*I5)</f>
        <v>3110721.2409799998</v>
      </c>
      <c r="D6" s="60">
        <f t="shared" ref="D6:D11" si="6">+S7</f>
        <v>4936046</v>
      </c>
      <c r="E6" s="60">
        <f t="shared" ref="E6:E26" si="7">IF(A6=" "," ",+J5)</f>
        <v>8046766.7904217988</v>
      </c>
      <c r="F6" s="60">
        <f t="shared" ref="F6:F26" si="8">+B6-D6</f>
        <v>209929866</v>
      </c>
      <c r="G6" s="54">
        <v>9.0800000000000006E-2</v>
      </c>
      <c r="H6" s="54">
        <f t="shared" ref="H6:H26" si="9">IF(A6=" "," ",+H5)</f>
        <v>8.5000000000000006E-2</v>
      </c>
      <c r="I6" s="62">
        <f t="shared" ref="I6:I26" si="10">IF(A6=" "," ",((G6+H6)/12))</f>
        <v>1.4650000000000002E-2</v>
      </c>
      <c r="J6" s="63">
        <f t="shared" ref="J6:J26" si="11">PMT(I6,K6,-F6,0)</f>
        <v>8068267.1053096661</v>
      </c>
      <c r="K6" s="64">
        <f t="shared" ref="K6:K26" si="12">IF(A3=" "," ",+$B$2-A6)</f>
        <v>33</v>
      </c>
      <c r="L6">
        <f t="shared" ref="L6:L26" si="13">IF(A6&lt;&gt;" ",+L5," ")</f>
        <v>21</v>
      </c>
      <c r="M6">
        <f t="shared" ref="M6:M26" si="14">IF(AND(A6&lt;&gt;" ")*(M5=12),1,1+M5)</f>
        <v>1</v>
      </c>
      <c r="N6">
        <f>IF(AND(A6&lt;&gt;" ")*(M6=1),1+N5,N5)</f>
        <v>2026</v>
      </c>
      <c r="O6" s="21">
        <f t="shared" si="0"/>
        <v>103690.70803266666</v>
      </c>
      <c r="P6" s="33">
        <f>+O6*9</f>
        <v>933216.372294</v>
      </c>
      <c r="Q6" s="57">
        <v>46015</v>
      </c>
      <c r="R6" s="56">
        <v>0</v>
      </c>
      <c r="S6" s="56">
        <v>54946064</v>
      </c>
      <c r="T6" s="56">
        <f t="shared" si="2"/>
        <v>214865912</v>
      </c>
      <c r="U6" s="59"/>
      <c r="V6" s="77">
        <f t="shared" si="1"/>
        <v>54946064</v>
      </c>
      <c r="Y6" s="22"/>
    </row>
    <row r="7" spans="1:36" ht="14.4" x14ac:dyDescent="0.3">
      <c r="A7" s="10">
        <f t="shared" si="3"/>
        <v>4</v>
      </c>
      <c r="B7" s="60">
        <f t="shared" si="4"/>
        <v>209929866</v>
      </c>
      <c r="C7" s="60">
        <f t="shared" si="5"/>
        <v>3075472.5369000002</v>
      </c>
      <c r="D7" s="60">
        <f t="shared" si="6"/>
        <v>21426800</v>
      </c>
      <c r="E7" s="60">
        <f t="shared" si="7"/>
        <v>8068267.1053096661</v>
      </c>
      <c r="F7" s="60">
        <f t="shared" si="8"/>
        <v>188503066</v>
      </c>
      <c r="G7" s="54">
        <v>9.6619999999999998E-2</v>
      </c>
      <c r="H7" s="54">
        <f t="shared" si="9"/>
        <v>8.5000000000000006E-2</v>
      </c>
      <c r="I7" s="62">
        <f t="shared" si="10"/>
        <v>1.5135000000000001E-2</v>
      </c>
      <c r="J7" s="63">
        <f t="shared" si="11"/>
        <v>7475530.633805559</v>
      </c>
      <c r="K7" s="64">
        <f t="shared" si="12"/>
        <v>32</v>
      </c>
      <c r="L7">
        <f t="shared" si="13"/>
        <v>21</v>
      </c>
      <c r="M7">
        <f t="shared" si="14"/>
        <v>2</v>
      </c>
      <c r="N7">
        <f t="shared" ref="N7:N26" si="15">IF(AND(A7&lt;&gt;" ")*(M7=1),1+N6,N6)</f>
        <v>2026</v>
      </c>
      <c r="O7" s="21">
        <f t="shared" si="0"/>
        <v>102515.75123000001</v>
      </c>
      <c r="P7" s="33">
        <f>+O7*5</f>
        <v>512578.75615000003</v>
      </c>
      <c r="Q7" s="57">
        <v>46048</v>
      </c>
      <c r="R7" s="56">
        <v>3110721</v>
      </c>
      <c r="S7" s="56">
        <v>4936046</v>
      </c>
      <c r="T7" s="56">
        <f t="shared" si="2"/>
        <v>209929866</v>
      </c>
      <c r="U7" s="59">
        <v>13854</v>
      </c>
      <c r="V7" s="77">
        <f t="shared" si="1"/>
        <v>8060621</v>
      </c>
      <c r="W7" s="91"/>
      <c r="X7" s="84"/>
      <c r="Z7" s="4"/>
    </row>
    <row r="8" spans="1:36" ht="14.4" customHeight="1" x14ac:dyDescent="0.3">
      <c r="A8" s="10">
        <f t="shared" si="3"/>
        <v>5</v>
      </c>
      <c r="B8" s="60">
        <f t="shared" si="4"/>
        <v>188503066</v>
      </c>
      <c r="C8" s="60">
        <f t="shared" si="5"/>
        <v>2852993.9039100003</v>
      </c>
      <c r="D8" s="60">
        <f t="shared" si="6"/>
        <v>6481308</v>
      </c>
      <c r="E8" s="60">
        <f t="shared" si="7"/>
        <v>7475530.633805559</v>
      </c>
      <c r="F8" s="60">
        <f t="shared" si="8"/>
        <v>182021758</v>
      </c>
      <c r="G8" s="85">
        <v>0.10299999999999999</v>
      </c>
      <c r="H8" s="54">
        <f t="shared" si="9"/>
        <v>8.5000000000000006E-2</v>
      </c>
      <c r="I8" s="62">
        <f t="shared" si="10"/>
        <v>1.5666666666666666E-2</v>
      </c>
      <c r="J8" s="63">
        <f t="shared" si="11"/>
        <v>7457460.3419372272</v>
      </c>
      <c r="K8" s="64">
        <f t="shared" si="12"/>
        <v>31</v>
      </c>
      <c r="L8">
        <f t="shared" si="13"/>
        <v>21</v>
      </c>
      <c r="M8">
        <f t="shared" si="14"/>
        <v>3</v>
      </c>
      <c r="N8">
        <f t="shared" si="15"/>
        <v>2026</v>
      </c>
      <c r="O8" s="21">
        <f t="shared" si="0"/>
        <v>95099.796797000017</v>
      </c>
      <c r="P8" s="33">
        <f>+O8*30</f>
        <v>2852993.9039100003</v>
      </c>
      <c r="Q8" s="57">
        <v>46048</v>
      </c>
      <c r="R8" s="56">
        <v>512579</v>
      </c>
      <c r="S8" s="56">
        <v>21426800</v>
      </c>
      <c r="T8" s="56">
        <f t="shared" si="2"/>
        <v>188503066</v>
      </c>
      <c r="U8" s="59">
        <v>0</v>
      </c>
      <c r="V8" s="77">
        <f t="shared" si="1"/>
        <v>21939379</v>
      </c>
      <c r="W8" s="92"/>
      <c r="X8" s="10"/>
      <c r="Y8" s="41">
        <v>45931</v>
      </c>
      <c r="Z8" s="41">
        <v>45962</v>
      </c>
      <c r="AA8" s="41">
        <v>45992</v>
      </c>
      <c r="AB8" s="41">
        <v>46023</v>
      </c>
      <c r="AC8" s="41">
        <v>46054</v>
      </c>
      <c r="AD8" s="41">
        <v>46082</v>
      </c>
      <c r="AE8" s="41">
        <v>46113</v>
      </c>
      <c r="AF8" s="41">
        <v>46143</v>
      </c>
      <c r="AG8" s="41">
        <v>46174</v>
      </c>
      <c r="AH8" s="41">
        <v>46204</v>
      </c>
      <c r="AI8" s="41">
        <v>46235</v>
      </c>
      <c r="AJ8" s="41">
        <v>46266</v>
      </c>
    </row>
    <row r="9" spans="1:36" ht="14.4" x14ac:dyDescent="0.3">
      <c r="A9" s="10">
        <f t="shared" si="3"/>
        <v>6</v>
      </c>
      <c r="B9" s="60">
        <f t="shared" si="4"/>
        <v>182021758</v>
      </c>
      <c r="C9" s="60">
        <f t="shared" si="5"/>
        <v>2851674.2086666664</v>
      </c>
      <c r="D9" s="60">
        <f t="shared" si="6"/>
        <v>35423055</v>
      </c>
      <c r="E9" s="60">
        <f t="shared" si="7"/>
        <v>7457460.3419372272</v>
      </c>
      <c r="F9" s="60">
        <f t="shared" si="8"/>
        <v>146598703</v>
      </c>
      <c r="G9" s="61">
        <v>0.1082</v>
      </c>
      <c r="H9" s="54">
        <f t="shared" si="9"/>
        <v>8.5000000000000006E-2</v>
      </c>
      <c r="I9" s="62">
        <f t="shared" si="10"/>
        <v>1.61E-2</v>
      </c>
      <c r="J9" s="63">
        <f t="shared" si="11"/>
        <v>6199859.9279696224</v>
      </c>
      <c r="K9" s="64">
        <f t="shared" si="12"/>
        <v>30</v>
      </c>
      <c r="L9">
        <f t="shared" si="13"/>
        <v>21</v>
      </c>
      <c r="M9">
        <f t="shared" si="14"/>
        <v>4</v>
      </c>
      <c r="N9">
        <f t="shared" si="15"/>
        <v>2026</v>
      </c>
      <c r="O9" s="21">
        <f t="shared" si="0"/>
        <v>95055.806955555541</v>
      </c>
      <c r="P9" s="33">
        <f>+O9*27</f>
        <v>2566506.7877999996</v>
      </c>
      <c r="Q9" s="57">
        <v>46084</v>
      </c>
      <c r="R9" s="56">
        <v>3518692</v>
      </c>
      <c r="S9" s="56">
        <v>6481308</v>
      </c>
      <c r="T9" s="56">
        <f t="shared" si="2"/>
        <v>182021758</v>
      </c>
      <c r="U9" s="59">
        <v>0</v>
      </c>
      <c r="V9" s="56">
        <f t="shared" si="1"/>
        <v>10000000</v>
      </c>
      <c r="Y9" s="22">
        <f>+P4</f>
        <v>1216349.9165299998</v>
      </c>
      <c r="Z9" s="22">
        <f>+O4*12</f>
        <v>1621799.8887066664</v>
      </c>
      <c r="AA9" s="22">
        <f>+O5*21+1</f>
        <v>2766451.6549715004</v>
      </c>
      <c r="AB9" s="22">
        <f>+O6*21</f>
        <v>2177504.8686859999</v>
      </c>
      <c r="AC9" s="22">
        <f>-42-29621</f>
        <v>-29663</v>
      </c>
      <c r="AD9" s="22">
        <f>+O8*3+1</f>
        <v>285300.39039100008</v>
      </c>
      <c r="AE9" s="22">
        <f>+O9*21+1</f>
        <v>1996172.9460666664</v>
      </c>
      <c r="AF9" s="22">
        <f>+O10*21</f>
        <v>1652167.3828099999</v>
      </c>
      <c r="AG9" s="22">
        <f>+O11*21</f>
        <v>1212613.505201</v>
      </c>
      <c r="AH9" s="22">
        <f>+O12*12</f>
        <v>490407.50761166675</v>
      </c>
      <c r="AI9" s="22"/>
      <c r="AJ9" s="22"/>
    </row>
    <row r="10" spans="1:36" ht="14.4" x14ac:dyDescent="0.3">
      <c r="A10" s="10">
        <f t="shared" si="3"/>
        <v>7</v>
      </c>
      <c r="B10" s="60">
        <f t="shared" si="4"/>
        <v>146598703</v>
      </c>
      <c r="C10" s="60">
        <f t="shared" si="5"/>
        <v>2360239.1182999997</v>
      </c>
      <c r="D10" s="60">
        <f t="shared" si="6"/>
        <v>37637281</v>
      </c>
      <c r="E10" s="60">
        <f t="shared" si="7"/>
        <v>6199859.9279696224</v>
      </c>
      <c r="F10" s="60">
        <f t="shared" si="8"/>
        <v>108961422</v>
      </c>
      <c r="G10" s="61">
        <v>0.10578</v>
      </c>
      <c r="H10" s="54">
        <f t="shared" si="9"/>
        <v>8.5000000000000006E-2</v>
      </c>
      <c r="I10" s="62">
        <f t="shared" si="10"/>
        <v>1.5898333333333334E-2</v>
      </c>
      <c r="J10" s="63">
        <f t="shared" si="11"/>
        <v>4719035.9042131538</v>
      </c>
      <c r="K10" s="64">
        <f t="shared" si="12"/>
        <v>29</v>
      </c>
      <c r="L10">
        <f t="shared" si="13"/>
        <v>21</v>
      </c>
      <c r="M10">
        <f t="shared" si="14"/>
        <v>5</v>
      </c>
      <c r="N10">
        <f t="shared" si="15"/>
        <v>2026</v>
      </c>
      <c r="O10" s="21">
        <f t="shared" si="0"/>
        <v>78674.637276666661</v>
      </c>
      <c r="P10" s="33">
        <f>+O10*9</f>
        <v>708071.73548999999</v>
      </c>
      <c r="Q10" s="37">
        <v>46141</v>
      </c>
      <c r="R10" s="56">
        <v>4562679</v>
      </c>
      <c r="S10" s="56">
        <v>35423055</v>
      </c>
      <c r="T10" s="56">
        <f t="shared" si="2"/>
        <v>146598703</v>
      </c>
      <c r="U10" s="86">
        <v>14266</v>
      </c>
      <c r="V10" s="56">
        <f t="shared" si="1"/>
        <v>40000000</v>
      </c>
      <c r="Y10" s="34"/>
      <c r="Z10" s="35">
        <f>+P5</f>
        <v>2371243.4185470003</v>
      </c>
      <c r="AA10" s="35">
        <f>+P6</f>
        <v>933216.372294</v>
      </c>
      <c r="AB10" s="35">
        <f>+P7+(O8*4)</f>
        <v>892977.9433380001</v>
      </c>
      <c r="AC10" s="35">
        <f>+P8</f>
        <v>2852993.9039100003</v>
      </c>
      <c r="AD10" s="35">
        <f>+P9</f>
        <v>2566506.7877999996</v>
      </c>
      <c r="AE10" s="35">
        <f>+P10</f>
        <v>708071.73548999999</v>
      </c>
      <c r="AF10" s="35">
        <f>+P11</f>
        <v>519691.50222899998</v>
      </c>
      <c r="AG10" s="35">
        <f>+P12</f>
        <v>367805.63070875005</v>
      </c>
      <c r="AH10" s="35">
        <f>+P13</f>
        <v>365706.49248900008</v>
      </c>
      <c r="AI10" s="22">
        <f>+P14</f>
        <v>525671.47564166668</v>
      </c>
      <c r="AJ10" s="22">
        <f>+P15</f>
        <v>0</v>
      </c>
    </row>
    <row r="11" spans="1:36" ht="14.4" x14ac:dyDescent="0.3">
      <c r="A11" s="10">
        <f t="shared" si="3"/>
        <v>8</v>
      </c>
      <c r="B11" s="60">
        <f t="shared" si="4"/>
        <v>108961422</v>
      </c>
      <c r="C11" s="60">
        <f t="shared" si="5"/>
        <v>1732305.00743</v>
      </c>
      <c r="D11" s="60">
        <f t="shared" si="6"/>
        <v>2986731</v>
      </c>
      <c r="E11" s="60">
        <f t="shared" si="7"/>
        <v>4719035.9042131538</v>
      </c>
      <c r="F11" s="60">
        <f>+B11-D11-S13</f>
        <v>75699641</v>
      </c>
      <c r="G11" s="61">
        <v>0.10935</v>
      </c>
      <c r="H11" s="54">
        <f t="shared" si="9"/>
        <v>8.5000000000000006E-2</v>
      </c>
      <c r="I11" s="62">
        <f t="shared" si="10"/>
        <v>1.6195833333333336E-2</v>
      </c>
      <c r="J11" s="63">
        <f t="shared" si="11"/>
        <v>3384208.6941623203</v>
      </c>
      <c r="K11" s="64">
        <f t="shared" si="12"/>
        <v>28</v>
      </c>
      <c r="L11">
        <f t="shared" si="13"/>
        <v>21</v>
      </c>
      <c r="M11">
        <f t="shared" si="14"/>
        <v>6</v>
      </c>
      <c r="N11">
        <f t="shared" si="15"/>
        <v>2026</v>
      </c>
      <c r="O11" s="21">
        <f t="shared" si="0"/>
        <v>57743.500247666663</v>
      </c>
      <c r="P11" s="33">
        <f>+O11*9</f>
        <v>519691.50222899998</v>
      </c>
      <c r="Q11" s="37">
        <v>46164</v>
      </c>
      <c r="R11" s="56">
        <v>2360239</v>
      </c>
      <c r="S11" s="56">
        <v>37637281</v>
      </c>
      <c r="T11" s="56">
        <f t="shared" si="2"/>
        <v>108961422</v>
      </c>
      <c r="U11" s="86">
        <v>2480</v>
      </c>
      <c r="V11" s="56">
        <f t="shared" si="1"/>
        <v>40000000</v>
      </c>
      <c r="Y11" s="22">
        <f t="shared" ref="Y11:AF11" si="16">SUM(Y9:Y10)</f>
        <v>1216349.9165299998</v>
      </c>
      <c r="Z11" s="22">
        <f t="shared" si="16"/>
        <v>3993043.3072536667</v>
      </c>
      <c r="AA11" s="22">
        <f t="shared" si="16"/>
        <v>3699668.0272655003</v>
      </c>
      <c r="AB11" s="22">
        <f t="shared" si="16"/>
        <v>3070482.8120240001</v>
      </c>
      <c r="AC11" s="22">
        <f t="shared" si="16"/>
        <v>2823330.9039100003</v>
      </c>
      <c r="AD11" s="22">
        <f t="shared" si="16"/>
        <v>2851807.1781909997</v>
      </c>
      <c r="AE11" s="22">
        <f t="shared" si="16"/>
        <v>2704244.6815566663</v>
      </c>
      <c r="AF11" s="22">
        <f t="shared" si="16"/>
        <v>2171858.8850389998</v>
      </c>
      <c r="AG11" s="22">
        <f>SUM(AG9:AG10)</f>
        <v>1580419.1359097501</v>
      </c>
      <c r="AH11" s="22">
        <f>+AH9+AH10</f>
        <v>856114.00010066689</v>
      </c>
      <c r="AI11" s="22">
        <f>+AI10+AI9</f>
        <v>525671.47564166668</v>
      </c>
      <c r="AJ11" s="22">
        <f>+AJ10+AJ9</f>
        <v>0</v>
      </c>
    </row>
    <row r="12" spans="1:36" ht="14.4" x14ac:dyDescent="0.3">
      <c r="A12" s="10">
        <f t="shared" si="3"/>
        <v>9</v>
      </c>
      <c r="B12" s="60">
        <f t="shared" si="4"/>
        <v>75699641</v>
      </c>
      <c r="C12" s="60">
        <f t="shared" si="5"/>
        <v>1226018.7690291668</v>
      </c>
      <c r="D12" s="60">
        <f>+S14</f>
        <v>39141787</v>
      </c>
      <c r="E12" s="60">
        <f t="shared" si="7"/>
        <v>3384208.6941623203</v>
      </c>
      <c r="F12" s="60">
        <f t="shared" si="8"/>
        <v>36557854</v>
      </c>
      <c r="G12" s="85">
        <v>0.11507000000000001</v>
      </c>
      <c r="H12" s="54">
        <f t="shared" si="9"/>
        <v>8.5000000000000006E-2</v>
      </c>
      <c r="I12" s="62">
        <f t="shared" si="10"/>
        <v>1.6672500000000003E-2</v>
      </c>
      <c r="J12" s="63">
        <f t="shared" si="11"/>
        <v>1692607.3050948118</v>
      </c>
      <c r="K12" s="64">
        <f t="shared" si="12"/>
        <v>27</v>
      </c>
      <c r="L12">
        <f t="shared" si="13"/>
        <v>21</v>
      </c>
      <c r="M12">
        <f t="shared" si="14"/>
        <v>7</v>
      </c>
      <c r="N12">
        <f t="shared" si="15"/>
        <v>2026</v>
      </c>
      <c r="O12" s="21">
        <f t="shared" si="0"/>
        <v>40867.292300972229</v>
      </c>
      <c r="P12" s="33">
        <f>+O12*9</f>
        <v>367805.63070875005</v>
      </c>
      <c r="Q12" s="37">
        <v>46197</v>
      </c>
      <c r="R12" s="56">
        <v>1732305</v>
      </c>
      <c r="S12" s="56">
        <v>2986731</v>
      </c>
      <c r="T12" s="56">
        <f t="shared" si="2"/>
        <v>105974691</v>
      </c>
      <c r="U12" s="86">
        <v>5914</v>
      </c>
      <c r="V12" s="56">
        <f t="shared" si="1"/>
        <v>4724950</v>
      </c>
    </row>
    <row r="13" spans="1:36" ht="14.4" x14ac:dyDescent="0.3">
      <c r="A13" s="10">
        <f t="shared" si="3"/>
        <v>10</v>
      </c>
      <c r="B13" s="60">
        <f t="shared" si="4"/>
        <v>36557854</v>
      </c>
      <c r="C13" s="60">
        <f>IF(A13=" "," ",+B13*I12)</f>
        <v>609510.8208150001</v>
      </c>
      <c r="D13" s="60">
        <f>+S15</f>
        <v>0</v>
      </c>
      <c r="E13" s="60">
        <f t="shared" si="7"/>
        <v>1692607.3050948118</v>
      </c>
      <c r="F13" s="60">
        <f t="shared" si="8"/>
        <v>36557854</v>
      </c>
      <c r="G13" s="87">
        <v>8.7550000000000003E-2</v>
      </c>
      <c r="H13" s="54">
        <f t="shared" si="9"/>
        <v>8.5000000000000006E-2</v>
      </c>
      <c r="I13" s="62">
        <f t="shared" si="10"/>
        <v>1.4379166666666667E-2</v>
      </c>
      <c r="J13" s="63">
        <f t="shared" si="11"/>
        <v>1695215.4320010676</v>
      </c>
      <c r="K13" s="64">
        <f t="shared" si="12"/>
        <v>26</v>
      </c>
      <c r="L13">
        <f t="shared" si="13"/>
        <v>21</v>
      </c>
      <c r="M13">
        <f t="shared" si="14"/>
        <v>8</v>
      </c>
      <c r="N13">
        <f t="shared" si="15"/>
        <v>2026</v>
      </c>
      <c r="O13" s="21">
        <f t="shared" si="0"/>
        <v>20317.027360500004</v>
      </c>
      <c r="P13" s="33">
        <f>+O13*18</f>
        <v>365706.49248900008</v>
      </c>
      <c r="Q13" s="37">
        <v>46197</v>
      </c>
      <c r="R13" s="56"/>
      <c r="S13" s="56">
        <v>30275050</v>
      </c>
      <c r="T13" s="56">
        <f t="shared" si="2"/>
        <v>75699641</v>
      </c>
      <c r="U13" s="86"/>
      <c r="V13" s="56">
        <f t="shared" si="1"/>
        <v>30275050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</row>
    <row r="14" spans="1:36" ht="14.4" x14ac:dyDescent="0.3">
      <c r="A14" s="69">
        <f t="shared" si="3"/>
        <v>11</v>
      </c>
      <c r="B14" s="70">
        <f t="shared" si="4"/>
        <v>36557854</v>
      </c>
      <c r="C14" s="70">
        <f t="shared" si="5"/>
        <v>525671.47564166668</v>
      </c>
      <c r="D14" s="70">
        <f t="shared" ref="D14:D26" si="17">+E14-C14</f>
        <v>1169543.9563594009</v>
      </c>
      <c r="E14" s="70">
        <f t="shared" si="7"/>
        <v>1695215.4320010676</v>
      </c>
      <c r="F14" s="70">
        <f t="shared" si="8"/>
        <v>35388310.043640599</v>
      </c>
      <c r="G14" s="83">
        <v>8.7550000000000003E-2</v>
      </c>
      <c r="H14" s="71">
        <f t="shared" si="9"/>
        <v>8.5000000000000006E-2</v>
      </c>
      <c r="I14" s="72">
        <f t="shared" si="10"/>
        <v>1.4379166666666667E-2</v>
      </c>
      <c r="J14" s="73">
        <f t="shared" si="11"/>
        <v>1695215.4320010676</v>
      </c>
      <c r="K14" s="74">
        <f t="shared" si="12"/>
        <v>25</v>
      </c>
      <c r="L14" s="75">
        <f t="shared" si="13"/>
        <v>21</v>
      </c>
      <c r="M14" s="75">
        <f t="shared" si="14"/>
        <v>9</v>
      </c>
      <c r="N14" s="75">
        <f t="shared" si="15"/>
        <v>2026</v>
      </c>
      <c r="O14" s="21">
        <f t="shared" si="0"/>
        <v>17522.382521388889</v>
      </c>
      <c r="P14" s="33">
        <f>+O14*30</f>
        <v>525671.47564166668</v>
      </c>
      <c r="Q14" s="37">
        <v>46185</v>
      </c>
      <c r="R14" s="56">
        <v>858213</v>
      </c>
      <c r="S14" s="56">
        <v>39141787</v>
      </c>
      <c r="T14" s="56">
        <f t="shared" si="2"/>
        <v>36557854</v>
      </c>
      <c r="U14" s="86"/>
      <c r="V14" s="56">
        <f t="shared" si="1"/>
        <v>40000000</v>
      </c>
      <c r="AB14" s="22"/>
      <c r="AF14" s="22"/>
    </row>
    <row r="15" spans="1:36" ht="14.4" x14ac:dyDescent="0.3">
      <c r="A15" s="68">
        <f t="shared" si="3"/>
        <v>12</v>
      </c>
      <c r="B15" s="60">
        <f t="shared" si="4"/>
        <v>35388310.043640599</v>
      </c>
      <c r="C15" s="60">
        <f t="shared" si="5"/>
        <v>508854.40816918213</v>
      </c>
      <c r="D15" s="60">
        <f t="shared" si="17"/>
        <v>1186361.0238318853</v>
      </c>
      <c r="E15" s="60">
        <f t="shared" si="7"/>
        <v>1695215.4320010676</v>
      </c>
      <c r="F15" s="60">
        <f t="shared" si="8"/>
        <v>34201949.01980871</v>
      </c>
      <c r="G15" s="61">
        <v>8.7550000000000003E-2</v>
      </c>
      <c r="H15" s="54">
        <f t="shared" si="9"/>
        <v>8.5000000000000006E-2</v>
      </c>
      <c r="I15" s="62">
        <f t="shared" si="10"/>
        <v>1.4379166666666667E-2</v>
      </c>
      <c r="J15" s="63">
        <f t="shared" si="11"/>
        <v>1695215.4320010673</v>
      </c>
      <c r="K15" s="64">
        <f t="shared" si="12"/>
        <v>24</v>
      </c>
      <c r="L15">
        <f t="shared" si="13"/>
        <v>21</v>
      </c>
      <c r="M15">
        <f t="shared" si="14"/>
        <v>10</v>
      </c>
      <c r="N15">
        <f t="shared" si="15"/>
        <v>2026</v>
      </c>
      <c r="O15" s="21"/>
      <c r="P15" s="33"/>
      <c r="Q15" s="37"/>
      <c r="R15" s="56"/>
      <c r="S15" s="56"/>
      <c r="T15" s="56"/>
      <c r="U15" s="86"/>
      <c r="V15" s="56"/>
      <c r="Z15" s="22"/>
      <c r="AB15" s="22"/>
      <c r="AG15" s="22"/>
      <c r="AH15" s="22"/>
    </row>
    <row r="16" spans="1:36" ht="14.4" x14ac:dyDescent="0.3">
      <c r="A16" s="10">
        <f t="shared" si="3"/>
        <v>13</v>
      </c>
      <c r="B16" s="60">
        <f t="shared" si="4"/>
        <v>34201949.01980871</v>
      </c>
      <c r="C16" s="60">
        <f t="shared" si="5"/>
        <v>491795.52528066607</v>
      </c>
      <c r="D16" s="60">
        <f t="shared" si="17"/>
        <v>1203419.9067204013</v>
      </c>
      <c r="E16" s="60">
        <f t="shared" si="7"/>
        <v>1695215.4320010673</v>
      </c>
      <c r="F16" s="60">
        <f t="shared" si="8"/>
        <v>32998529.11308831</v>
      </c>
      <c r="G16" s="61">
        <v>8.7550000000000003E-2</v>
      </c>
      <c r="H16" s="54">
        <f t="shared" si="9"/>
        <v>8.5000000000000006E-2</v>
      </c>
      <c r="I16" s="62">
        <f t="shared" si="10"/>
        <v>1.4379166666666667E-2</v>
      </c>
      <c r="J16" s="63">
        <f t="shared" si="11"/>
        <v>1695215.4320010676</v>
      </c>
      <c r="K16" s="64">
        <f t="shared" si="12"/>
        <v>23</v>
      </c>
      <c r="L16">
        <f t="shared" si="13"/>
        <v>21</v>
      </c>
      <c r="M16">
        <f t="shared" si="14"/>
        <v>11</v>
      </c>
      <c r="N16">
        <f t="shared" si="15"/>
        <v>2026</v>
      </c>
      <c r="P16" s="33"/>
      <c r="Q16" s="37"/>
      <c r="R16" s="56"/>
      <c r="S16" s="56"/>
      <c r="T16" s="56"/>
      <c r="U16" s="86"/>
      <c r="V16" s="56"/>
      <c r="AA16" s="22"/>
    </row>
    <row r="17" spans="1:31" ht="14.4" x14ac:dyDescent="0.3">
      <c r="A17" s="10">
        <f t="shared" si="3"/>
        <v>14</v>
      </c>
      <c r="B17" s="60">
        <f t="shared" si="4"/>
        <v>32998529.11308831</v>
      </c>
      <c r="C17" s="60">
        <f t="shared" si="5"/>
        <v>474491.349871949</v>
      </c>
      <c r="D17" s="60">
        <f t="shared" si="17"/>
        <v>1220724.0821291185</v>
      </c>
      <c r="E17" s="60">
        <f t="shared" si="7"/>
        <v>1695215.4320010676</v>
      </c>
      <c r="F17" s="60">
        <f t="shared" si="8"/>
        <v>31777805.030959193</v>
      </c>
      <c r="G17" s="61">
        <v>8.7550000000000003E-2</v>
      </c>
      <c r="H17" s="54">
        <f t="shared" si="9"/>
        <v>8.5000000000000006E-2</v>
      </c>
      <c r="I17" s="62">
        <f t="shared" si="10"/>
        <v>1.4379166666666667E-2</v>
      </c>
      <c r="J17" s="63">
        <f t="shared" si="11"/>
        <v>1695215.4320010676</v>
      </c>
      <c r="K17" s="64">
        <f t="shared" si="12"/>
        <v>22</v>
      </c>
      <c r="L17">
        <f t="shared" si="13"/>
        <v>21</v>
      </c>
      <c r="M17">
        <f t="shared" si="14"/>
        <v>12</v>
      </c>
      <c r="N17">
        <f t="shared" si="15"/>
        <v>2026</v>
      </c>
      <c r="O17" s="22"/>
      <c r="P17" s="33"/>
      <c r="Q17" s="37"/>
      <c r="R17" s="56"/>
      <c r="S17" s="56"/>
      <c r="T17" s="56"/>
      <c r="U17" s="86"/>
      <c r="V17" s="56"/>
      <c r="AB17" s="22"/>
      <c r="AD17" s="22"/>
      <c r="AE17" s="22"/>
    </row>
    <row r="18" spans="1:31" ht="14.4" x14ac:dyDescent="0.3">
      <c r="A18" s="10">
        <f t="shared" si="3"/>
        <v>15</v>
      </c>
      <c r="B18" s="65">
        <f t="shared" si="4"/>
        <v>31777805.030959193</v>
      </c>
      <c r="C18" s="65">
        <f t="shared" si="5"/>
        <v>456938.35484100075</v>
      </c>
      <c r="D18" s="60">
        <f t="shared" si="17"/>
        <v>1238277.0771600669</v>
      </c>
      <c r="E18" s="60">
        <f t="shared" si="7"/>
        <v>1695215.4320010676</v>
      </c>
      <c r="F18" s="65">
        <f t="shared" si="8"/>
        <v>30539527.953799125</v>
      </c>
      <c r="G18" s="61">
        <v>8.7550000000000003E-2</v>
      </c>
      <c r="H18" s="54">
        <f t="shared" si="9"/>
        <v>8.5000000000000006E-2</v>
      </c>
      <c r="I18" s="62">
        <f t="shared" si="10"/>
        <v>1.4379166666666667E-2</v>
      </c>
      <c r="J18" s="63">
        <f t="shared" si="11"/>
        <v>1695215.4320010676</v>
      </c>
      <c r="K18" s="64">
        <f t="shared" si="12"/>
        <v>21</v>
      </c>
      <c r="L18">
        <f t="shared" si="13"/>
        <v>21</v>
      </c>
      <c r="M18">
        <f t="shared" si="14"/>
        <v>1</v>
      </c>
      <c r="N18">
        <f t="shared" si="15"/>
        <v>2027</v>
      </c>
      <c r="P18" s="33"/>
      <c r="R18" s="4"/>
      <c r="Z18" s="21"/>
    </row>
    <row r="19" spans="1:31" ht="14.4" x14ac:dyDescent="0.3">
      <c r="A19" s="10">
        <f t="shared" si="3"/>
        <v>16</v>
      </c>
      <c r="B19" s="65">
        <f t="shared" si="4"/>
        <v>30539527.953799125</v>
      </c>
      <c r="C19" s="65">
        <f t="shared" si="5"/>
        <v>439132.96236900327</v>
      </c>
      <c r="D19" s="60">
        <f t="shared" si="17"/>
        <v>1256082.4696320642</v>
      </c>
      <c r="E19" s="60">
        <f t="shared" si="7"/>
        <v>1695215.4320010676</v>
      </c>
      <c r="F19" s="65">
        <f t="shared" si="8"/>
        <v>29283445.484167062</v>
      </c>
      <c r="G19" s="61">
        <v>8.7550000000000003E-2</v>
      </c>
      <c r="H19" s="54">
        <f t="shared" si="9"/>
        <v>8.5000000000000006E-2</v>
      </c>
      <c r="I19" s="62">
        <f t="shared" si="10"/>
        <v>1.4379166666666667E-2</v>
      </c>
      <c r="J19" s="63">
        <f t="shared" si="11"/>
        <v>1695215.4320010676</v>
      </c>
      <c r="K19" s="64">
        <f t="shared" si="12"/>
        <v>20</v>
      </c>
      <c r="L19">
        <f t="shared" si="13"/>
        <v>21</v>
      </c>
      <c r="M19">
        <f t="shared" si="14"/>
        <v>2</v>
      </c>
      <c r="N19">
        <f t="shared" si="15"/>
        <v>2027</v>
      </c>
      <c r="P19" s="33"/>
      <c r="Q19" s="4"/>
      <c r="R19" s="4"/>
      <c r="AB19" s="22"/>
    </row>
    <row r="20" spans="1:31" ht="14.4" x14ac:dyDescent="0.3">
      <c r="A20" s="10">
        <f t="shared" si="3"/>
        <v>17</v>
      </c>
      <c r="B20" s="58">
        <f t="shared" si="4"/>
        <v>29283445.484167062</v>
      </c>
      <c r="C20" s="58">
        <f t="shared" si="5"/>
        <v>421071.54319108557</v>
      </c>
      <c r="D20" s="60">
        <f t="shared" si="17"/>
        <v>1274143.888809982</v>
      </c>
      <c r="E20" s="60">
        <f t="shared" si="7"/>
        <v>1695215.4320010676</v>
      </c>
      <c r="F20" s="58">
        <f t="shared" si="8"/>
        <v>28009301.595357079</v>
      </c>
      <c r="G20" s="61">
        <v>8.7550000000000003E-2</v>
      </c>
      <c r="H20" s="54">
        <f t="shared" si="9"/>
        <v>8.5000000000000006E-2</v>
      </c>
      <c r="I20" s="62">
        <f t="shared" si="10"/>
        <v>1.4379166666666667E-2</v>
      </c>
      <c r="J20" s="63">
        <f t="shared" si="11"/>
        <v>1695215.4320010676</v>
      </c>
      <c r="K20" s="64">
        <f t="shared" si="12"/>
        <v>19</v>
      </c>
      <c r="L20">
        <f t="shared" si="13"/>
        <v>21</v>
      </c>
      <c r="M20">
        <f t="shared" si="14"/>
        <v>3</v>
      </c>
      <c r="N20">
        <f t="shared" si="15"/>
        <v>2027</v>
      </c>
      <c r="P20" s="22"/>
    </row>
    <row r="21" spans="1:31" ht="14.4" x14ac:dyDescent="0.3">
      <c r="A21" s="10">
        <f t="shared" si="3"/>
        <v>18</v>
      </c>
      <c r="B21" s="58">
        <f t="shared" si="4"/>
        <v>28009301.595357079</v>
      </c>
      <c r="C21" s="58">
        <f t="shared" si="5"/>
        <v>402750.41585657198</v>
      </c>
      <c r="D21" s="60">
        <f t="shared" si="17"/>
        <v>1292465.0161444955</v>
      </c>
      <c r="E21" s="60">
        <f t="shared" si="7"/>
        <v>1695215.4320010676</v>
      </c>
      <c r="F21" s="58">
        <f t="shared" si="8"/>
        <v>26716836.579212584</v>
      </c>
      <c r="G21" s="61">
        <v>8.7550000000000003E-2</v>
      </c>
      <c r="H21" s="54">
        <f t="shared" si="9"/>
        <v>8.5000000000000006E-2</v>
      </c>
      <c r="I21" s="62">
        <f t="shared" si="10"/>
        <v>1.4379166666666667E-2</v>
      </c>
      <c r="J21" s="63">
        <f t="shared" si="11"/>
        <v>1695215.4320010676</v>
      </c>
      <c r="K21" s="64">
        <f t="shared" si="12"/>
        <v>18</v>
      </c>
      <c r="L21">
        <f t="shared" si="13"/>
        <v>21</v>
      </c>
      <c r="M21">
        <f t="shared" si="14"/>
        <v>4</v>
      </c>
      <c r="N21">
        <f t="shared" si="15"/>
        <v>2027</v>
      </c>
    </row>
    <row r="22" spans="1:31" ht="14.4" x14ac:dyDescent="0.3">
      <c r="A22" s="10">
        <f t="shared" si="3"/>
        <v>19</v>
      </c>
      <c r="B22" s="58">
        <f t="shared" si="4"/>
        <v>26716836.579212584</v>
      </c>
      <c r="C22" s="58">
        <f t="shared" si="5"/>
        <v>384165.84597859427</v>
      </c>
      <c r="D22" s="60">
        <f t="shared" si="17"/>
        <v>1311049.5860224734</v>
      </c>
      <c r="E22" s="60">
        <f t="shared" si="7"/>
        <v>1695215.4320010676</v>
      </c>
      <c r="F22" s="58">
        <f t="shared" si="8"/>
        <v>25405786.99319011</v>
      </c>
      <c r="G22" s="61">
        <v>8.7550000000000003E-2</v>
      </c>
      <c r="H22" s="54">
        <f t="shared" si="9"/>
        <v>8.5000000000000006E-2</v>
      </c>
      <c r="I22" s="62">
        <f t="shared" si="10"/>
        <v>1.4379166666666667E-2</v>
      </c>
      <c r="J22" s="63">
        <f t="shared" si="11"/>
        <v>1695215.4320010676</v>
      </c>
      <c r="K22" s="64">
        <f t="shared" si="12"/>
        <v>17</v>
      </c>
      <c r="L22">
        <f t="shared" si="13"/>
        <v>21</v>
      </c>
      <c r="M22">
        <f t="shared" si="14"/>
        <v>5</v>
      </c>
      <c r="N22">
        <f t="shared" si="15"/>
        <v>2027</v>
      </c>
    </row>
    <row r="23" spans="1:31" ht="14.4" x14ac:dyDescent="0.3">
      <c r="A23" s="10">
        <f t="shared" si="3"/>
        <v>20</v>
      </c>
      <c r="B23" s="58">
        <f t="shared" si="4"/>
        <v>25405786.99319011</v>
      </c>
      <c r="C23" s="58">
        <f t="shared" si="5"/>
        <v>365314.04547291278</v>
      </c>
      <c r="D23" s="60">
        <f t="shared" si="17"/>
        <v>1329901.3865281548</v>
      </c>
      <c r="E23" s="60">
        <f t="shared" si="7"/>
        <v>1695215.4320010676</v>
      </c>
      <c r="F23" s="58">
        <f t="shared" si="8"/>
        <v>24075885.606661953</v>
      </c>
      <c r="G23" s="61">
        <v>8.7550000000000003E-2</v>
      </c>
      <c r="H23" s="54">
        <f t="shared" si="9"/>
        <v>8.5000000000000006E-2</v>
      </c>
      <c r="I23" s="62">
        <f t="shared" si="10"/>
        <v>1.4379166666666667E-2</v>
      </c>
      <c r="J23" s="63">
        <f t="shared" si="11"/>
        <v>1695215.4320010676</v>
      </c>
      <c r="K23" s="64">
        <f t="shared" si="12"/>
        <v>16</v>
      </c>
      <c r="L23">
        <f t="shared" si="13"/>
        <v>21</v>
      </c>
      <c r="M23">
        <f t="shared" si="14"/>
        <v>6</v>
      </c>
      <c r="N23">
        <f t="shared" si="15"/>
        <v>2027</v>
      </c>
    </row>
    <row r="24" spans="1:31" ht="14.4" x14ac:dyDescent="0.3">
      <c r="A24" s="10">
        <f t="shared" si="3"/>
        <v>21</v>
      </c>
      <c r="B24" s="58">
        <f t="shared" si="4"/>
        <v>24075885.606661953</v>
      </c>
      <c r="C24" s="58">
        <f t="shared" si="5"/>
        <v>346191.17178579333</v>
      </c>
      <c r="D24" s="60">
        <f t="shared" si="17"/>
        <v>1349024.2602152743</v>
      </c>
      <c r="E24" s="60">
        <f t="shared" si="7"/>
        <v>1695215.4320010676</v>
      </c>
      <c r="F24" s="58">
        <f t="shared" si="8"/>
        <v>22726861.346446678</v>
      </c>
      <c r="G24" s="61">
        <v>8.7550000000000003E-2</v>
      </c>
      <c r="H24" s="54">
        <f t="shared" si="9"/>
        <v>8.5000000000000006E-2</v>
      </c>
      <c r="I24" s="62">
        <f t="shared" si="10"/>
        <v>1.4379166666666667E-2</v>
      </c>
      <c r="J24" s="63">
        <f t="shared" si="11"/>
        <v>1695215.4320010676</v>
      </c>
      <c r="K24" s="64">
        <f t="shared" si="12"/>
        <v>15</v>
      </c>
      <c r="L24">
        <f t="shared" si="13"/>
        <v>21</v>
      </c>
      <c r="M24">
        <f t="shared" si="14"/>
        <v>7</v>
      </c>
      <c r="N24">
        <f t="shared" si="15"/>
        <v>2027</v>
      </c>
    </row>
    <row r="25" spans="1:31" ht="14.4" x14ac:dyDescent="0.3">
      <c r="A25" s="10">
        <f t="shared" si="3"/>
        <v>22</v>
      </c>
      <c r="B25" s="58">
        <f t="shared" si="4"/>
        <v>22726861.346446678</v>
      </c>
      <c r="C25" s="58">
        <f t="shared" si="5"/>
        <v>326793.32711078122</v>
      </c>
      <c r="D25" s="60">
        <f t="shared" si="17"/>
        <v>1368422.1048902865</v>
      </c>
      <c r="E25" s="60">
        <f t="shared" si="7"/>
        <v>1695215.4320010676</v>
      </c>
      <c r="F25" s="58">
        <f t="shared" si="8"/>
        <v>21358439.241556391</v>
      </c>
      <c r="G25" s="61">
        <v>8.7550000000000003E-2</v>
      </c>
      <c r="H25" s="54">
        <f t="shared" si="9"/>
        <v>8.5000000000000006E-2</v>
      </c>
      <c r="I25" s="62">
        <f t="shared" si="10"/>
        <v>1.4379166666666667E-2</v>
      </c>
      <c r="J25" s="63">
        <f t="shared" si="11"/>
        <v>1695215.4320010673</v>
      </c>
      <c r="K25" s="64">
        <f t="shared" si="12"/>
        <v>14</v>
      </c>
      <c r="L25">
        <f t="shared" si="13"/>
        <v>21</v>
      </c>
      <c r="M25">
        <f t="shared" si="14"/>
        <v>8</v>
      </c>
      <c r="N25">
        <f t="shared" si="15"/>
        <v>2027</v>
      </c>
    </row>
    <row r="26" spans="1:31" ht="14.4" x14ac:dyDescent="0.3">
      <c r="A26" s="10">
        <f t="shared" si="3"/>
        <v>23</v>
      </c>
      <c r="B26" s="58">
        <f t="shared" si="4"/>
        <v>21358439.241556391</v>
      </c>
      <c r="C26" s="58">
        <f t="shared" si="5"/>
        <v>307116.55759421294</v>
      </c>
      <c r="D26" s="60">
        <f t="shared" si="17"/>
        <v>1388098.8744068544</v>
      </c>
      <c r="E26" s="60">
        <f t="shared" si="7"/>
        <v>1695215.4320010673</v>
      </c>
      <c r="F26" s="58">
        <f t="shared" si="8"/>
        <v>19970340.367149536</v>
      </c>
      <c r="G26" s="61">
        <v>8.7550000000000003E-2</v>
      </c>
      <c r="H26" s="54">
        <f t="shared" si="9"/>
        <v>8.5000000000000006E-2</v>
      </c>
      <c r="I26" s="62">
        <f t="shared" si="10"/>
        <v>1.4379166666666667E-2</v>
      </c>
      <c r="J26" s="63">
        <f t="shared" si="11"/>
        <v>1695215.4320010673</v>
      </c>
      <c r="K26" s="64">
        <f t="shared" si="12"/>
        <v>13</v>
      </c>
      <c r="L26">
        <f t="shared" si="13"/>
        <v>21</v>
      </c>
      <c r="M26">
        <f t="shared" si="14"/>
        <v>9</v>
      </c>
      <c r="N26">
        <f t="shared" si="15"/>
        <v>2027</v>
      </c>
    </row>
    <row r="27" spans="1:31" ht="14.4" x14ac:dyDescent="0.3">
      <c r="A27" s="10">
        <f t="shared" si="3"/>
        <v>24</v>
      </c>
      <c r="B27" s="58">
        <f t="shared" ref="B27:B33" si="18">IF(A27=" "," ",+F26)</f>
        <v>19970340.367149536</v>
      </c>
      <c r="C27" s="58">
        <f t="shared" ref="C27:C33" si="19">IF(A27=" "," ",+B27*I26)</f>
        <v>287156.85252930439</v>
      </c>
      <c r="D27" s="60">
        <f t="shared" ref="D27:D33" si="20">+E27-C27</f>
        <v>1408058.579471763</v>
      </c>
      <c r="E27" s="60">
        <f t="shared" ref="E27:E33" si="21">IF(A27=" "," ",+J26)</f>
        <v>1695215.4320010673</v>
      </c>
      <c r="F27" s="58">
        <f t="shared" ref="F27:F33" si="22">+B27-D27</f>
        <v>18562281.787677772</v>
      </c>
      <c r="G27" s="61">
        <v>8.7550000000000003E-2</v>
      </c>
      <c r="H27" s="54">
        <f t="shared" ref="H27:H33" si="23">IF(A27=" "," ",+H26)</f>
        <v>8.5000000000000006E-2</v>
      </c>
      <c r="I27" s="62">
        <f t="shared" ref="I27:I33" si="24">IF(A27=" "," ",((G27+H27)/12))</f>
        <v>1.4379166666666667E-2</v>
      </c>
      <c r="J27" s="63">
        <f t="shared" ref="J27:J33" si="25">PMT(I27,K27,-F27,0)</f>
        <v>1695215.4320010671</v>
      </c>
      <c r="K27" s="64">
        <f t="shared" ref="K27:K33" si="26">IF(A24=" "," ",+$B$2-A27)</f>
        <v>12</v>
      </c>
      <c r="L27">
        <f t="shared" ref="L27:L33" si="27">IF(A27&lt;&gt;" ",+L26," ")</f>
        <v>21</v>
      </c>
      <c r="M27">
        <f t="shared" ref="M27:M33" si="28">IF(AND(A27&lt;&gt;" ")*(M26=12),1,1+M26)</f>
        <v>10</v>
      </c>
      <c r="N27">
        <f t="shared" ref="N27:N33" si="29">IF(AND(A27&lt;&gt;" ")*(M27=1),1+N26,N26)</f>
        <v>2027</v>
      </c>
    </row>
    <row r="28" spans="1:31" ht="14.4" x14ac:dyDescent="0.3">
      <c r="A28" s="10">
        <f t="shared" si="3"/>
        <v>25</v>
      </c>
      <c r="B28" s="58">
        <f t="shared" si="18"/>
        <v>18562281.787677772</v>
      </c>
      <c r="C28" s="58">
        <f t="shared" si="19"/>
        <v>266910.14353864995</v>
      </c>
      <c r="D28" s="60">
        <f t="shared" si="20"/>
        <v>1428305.2884624172</v>
      </c>
      <c r="E28" s="60">
        <f t="shared" si="21"/>
        <v>1695215.4320010671</v>
      </c>
      <c r="F28" s="58">
        <f t="shared" si="22"/>
        <v>17133976.499215357</v>
      </c>
      <c r="G28" s="61">
        <v>8.7550000000000003E-2</v>
      </c>
      <c r="H28" s="54">
        <f t="shared" si="23"/>
        <v>8.5000000000000006E-2</v>
      </c>
      <c r="I28" s="62">
        <f t="shared" si="24"/>
        <v>1.4379166666666667E-2</v>
      </c>
      <c r="J28" s="63">
        <f t="shared" si="25"/>
        <v>1695215.4320010673</v>
      </c>
      <c r="K28" s="64">
        <f t="shared" si="26"/>
        <v>11</v>
      </c>
      <c r="L28">
        <f t="shared" si="27"/>
        <v>21</v>
      </c>
      <c r="M28">
        <f t="shared" si="28"/>
        <v>11</v>
      </c>
      <c r="N28">
        <f t="shared" si="29"/>
        <v>2027</v>
      </c>
    </row>
    <row r="29" spans="1:31" ht="14.4" x14ac:dyDescent="0.3">
      <c r="A29" s="10">
        <f t="shared" si="3"/>
        <v>26</v>
      </c>
      <c r="B29" s="58">
        <f t="shared" si="18"/>
        <v>17133976.499215357</v>
      </c>
      <c r="C29" s="58">
        <f t="shared" si="19"/>
        <v>246372.3037449675</v>
      </c>
      <c r="D29" s="60">
        <f t="shared" si="20"/>
        <v>1448843.1282560998</v>
      </c>
      <c r="E29" s="60">
        <f t="shared" si="21"/>
        <v>1695215.4320010673</v>
      </c>
      <c r="F29" s="58">
        <f t="shared" si="22"/>
        <v>15685133.370959258</v>
      </c>
      <c r="G29" s="61">
        <v>8.7550000000000003E-2</v>
      </c>
      <c r="H29" s="54">
        <f t="shared" si="23"/>
        <v>8.5000000000000006E-2</v>
      </c>
      <c r="I29" s="62">
        <f t="shared" si="24"/>
        <v>1.4379166666666667E-2</v>
      </c>
      <c r="J29" s="63">
        <f t="shared" si="25"/>
        <v>1695215.4320010676</v>
      </c>
      <c r="K29" s="64">
        <f t="shared" si="26"/>
        <v>10</v>
      </c>
      <c r="L29">
        <f t="shared" si="27"/>
        <v>21</v>
      </c>
      <c r="M29">
        <f t="shared" si="28"/>
        <v>12</v>
      </c>
      <c r="N29">
        <f t="shared" si="29"/>
        <v>2027</v>
      </c>
    </row>
    <row r="30" spans="1:31" ht="14.4" x14ac:dyDescent="0.3">
      <c r="A30" s="10">
        <f t="shared" si="3"/>
        <v>27</v>
      </c>
      <c r="B30" s="58">
        <f t="shared" si="18"/>
        <v>15685133.370959258</v>
      </c>
      <c r="C30" s="58">
        <f t="shared" si="19"/>
        <v>225539.14692991832</v>
      </c>
      <c r="D30" s="60">
        <f t="shared" si="20"/>
        <v>1469676.2850711492</v>
      </c>
      <c r="E30" s="60">
        <f t="shared" si="21"/>
        <v>1695215.4320010676</v>
      </c>
      <c r="F30" s="58">
        <f t="shared" si="22"/>
        <v>14215457.085888108</v>
      </c>
      <c r="G30" s="61">
        <v>8.7550000000000003E-2</v>
      </c>
      <c r="H30" s="54">
        <f t="shared" si="23"/>
        <v>8.5000000000000006E-2</v>
      </c>
      <c r="I30" s="62">
        <f t="shared" si="24"/>
        <v>1.4379166666666667E-2</v>
      </c>
      <c r="J30" s="63">
        <f t="shared" si="25"/>
        <v>1695215.4320010676</v>
      </c>
      <c r="K30" s="64">
        <f t="shared" si="26"/>
        <v>9</v>
      </c>
      <c r="L30">
        <f t="shared" si="27"/>
        <v>21</v>
      </c>
      <c r="M30">
        <f t="shared" si="28"/>
        <v>1</v>
      </c>
      <c r="N30">
        <f t="shared" si="29"/>
        <v>2028</v>
      </c>
    </row>
    <row r="31" spans="1:31" ht="14.4" x14ac:dyDescent="0.3">
      <c r="A31" s="10">
        <f t="shared" si="3"/>
        <v>28</v>
      </c>
      <c r="B31" s="58">
        <f t="shared" si="18"/>
        <v>14215457.085888108</v>
      </c>
      <c r="C31" s="58">
        <f t="shared" si="19"/>
        <v>204406.42668083275</v>
      </c>
      <c r="D31" s="60">
        <f t="shared" si="20"/>
        <v>1490809.0053202347</v>
      </c>
      <c r="E31" s="60">
        <f t="shared" si="21"/>
        <v>1695215.4320010676</v>
      </c>
      <c r="F31" s="58">
        <f t="shared" si="22"/>
        <v>12724648.080567874</v>
      </c>
      <c r="G31" s="61">
        <v>8.7550000000000003E-2</v>
      </c>
      <c r="H31" s="54">
        <f t="shared" si="23"/>
        <v>8.5000000000000006E-2</v>
      </c>
      <c r="I31" s="62">
        <f t="shared" si="24"/>
        <v>1.4379166666666667E-2</v>
      </c>
      <c r="J31" s="63">
        <f t="shared" si="25"/>
        <v>1695215.4320010676</v>
      </c>
      <c r="K31" s="64">
        <f t="shared" si="26"/>
        <v>8</v>
      </c>
      <c r="L31">
        <f t="shared" si="27"/>
        <v>21</v>
      </c>
      <c r="M31">
        <f t="shared" si="28"/>
        <v>2</v>
      </c>
      <c r="N31">
        <f t="shared" si="29"/>
        <v>2028</v>
      </c>
    </row>
    <row r="32" spans="1:31" ht="14.4" x14ac:dyDescent="0.3">
      <c r="A32" s="10">
        <f t="shared" si="3"/>
        <v>29</v>
      </c>
      <c r="B32" s="58">
        <f t="shared" si="18"/>
        <v>12724648.080567874</v>
      </c>
      <c r="C32" s="58">
        <f t="shared" si="19"/>
        <v>182969.83552516554</v>
      </c>
      <c r="D32" s="60">
        <f t="shared" si="20"/>
        <v>1512245.596475902</v>
      </c>
      <c r="E32" s="60">
        <f t="shared" si="21"/>
        <v>1695215.4320010676</v>
      </c>
      <c r="F32" s="58">
        <f t="shared" si="22"/>
        <v>11212402.484091971</v>
      </c>
      <c r="G32" s="61">
        <v>8.7550000000000003E-2</v>
      </c>
      <c r="H32" s="54">
        <f t="shared" si="23"/>
        <v>8.5000000000000006E-2</v>
      </c>
      <c r="I32" s="62">
        <f t="shared" si="24"/>
        <v>1.4379166666666667E-2</v>
      </c>
      <c r="J32" s="63">
        <f t="shared" si="25"/>
        <v>1695215.4320010673</v>
      </c>
      <c r="K32" s="64">
        <f t="shared" si="26"/>
        <v>7</v>
      </c>
      <c r="L32">
        <f t="shared" si="27"/>
        <v>21</v>
      </c>
      <c r="M32">
        <f t="shared" si="28"/>
        <v>3</v>
      </c>
      <c r="N32">
        <f t="shared" si="29"/>
        <v>2028</v>
      </c>
    </row>
    <row r="33" spans="1:14" ht="14.4" x14ac:dyDescent="0.3">
      <c r="A33" s="10">
        <f t="shared" si="3"/>
        <v>30</v>
      </c>
      <c r="B33" s="58">
        <f t="shared" si="18"/>
        <v>11212402.484091971</v>
      </c>
      <c r="C33" s="58">
        <f t="shared" si="19"/>
        <v>161225.0040525058</v>
      </c>
      <c r="D33" s="60">
        <f t="shared" si="20"/>
        <v>1533990.4279485615</v>
      </c>
      <c r="E33" s="60">
        <f t="shared" si="21"/>
        <v>1695215.4320010673</v>
      </c>
      <c r="F33" s="58">
        <f t="shared" si="22"/>
        <v>9678412.0561434105</v>
      </c>
      <c r="G33" s="61">
        <v>8.7550000000000003E-2</v>
      </c>
      <c r="H33" s="54">
        <f t="shared" si="23"/>
        <v>8.5000000000000006E-2</v>
      </c>
      <c r="I33" s="62">
        <f t="shared" si="24"/>
        <v>1.4379166666666667E-2</v>
      </c>
      <c r="J33" s="63">
        <f t="shared" si="25"/>
        <v>1695215.4320010676</v>
      </c>
      <c r="K33" s="64">
        <f t="shared" si="26"/>
        <v>6</v>
      </c>
      <c r="L33">
        <f t="shared" si="27"/>
        <v>21</v>
      </c>
      <c r="M33">
        <f t="shared" si="28"/>
        <v>4</v>
      </c>
      <c r="N33">
        <f t="shared" si="29"/>
        <v>2028</v>
      </c>
    </row>
    <row r="34" spans="1:14" ht="14.4" x14ac:dyDescent="0.3">
      <c r="A34" s="10">
        <f t="shared" si="3"/>
        <v>31</v>
      </c>
      <c r="B34" s="58">
        <f t="shared" ref="B34:B39" si="30">IF(A34=" "," ",+F33)</f>
        <v>9678412.0561434105</v>
      </c>
      <c r="C34" s="58">
        <f t="shared" ref="C34:C39" si="31">IF(A34=" "," ",+B34*I33)</f>
        <v>139167.50002396211</v>
      </c>
      <c r="D34" s="60">
        <f t="shared" ref="D34:D39" si="32">+E34-C34</f>
        <v>1556047.9319771053</v>
      </c>
      <c r="E34" s="60">
        <f t="shared" ref="E34:E39" si="33">IF(A34=" "," ",+J33)</f>
        <v>1695215.4320010676</v>
      </c>
      <c r="F34" s="58">
        <f t="shared" ref="F34:F39" si="34">+B34-D34</f>
        <v>8122364.1241663052</v>
      </c>
      <c r="G34" s="61">
        <v>8.7550000000000003E-2</v>
      </c>
      <c r="H34" s="54">
        <f t="shared" ref="H34:H39" si="35">IF(A34=" "," ",+H33)</f>
        <v>8.5000000000000006E-2</v>
      </c>
      <c r="I34" s="62">
        <f t="shared" ref="I34:I39" si="36">IF(A34=" "," ",((G34+H34)/12))</f>
        <v>1.4379166666666667E-2</v>
      </c>
      <c r="J34" s="63">
        <f t="shared" ref="J34:J39" si="37">PMT(I34,K34,-F34,0)</f>
        <v>1695215.4320010676</v>
      </c>
      <c r="K34" s="64">
        <f t="shared" ref="K34:K39" si="38">IF(A31=" "," ",+$B$2-A34)</f>
        <v>5</v>
      </c>
      <c r="L34">
        <f t="shared" ref="L34:L39" si="39">IF(A34&lt;&gt;" ",+L33," ")</f>
        <v>21</v>
      </c>
      <c r="M34">
        <f t="shared" ref="M34:M39" si="40">IF(AND(A34&lt;&gt;" ")*(M33=12),1,1+M33)</f>
        <v>5</v>
      </c>
      <c r="N34">
        <f t="shared" ref="N34:N39" si="41">IF(AND(A34&lt;&gt;" ")*(M34=1),1+N33,N33)</f>
        <v>2028</v>
      </c>
    </row>
    <row r="35" spans="1:14" ht="14.4" x14ac:dyDescent="0.3">
      <c r="A35" s="10">
        <f t="shared" si="3"/>
        <v>32</v>
      </c>
      <c r="B35" s="58">
        <f t="shared" si="30"/>
        <v>8122364.1241663052</v>
      </c>
      <c r="C35" s="58">
        <f t="shared" si="31"/>
        <v>116792.82746874134</v>
      </c>
      <c r="D35" s="60">
        <f t="shared" si="32"/>
        <v>1578422.6045323261</v>
      </c>
      <c r="E35" s="60">
        <f t="shared" si="33"/>
        <v>1695215.4320010676</v>
      </c>
      <c r="F35" s="58">
        <f t="shared" si="34"/>
        <v>6543941.5196339786</v>
      </c>
      <c r="G35" s="61">
        <v>8.7550000000000003E-2</v>
      </c>
      <c r="H35" s="54">
        <f t="shared" si="35"/>
        <v>8.5000000000000006E-2</v>
      </c>
      <c r="I35" s="62">
        <f t="shared" si="36"/>
        <v>1.4379166666666667E-2</v>
      </c>
      <c r="J35" s="63">
        <f t="shared" si="37"/>
        <v>1695215.4320010676</v>
      </c>
      <c r="K35" s="64">
        <f t="shared" si="38"/>
        <v>4</v>
      </c>
      <c r="L35">
        <f t="shared" si="39"/>
        <v>21</v>
      </c>
      <c r="M35">
        <f t="shared" si="40"/>
        <v>6</v>
      </c>
      <c r="N35">
        <f t="shared" si="41"/>
        <v>2028</v>
      </c>
    </row>
    <row r="36" spans="1:14" ht="14.4" x14ac:dyDescent="0.3">
      <c r="A36" s="10">
        <f t="shared" si="3"/>
        <v>33</v>
      </c>
      <c r="B36" s="58">
        <f t="shared" si="30"/>
        <v>6543941.5196339786</v>
      </c>
      <c r="C36" s="58">
        <f t="shared" si="31"/>
        <v>94096.425767736917</v>
      </c>
      <c r="D36" s="60">
        <f t="shared" si="32"/>
        <v>1601119.0062333306</v>
      </c>
      <c r="E36" s="60">
        <f t="shared" si="33"/>
        <v>1695215.4320010676</v>
      </c>
      <c r="F36" s="58">
        <f t="shared" si="34"/>
        <v>4942822.5134006478</v>
      </c>
      <c r="G36" s="61">
        <v>8.7550000000000003E-2</v>
      </c>
      <c r="H36" s="54">
        <f t="shared" si="35"/>
        <v>8.5000000000000006E-2</v>
      </c>
      <c r="I36" s="62">
        <f t="shared" si="36"/>
        <v>1.4379166666666667E-2</v>
      </c>
      <c r="J36" s="63">
        <f t="shared" si="37"/>
        <v>1695215.4320010676</v>
      </c>
      <c r="K36" s="64">
        <f t="shared" si="38"/>
        <v>3</v>
      </c>
      <c r="L36">
        <f t="shared" si="39"/>
        <v>21</v>
      </c>
      <c r="M36">
        <f t="shared" si="40"/>
        <v>7</v>
      </c>
      <c r="N36">
        <f t="shared" si="41"/>
        <v>2028</v>
      </c>
    </row>
    <row r="37" spans="1:14" ht="14.4" x14ac:dyDescent="0.3">
      <c r="A37" s="10">
        <f t="shared" si="3"/>
        <v>34</v>
      </c>
      <c r="B37" s="58">
        <f t="shared" si="30"/>
        <v>4942822.5134006478</v>
      </c>
      <c r="C37" s="58">
        <f t="shared" si="31"/>
        <v>71073.668723940151</v>
      </c>
      <c r="D37" s="60">
        <f t="shared" si="32"/>
        <v>1624141.7632771274</v>
      </c>
      <c r="E37" s="60">
        <f t="shared" si="33"/>
        <v>1695215.4320010676</v>
      </c>
      <c r="F37" s="58">
        <f t="shared" si="34"/>
        <v>3318680.7501235204</v>
      </c>
      <c r="G37" s="61">
        <v>8.7550000000000003E-2</v>
      </c>
      <c r="H37" s="54">
        <f t="shared" si="35"/>
        <v>8.5000000000000006E-2</v>
      </c>
      <c r="I37" s="62">
        <f t="shared" si="36"/>
        <v>1.4379166666666667E-2</v>
      </c>
      <c r="J37" s="63">
        <f t="shared" si="37"/>
        <v>1695215.4320010676</v>
      </c>
      <c r="K37" s="64">
        <f t="shared" si="38"/>
        <v>2</v>
      </c>
      <c r="L37">
        <f t="shared" si="39"/>
        <v>21</v>
      </c>
      <c r="M37">
        <f t="shared" si="40"/>
        <v>8</v>
      </c>
      <c r="N37">
        <f t="shared" si="41"/>
        <v>2028</v>
      </c>
    </row>
    <row r="38" spans="1:14" ht="14.4" x14ac:dyDescent="0.3">
      <c r="A38" s="10">
        <f t="shared" si="3"/>
        <v>35</v>
      </c>
      <c r="B38" s="58">
        <f t="shared" si="30"/>
        <v>3318680.7501235204</v>
      </c>
      <c r="C38" s="58">
        <f t="shared" si="31"/>
        <v>47719.863619484451</v>
      </c>
      <c r="D38" s="60">
        <f t="shared" si="32"/>
        <v>1647495.5683815831</v>
      </c>
      <c r="E38" s="60">
        <f t="shared" si="33"/>
        <v>1695215.4320010676</v>
      </c>
      <c r="F38" s="58">
        <f t="shared" si="34"/>
        <v>1671185.1817419373</v>
      </c>
      <c r="G38" s="61">
        <v>8.7550000000000003E-2</v>
      </c>
      <c r="H38" s="54">
        <f t="shared" si="35"/>
        <v>8.5000000000000006E-2</v>
      </c>
      <c r="I38" s="62">
        <f t="shared" si="36"/>
        <v>1.4379166666666667E-2</v>
      </c>
      <c r="J38" s="63">
        <f t="shared" si="37"/>
        <v>1695215.432001068</v>
      </c>
      <c r="K38" s="64">
        <f t="shared" si="38"/>
        <v>1</v>
      </c>
      <c r="L38">
        <f t="shared" si="39"/>
        <v>21</v>
      </c>
      <c r="M38">
        <f t="shared" si="40"/>
        <v>9</v>
      </c>
      <c r="N38">
        <f t="shared" si="41"/>
        <v>2028</v>
      </c>
    </row>
    <row r="39" spans="1:14" ht="14.4" x14ac:dyDescent="0.3">
      <c r="A39" s="10">
        <f t="shared" si="3"/>
        <v>36</v>
      </c>
      <c r="B39" s="58">
        <f t="shared" si="30"/>
        <v>1671185.1817419373</v>
      </c>
      <c r="C39" s="58">
        <f t="shared" si="31"/>
        <v>24030.250259130939</v>
      </c>
      <c r="D39" s="60">
        <f t="shared" si="32"/>
        <v>1671185.1817419371</v>
      </c>
      <c r="E39" s="60">
        <f t="shared" si="33"/>
        <v>1695215.432001068</v>
      </c>
      <c r="F39" s="58">
        <f t="shared" si="34"/>
        <v>0</v>
      </c>
      <c r="G39" s="61">
        <v>8.7550000000000003E-2</v>
      </c>
      <c r="H39" s="54">
        <f t="shared" si="35"/>
        <v>8.5000000000000006E-2</v>
      </c>
      <c r="I39" s="62">
        <f t="shared" si="36"/>
        <v>1.4379166666666667E-2</v>
      </c>
      <c r="J39" s="63" t="e">
        <f t="shared" si="37"/>
        <v>#NUM!</v>
      </c>
      <c r="K39" s="64">
        <f t="shared" si="38"/>
        <v>0</v>
      </c>
      <c r="L39">
        <f t="shared" si="39"/>
        <v>21</v>
      </c>
      <c r="M39">
        <f t="shared" si="40"/>
        <v>10</v>
      </c>
      <c r="N39">
        <f t="shared" si="41"/>
        <v>2028</v>
      </c>
    </row>
  </sheetData>
  <mergeCells count="2">
    <mergeCell ref="Q2:V2"/>
    <mergeCell ref="W7:W8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D6"/>
  <sheetViews>
    <sheetView showGridLines="0" workbookViewId="0">
      <selection activeCell="B20" sqref="B20"/>
    </sheetView>
  </sheetViews>
  <sheetFormatPr baseColWidth="10" defaultColWidth="11.44140625" defaultRowHeight="14.4" x14ac:dyDescent="0.3"/>
  <cols>
    <col min="2" max="2" width="14.5546875" bestFit="1" customWidth="1"/>
    <col min="3" max="3" width="16.33203125" bestFit="1" customWidth="1"/>
    <col min="4" max="4" width="14.5546875" bestFit="1" customWidth="1"/>
  </cols>
  <sheetData>
    <row r="1" spans="1:4" ht="15" thickBot="1" x14ac:dyDescent="0.35"/>
    <row r="2" spans="1:4" ht="15" thickBot="1" x14ac:dyDescent="0.35">
      <c r="A2" s="93" t="s">
        <v>23</v>
      </c>
      <c r="B2" s="94"/>
      <c r="C2" s="94"/>
      <c r="D2" s="95"/>
    </row>
    <row r="3" spans="1:4" ht="27.6" x14ac:dyDescent="0.3">
      <c r="A3" s="24" t="s">
        <v>36</v>
      </c>
      <c r="B3" s="17" t="s">
        <v>37</v>
      </c>
      <c r="C3" s="18" t="s">
        <v>38</v>
      </c>
      <c r="D3" s="25" t="s">
        <v>41</v>
      </c>
    </row>
    <row r="4" spans="1:4" x14ac:dyDescent="0.3">
      <c r="A4" s="26"/>
      <c r="B4" s="23"/>
      <c r="C4" s="23"/>
      <c r="D4" s="27"/>
    </row>
    <row r="5" spans="1:4" x14ac:dyDescent="0.3">
      <c r="A5" s="26"/>
      <c r="B5" s="23"/>
      <c r="C5" s="23"/>
      <c r="D5" s="28"/>
    </row>
    <row r="6" spans="1:4" ht="15" thickBot="1" x14ac:dyDescent="0.35">
      <c r="A6" s="29"/>
      <c r="B6" s="30"/>
      <c r="C6" s="31"/>
      <c r="D6" s="32"/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A2:J18"/>
  <sheetViews>
    <sheetView workbookViewId="0">
      <selection activeCell="B20" sqref="B20"/>
    </sheetView>
  </sheetViews>
  <sheetFormatPr baseColWidth="10" defaultColWidth="11.44140625" defaultRowHeight="14.4" x14ac:dyDescent="0.3"/>
  <cols>
    <col min="1" max="4" width="13.5546875" bestFit="1" customWidth="1"/>
    <col min="6" max="6" width="13.5546875" customWidth="1"/>
    <col min="8" max="11" width="13.5546875" bestFit="1" customWidth="1"/>
  </cols>
  <sheetData>
    <row r="2" spans="1:10" x14ac:dyDescent="0.3">
      <c r="A2" s="96" t="s">
        <v>42</v>
      </c>
      <c r="B2" s="96"/>
      <c r="C2" s="96"/>
      <c r="D2" s="96"/>
      <c r="G2" s="97" t="s">
        <v>43</v>
      </c>
      <c r="H2" s="97"/>
      <c r="I2" s="97"/>
      <c r="J2" s="97"/>
    </row>
    <row r="4" spans="1:10" ht="27.6" x14ac:dyDescent="0.3">
      <c r="A4" s="42" t="s">
        <v>36</v>
      </c>
      <c r="B4" s="43" t="s">
        <v>37</v>
      </c>
      <c r="C4" s="44" t="s">
        <v>38</v>
      </c>
      <c r="D4" s="51" t="s">
        <v>41</v>
      </c>
      <c r="F4" s="45" t="s">
        <v>44</v>
      </c>
      <c r="G4" s="45" t="s">
        <v>36</v>
      </c>
      <c r="H4" s="46" t="s">
        <v>37</v>
      </c>
      <c r="I4" s="47" t="s">
        <v>38</v>
      </c>
      <c r="J4" s="47" t="s">
        <v>45</v>
      </c>
    </row>
    <row r="5" spans="1:10" x14ac:dyDescent="0.3">
      <c r="A5" s="49">
        <v>45092</v>
      </c>
      <c r="B5" s="50">
        <v>11579428</v>
      </c>
      <c r="C5" s="50">
        <v>5047163</v>
      </c>
      <c r="D5" s="50">
        <f>+C5+B5</f>
        <v>16626591</v>
      </c>
      <c r="F5" s="48">
        <v>1</v>
      </c>
      <c r="G5" s="37">
        <v>45092</v>
      </c>
      <c r="H5" s="19">
        <v>11579428</v>
      </c>
      <c r="I5" s="19">
        <v>5047163</v>
      </c>
      <c r="J5" s="39">
        <f>+H5+I5</f>
        <v>16626591</v>
      </c>
    </row>
    <row r="6" spans="1:10" x14ac:dyDescent="0.3">
      <c r="A6" s="37">
        <v>45121</v>
      </c>
      <c r="B6" s="50">
        <v>11095536</v>
      </c>
      <c r="C6" s="52">
        <v>5531054</v>
      </c>
      <c r="D6" s="50">
        <f>+C6+B6</f>
        <v>16626590</v>
      </c>
      <c r="F6" s="36">
        <v>2</v>
      </c>
      <c r="G6" s="37">
        <v>45122</v>
      </c>
      <c r="H6" s="23">
        <v>11478140</v>
      </c>
      <c r="I6" s="23">
        <v>5148450</v>
      </c>
      <c r="J6" s="39">
        <f>SUM(H6:I6)</f>
        <v>16626590</v>
      </c>
    </row>
    <row r="7" spans="1:10" x14ac:dyDescent="0.3">
      <c r="A7" s="37">
        <v>45153</v>
      </c>
      <c r="B7" s="50"/>
      <c r="C7" s="50"/>
      <c r="D7" s="50">
        <f>+C7+B7</f>
        <v>0</v>
      </c>
      <c r="F7" s="36">
        <v>3</v>
      </c>
      <c r="G7" s="37">
        <v>45153</v>
      </c>
      <c r="H7" s="23">
        <v>11368085</v>
      </c>
      <c r="I7" s="23">
        <v>5247935</v>
      </c>
      <c r="J7" s="39">
        <f>SUM(H7:I7)</f>
        <v>16616020</v>
      </c>
    </row>
    <row r="8" spans="1:10" x14ac:dyDescent="0.3">
      <c r="A8" s="38"/>
      <c r="B8" s="40"/>
      <c r="C8" s="39"/>
      <c r="D8" s="39"/>
    </row>
    <row r="11" spans="1:10" x14ac:dyDescent="0.3">
      <c r="A11" s="98" t="s">
        <v>46</v>
      </c>
      <c r="B11" s="98"/>
      <c r="C11" s="98"/>
      <c r="D11" s="98"/>
    </row>
    <row r="13" spans="1:10" x14ac:dyDescent="0.3">
      <c r="A13" s="41">
        <v>45047</v>
      </c>
      <c r="B13" s="41">
        <v>45078</v>
      </c>
      <c r="C13" s="41">
        <v>45108</v>
      </c>
    </row>
    <row r="14" spans="1:10" x14ac:dyDescent="0.3">
      <c r="A14" s="22">
        <v>5789714.166666666</v>
      </c>
      <c r="B14" s="22">
        <v>5789714</v>
      </c>
      <c r="C14" s="22">
        <v>5356465.8998543695</v>
      </c>
    </row>
    <row r="15" spans="1:10" x14ac:dyDescent="0.3">
      <c r="A15" s="34"/>
      <c r="B15" s="35">
        <v>5739070.1001456305</v>
      </c>
      <c r="C15" s="35">
        <v>5684042.6006204812</v>
      </c>
    </row>
    <row r="16" spans="1:10" x14ac:dyDescent="0.3">
      <c r="A16" s="22">
        <f>SUM(A14:A15)</f>
        <v>5789714.166666666</v>
      </c>
      <c r="B16" s="22">
        <f>SUM(B14:B15)</f>
        <v>11528784.100145631</v>
      </c>
      <c r="C16" s="22">
        <f>SUM(C14:C15)</f>
        <v>11040508.500474852</v>
      </c>
    </row>
    <row r="18" spans="1:2" x14ac:dyDescent="0.3">
      <c r="A18" s="22">
        <f>+A16+B14</f>
        <v>11579428.166666666</v>
      </c>
      <c r="B18" s="22">
        <f>+B15+C14</f>
        <v>11095536</v>
      </c>
    </row>
  </sheetData>
  <mergeCells count="3">
    <mergeCell ref="A2:D2"/>
    <mergeCell ref="G2:J2"/>
    <mergeCell ref="A11:D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3C20A4-68E3-43DA-B2BF-CE25E11694B2}">
  <ds:schemaRefs>
    <ds:schemaRef ds:uri="http://schemas.microsoft.com/office/2006/metadata/properties"/>
    <ds:schemaRef ds:uri="http://schemas.microsoft.com/office/infopath/2007/PartnerControls"/>
    <ds:schemaRef ds:uri="bbb3be2b-1d28-4a79-823f-3d35cca8c796"/>
    <ds:schemaRef ds:uri="348462d5-9b69-49df-b051-096e4d35777a"/>
  </ds:schemaRefs>
</ds:datastoreItem>
</file>

<file path=customXml/itemProps2.xml><?xml version="1.0" encoding="utf-8"?>
<ds:datastoreItem xmlns:ds="http://schemas.openxmlformats.org/officeDocument/2006/customXml" ds:itemID="{8A282666-9483-4C63-885A-58076FF6D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b3be2b-1d28-4a79-823f-3d35cca8c796"/>
    <ds:schemaRef ds:uri="348462d5-9b69-49df-b051-096e4d3577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2A8CE7-A36B-4136-AD2F-3297D6504CD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9f6ea8-e3b5-4fc6-94e9-be98a5e9b02e}" enabled="0" method="" siteId="{f49f6ea8-e3b5-4fc6-94e9-be98a5e9b0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TasaImplicita</vt:lpstr>
      <vt:lpstr>ICOEQUIPOS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>JONATHAN MICHAEL TIPAN CACHUMBA</cp:lastModifiedBy>
  <cp:revision/>
  <dcterms:created xsi:type="dcterms:W3CDTF">2022-09-29T19:09:30Z</dcterms:created>
  <dcterms:modified xsi:type="dcterms:W3CDTF">2026-08-20T15:24:46Z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