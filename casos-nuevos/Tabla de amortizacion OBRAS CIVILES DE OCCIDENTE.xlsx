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OBRAS CIVILES DE OCCIDENTE/CREDITO 2 # 99 VIGENTE/"/>
    </mc:Choice>
  </mc:AlternateContent>
  <xr:revisionPtr revIDLastSave="2001" documentId="13_ncr:1_{3399C118-4EE5-477B-B6C1-03AB99ED72B1}" xr6:coauthVersionLast="47" xr6:coauthVersionMax="47" xr10:uidLastSave="{AEC405D8-F720-478B-A8CB-E75ACA4086DE}"/>
  <bookViews>
    <workbookView xWindow="-110" yWindow="-110" windowWidth="19420" windowHeight="10300" firstSheet="1" activeTab="1" xr2:uid="{0920E443-DC1E-47E3-8B6F-959661E6D6A8}"/>
  </bookViews>
  <sheets>
    <sheet name="TasaImplicita" sheetId="1" state="hidden" r:id="rId1"/>
    <sheet name="OBRAS CIVILES DE OCCIDENTE S.A." sheetId="2" r:id="rId2"/>
    <sheet name="Hoja1" sheetId="3" r:id="rId3"/>
    <sheet name="Hoja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V26" i="2"/>
  <c r="T26" i="2"/>
  <c r="O27" i="2"/>
  <c r="O26" i="2"/>
  <c r="AD17" i="2"/>
  <c r="P27" i="2"/>
  <c r="AD18" i="2" s="1"/>
  <c r="AD19" i="2" s="1"/>
  <c r="P26" i="2"/>
  <c r="AC18" i="2" s="1"/>
  <c r="D24" i="2"/>
  <c r="V25" i="2"/>
  <c r="AA17" i="2"/>
  <c r="D22" i="2"/>
  <c r="V24" i="2"/>
  <c r="T24" i="2"/>
  <c r="T25" i="2" s="1"/>
  <c r="C22" i="2"/>
  <c r="V23" i="2"/>
  <c r="T23" i="2"/>
  <c r="D21" i="2"/>
  <c r="Z17" i="2"/>
  <c r="Z18" i="2"/>
  <c r="Z19" i="2"/>
  <c r="P23" i="2"/>
  <c r="O23" i="2"/>
  <c r="V10" i="2"/>
  <c r="V9" i="2"/>
  <c r="V8" i="2"/>
  <c r="V7" i="2"/>
  <c r="V6" i="2"/>
  <c r="V5" i="2"/>
  <c r="V4" i="2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5" i="2"/>
  <c r="T4" i="2"/>
  <c r="V22" i="2"/>
  <c r="Y17" i="2"/>
  <c r="O22" i="2"/>
  <c r="P22" i="2"/>
  <c r="Y18" i="2"/>
  <c r="Y19" i="2" s="1"/>
  <c r="X18" i="2"/>
  <c r="X17" i="2"/>
  <c r="X19" i="2"/>
  <c r="P21" i="2"/>
  <c r="P20" i="2"/>
  <c r="O21" i="2"/>
  <c r="D20" i="2"/>
  <c r="V21" i="2"/>
  <c r="AN8" i="2"/>
  <c r="AN9" i="2"/>
  <c r="AN10" i="2" s="1"/>
  <c r="O20" i="2"/>
  <c r="V20" i="2"/>
  <c r="V19" i="2"/>
  <c r="D14" i="2"/>
  <c r="D19" i="2"/>
  <c r="D18" i="2"/>
  <c r="D17" i="2"/>
  <c r="V18" i="2"/>
  <c r="D16" i="2"/>
  <c r="D15" i="2"/>
  <c r="AG13" i="2"/>
  <c r="AH13" i="2"/>
  <c r="V17" i="2"/>
  <c r="V16" i="2"/>
  <c r="V15" i="2"/>
  <c r="V14" i="2" l="1"/>
  <c r="AI8" i="2"/>
  <c r="AH8" i="2"/>
  <c r="V13" i="2"/>
  <c r="AG8" i="2"/>
  <c r="D10" i="2"/>
  <c r="E9" i="5" l="1"/>
  <c r="E8" i="5"/>
  <c r="D8" i="5"/>
  <c r="C8" i="5"/>
  <c r="D9" i="2"/>
  <c r="C6" i="5"/>
  <c r="C7" i="5" s="1"/>
  <c r="D7" i="5"/>
  <c r="B7" i="5"/>
  <c r="E6" i="5"/>
  <c r="E5" i="5"/>
  <c r="O11" i="2"/>
  <c r="E7" i="5" l="1"/>
  <c r="P11" i="2" l="1"/>
  <c r="O10" i="2"/>
  <c r="AE6" i="2"/>
  <c r="AE5" i="2"/>
  <c r="AE9" i="2"/>
  <c r="AD6" i="2"/>
  <c r="P10" i="2"/>
  <c r="AD9" i="2" s="1"/>
  <c r="H22" i="3"/>
  <c r="H23" i="3"/>
  <c r="H24" i="3"/>
  <c r="H25" i="3"/>
  <c r="H21" i="3"/>
  <c r="H20" i="3"/>
  <c r="G25" i="3"/>
  <c r="G24" i="3"/>
  <c r="G23" i="3"/>
  <c r="G22" i="3"/>
  <c r="G21" i="3"/>
  <c r="G20" i="3"/>
  <c r="D8" i="2"/>
  <c r="O8" i="2"/>
  <c r="D7" i="2"/>
  <c r="O7" i="2"/>
  <c r="P7" i="2"/>
  <c r="AA9" i="2" s="1"/>
  <c r="O6" i="2"/>
  <c r="P6" i="2"/>
  <c r="D6" i="2"/>
  <c r="O5" i="2"/>
  <c r="Z9" i="2"/>
  <c r="P5" i="2"/>
  <c r="Y9" i="2"/>
  <c r="D5" i="2"/>
  <c r="B4" i="2"/>
  <c r="D4" i="2"/>
  <c r="AF8" i="2" l="1"/>
  <c r="AE13" i="2"/>
  <c r="AE8" i="2"/>
  <c r="P8" i="2"/>
  <c r="AB9" i="2" s="1"/>
  <c r="AC5" i="2"/>
  <c r="Z8" i="2"/>
  <c r="Y13" i="2" s="1"/>
  <c r="AA8" i="2"/>
  <c r="AB8" i="2"/>
  <c r="A4" i="2"/>
  <c r="AE10" i="2" l="1"/>
  <c r="AD13" i="2"/>
  <c r="AC8" i="2"/>
  <c r="AB13" i="2"/>
  <c r="AB10" i="2"/>
  <c r="AA13" i="2"/>
  <c r="AA10" i="2"/>
  <c r="Z13" i="2"/>
  <c r="H4" i="2"/>
  <c r="C12" i="1" l="1"/>
  <c r="G5" i="1"/>
  <c r="G2" i="1"/>
  <c r="G1" i="1"/>
  <c r="B9" i="1"/>
  <c r="B7" i="1"/>
  <c r="F1" i="2" l="1"/>
  <c r="C4" i="2" s="1"/>
  <c r="I4" i="2"/>
  <c r="A5" i="2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P4" i="2" l="1"/>
  <c r="O4" i="2"/>
  <c r="X8" i="2"/>
  <c r="K4" i="2"/>
  <c r="F2" i="2"/>
  <c r="E4" i="2" s="1"/>
  <c r="F4" i="2" s="1"/>
  <c r="L5" i="2"/>
  <c r="M5" i="2"/>
  <c r="N5" i="2" s="1"/>
  <c r="A6" i="2"/>
  <c r="K5" i="2"/>
  <c r="H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Y8" i="2" l="1"/>
  <c r="X13" i="2" s="1"/>
  <c r="X10" i="2"/>
  <c r="J4" i="2"/>
  <c r="E5" i="2" s="1"/>
  <c r="H6" i="2"/>
  <c r="I6" i="2" s="1"/>
  <c r="A7" i="2"/>
  <c r="K7" i="2" s="1"/>
  <c r="M6" i="2"/>
  <c r="N6" i="2" s="1"/>
  <c r="L6" i="2"/>
  <c r="I5" i="2"/>
  <c r="K6" i="2"/>
  <c r="B10" i="1"/>
  <c r="B5" i="2" l="1"/>
  <c r="M7" i="2"/>
  <c r="H7" i="2"/>
  <c r="I7" i="2" s="1"/>
  <c r="L7" i="2"/>
  <c r="A8" i="2"/>
  <c r="C5" i="2" l="1"/>
  <c r="N7" i="2"/>
  <c r="M8" i="2"/>
  <c r="A9" i="2"/>
  <c r="A10" i="2" s="1"/>
  <c r="K10" i="2" s="1"/>
  <c r="H8" i="2"/>
  <c r="I8" i="2" s="1"/>
  <c r="L8" i="2"/>
  <c r="K8" i="2"/>
  <c r="Y10" i="2" l="1"/>
  <c r="F5" i="2"/>
  <c r="J5" i="2" s="1"/>
  <c r="E6" i="2" s="1"/>
  <c r="L9" i="2"/>
  <c r="L10" i="2" s="1"/>
  <c r="N8" i="2"/>
  <c r="A11" i="2"/>
  <c r="K9" i="2"/>
  <c r="M9" i="2"/>
  <c r="M10" i="2" s="1"/>
  <c r="H9" i="2"/>
  <c r="L11" i="2" l="1"/>
  <c r="B6" i="2"/>
  <c r="C6" i="2" s="1"/>
  <c r="K11" i="2"/>
  <c r="M11" i="2"/>
  <c r="A12" i="2"/>
  <c r="A13" i="2" s="1"/>
  <c r="N9" i="2"/>
  <c r="N10" i="2" s="1"/>
  <c r="I9" i="2"/>
  <c r="H10" i="2"/>
  <c r="Z10" i="2" l="1"/>
  <c r="L12" i="2"/>
  <c r="L13" i="2" s="1"/>
  <c r="M12" i="2"/>
  <c r="M13" i="2" s="1"/>
  <c r="K12" i="2"/>
  <c r="N11" i="2"/>
  <c r="I10" i="2"/>
  <c r="H11" i="2"/>
  <c r="A14" i="2"/>
  <c r="K13" i="2"/>
  <c r="N12" i="2" l="1"/>
  <c r="N13" i="2" s="1"/>
  <c r="M14" i="2"/>
  <c r="I11" i="2"/>
  <c r="H12" i="2"/>
  <c r="L14" i="2"/>
  <c r="A15" i="2"/>
  <c r="K14" i="2"/>
  <c r="N14" i="2" l="1"/>
  <c r="M15" i="2"/>
  <c r="I12" i="2"/>
  <c r="H13" i="2"/>
  <c r="L15" i="2"/>
  <c r="A16" i="2"/>
  <c r="K15" i="2"/>
  <c r="N15" i="2" l="1"/>
  <c r="M16" i="2"/>
  <c r="I13" i="2"/>
  <c r="H14" i="2"/>
  <c r="L16" i="2"/>
  <c r="A17" i="2"/>
  <c r="K16" i="2"/>
  <c r="N16" i="2" l="1"/>
  <c r="M17" i="2"/>
  <c r="I14" i="2"/>
  <c r="H15" i="2"/>
  <c r="L17" i="2"/>
  <c r="A18" i="2"/>
  <c r="K17" i="2"/>
  <c r="N17" i="2" l="1"/>
  <c r="M18" i="2"/>
  <c r="I15" i="2"/>
  <c r="H16" i="2"/>
  <c r="L18" i="2"/>
  <c r="A19" i="2"/>
  <c r="K18" i="2"/>
  <c r="N18" i="2" l="1"/>
  <c r="M19" i="2"/>
  <c r="I16" i="2"/>
  <c r="H17" i="2"/>
  <c r="L19" i="2"/>
  <c r="K19" i="2"/>
  <c r="A20" i="2"/>
  <c r="N19" i="2" l="1"/>
  <c r="M20" i="2"/>
  <c r="N20" i="2" s="1"/>
  <c r="I17" i="2"/>
  <c r="H18" i="2"/>
  <c r="L20" i="2"/>
  <c r="K20" i="2"/>
  <c r="A21" i="2"/>
  <c r="M21" i="2" l="1"/>
  <c r="N21" i="2" s="1"/>
  <c r="I18" i="2"/>
  <c r="H19" i="2"/>
  <c r="L21" i="2"/>
  <c r="K21" i="2"/>
  <c r="A22" i="2"/>
  <c r="M22" i="2" l="1"/>
  <c r="I19" i="2"/>
  <c r="H20" i="2"/>
  <c r="N22" i="2"/>
  <c r="L22" i="2"/>
  <c r="K22" i="2"/>
  <c r="A23" i="2"/>
  <c r="M23" i="2" s="1"/>
  <c r="I20" i="2" l="1"/>
  <c r="H21" i="2"/>
  <c r="L23" i="2"/>
  <c r="N23" i="2"/>
  <c r="K23" i="2"/>
  <c r="A24" i="2"/>
  <c r="M24" i="2" s="1"/>
  <c r="I21" i="2" l="1"/>
  <c r="H22" i="2"/>
  <c r="N24" i="2"/>
  <c r="L24" i="2"/>
  <c r="K24" i="2"/>
  <c r="A25" i="2"/>
  <c r="M25" i="2" l="1"/>
  <c r="I22" i="2"/>
  <c r="H23" i="2"/>
  <c r="L25" i="2"/>
  <c r="N25" i="2"/>
  <c r="K25" i="2"/>
  <c r="A26" i="2"/>
  <c r="M26" i="2" l="1"/>
  <c r="I23" i="2"/>
  <c r="H24" i="2"/>
  <c r="N26" i="2"/>
  <c r="L26" i="2"/>
  <c r="K26" i="2"/>
  <c r="A27" i="2"/>
  <c r="M27" i="2" l="1"/>
  <c r="I24" i="2"/>
  <c r="H25" i="2"/>
  <c r="N27" i="2"/>
  <c r="L27" i="2"/>
  <c r="K27" i="2"/>
  <c r="A28" i="2"/>
  <c r="M28" i="2" l="1"/>
  <c r="N28" i="2" s="1"/>
  <c r="K28" i="2"/>
  <c r="L28" i="2"/>
  <c r="I25" i="2"/>
  <c r="H26" i="2"/>
  <c r="A29" i="2"/>
  <c r="M29" i="2" l="1"/>
  <c r="N29" i="2" s="1"/>
  <c r="K29" i="2"/>
  <c r="L29" i="2"/>
  <c r="I26" i="2"/>
  <c r="H27" i="2"/>
  <c r="H28" i="2" s="1"/>
  <c r="A30" i="2"/>
  <c r="K30" i="2" l="1"/>
  <c r="L30" i="2"/>
  <c r="M30" i="2"/>
  <c r="N30" i="2" s="1"/>
  <c r="I28" i="2"/>
  <c r="H29" i="2"/>
  <c r="I27" i="2"/>
  <c r="A31" i="2"/>
  <c r="M31" i="2" l="1"/>
  <c r="N31" i="2" s="1"/>
  <c r="K31" i="2"/>
  <c r="L31" i="2"/>
  <c r="H30" i="2"/>
  <c r="I29" i="2"/>
  <c r="A32" i="2"/>
  <c r="M32" i="2" l="1"/>
  <c r="N32" i="2" s="1"/>
  <c r="K32" i="2"/>
  <c r="L32" i="2"/>
  <c r="I30" i="2"/>
  <c r="H31" i="2"/>
  <c r="A33" i="2"/>
  <c r="M33" i="2" l="1"/>
  <c r="N33" i="2" s="1"/>
  <c r="K33" i="2"/>
  <c r="L33" i="2"/>
  <c r="H32" i="2"/>
  <c r="I31" i="2"/>
  <c r="A34" i="2"/>
  <c r="M34" i="2" l="1"/>
  <c r="N34" i="2" s="1"/>
  <c r="K34" i="2"/>
  <c r="L34" i="2"/>
  <c r="H33" i="2"/>
  <c r="I32" i="2"/>
  <c r="A35" i="2"/>
  <c r="M35" i="2" l="1"/>
  <c r="N35" i="2" s="1"/>
  <c r="K35" i="2"/>
  <c r="L35" i="2"/>
  <c r="H34" i="2"/>
  <c r="I33" i="2"/>
  <c r="A36" i="2"/>
  <c r="M36" i="2" l="1"/>
  <c r="N36" i="2" s="1"/>
  <c r="K36" i="2"/>
  <c r="L36" i="2"/>
  <c r="H35" i="2"/>
  <c r="I34" i="2"/>
  <c r="A37" i="2"/>
  <c r="M37" i="2" l="1"/>
  <c r="N37" i="2" s="1"/>
  <c r="K37" i="2"/>
  <c r="L37" i="2"/>
  <c r="H36" i="2"/>
  <c r="I35" i="2"/>
  <c r="A38" i="2"/>
  <c r="M38" i="2" l="1"/>
  <c r="N38" i="2" s="1"/>
  <c r="K38" i="2"/>
  <c r="L38" i="2"/>
  <c r="H37" i="2"/>
  <c r="I36" i="2"/>
  <c r="A39" i="2"/>
  <c r="M39" i="2" l="1"/>
  <c r="N39" i="2" s="1"/>
  <c r="K39" i="2"/>
  <c r="L39" i="2"/>
  <c r="I37" i="2"/>
  <c r="H38" i="2"/>
  <c r="F6" i="2"/>
  <c r="J6" i="2" s="1"/>
  <c r="E7" i="2" s="1"/>
  <c r="I38" i="2" l="1"/>
  <c r="H39" i="2"/>
  <c r="B7" i="2"/>
  <c r="I39" i="2" l="1"/>
  <c r="C7" i="2"/>
  <c r="F7" i="2" l="1"/>
  <c r="B8" i="2" s="1"/>
  <c r="J7" i="2" l="1"/>
  <c r="E8" i="2" s="1"/>
  <c r="C8" i="2"/>
  <c r="F8" i="2" l="1"/>
  <c r="J8" i="2" l="1"/>
  <c r="E9" i="2" s="1"/>
  <c r="B9" i="2"/>
  <c r="C9" i="2" s="1"/>
  <c r="O9" i="2" s="1"/>
  <c r="AD5" i="2" s="1"/>
  <c r="F9" i="2" l="1"/>
  <c r="AC6" i="2" l="1"/>
  <c r="P9" i="2"/>
  <c r="AC9" i="2" s="1"/>
  <c r="J9" i="2"/>
  <c r="E10" i="2" s="1"/>
  <c r="B10" i="2"/>
  <c r="AC10" i="2" l="1"/>
  <c r="AD8" i="2"/>
  <c r="C10" i="2"/>
  <c r="AD10" i="2" l="1"/>
  <c r="AC13" i="2"/>
  <c r="F10" i="2"/>
  <c r="J10" i="2" l="1"/>
  <c r="E11" i="2" s="1"/>
  <c r="B11" i="2"/>
  <c r="C11" i="2" s="1"/>
  <c r="F11" i="2" l="1"/>
  <c r="B12" i="2" l="1"/>
  <c r="C12" i="2" s="1"/>
  <c r="O12" i="2" s="1"/>
  <c r="P12" i="2" s="1"/>
  <c r="AF9" i="2" s="1"/>
  <c r="J11" i="2"/>
  <c r="E12" i="2" s="1"/>
  <c r="AF10" i="2" l="1"/>
  <c r="AF13" i="2"/>
  <c r="D12" i="2"/>
  <c r="F12" i="2" s="1"/>
  <c r="B13" i="2" s="1"/>
  <c r="J12" i="2" l="1"/>
  <c r="E13" i="2" s="1"/>
  <c r="C13" i="2"/>
  <c r="O13" i="2" s="1"/>
  <c r="P13" i="2" s="1"/>
  <c r="AG9" i="2" s="1"/>
  <c r="AG10" i="2" l="1"/>
  <c r="F13" i="2"/>
  <c r="B14" i="2" s="1"/>
  <c r="C14" i="2" s="1"/>
  <c r="O14" i="2" s="1"/>
  <c r="P14" i="2" s="1"/>
  <c r="AH9" i="2" s="1"/>
  <c r="AH10" i="2" s="1"/>
  <c r="J13" i="2" l="1"/>
  <c r="E14" i="2" s="1"/>
  <c r="F14" i="2" s="1"/>
  <c r="J14" i="2" l="1"/>
  <c r="E15" i="2" s="1"/>
  <c r="B15" i="2"/>
  <c r="C15" i="2"/>
  <c r="F15" i="2" l="1"/>
  <c r="J15" i="2" s="1"/>
  <c r="E16" i="2" s="1"/>
  <c r="O15" i="2"/>
  <c r="B16" i="2"/>
  <c r="C16" i="2" s="1"/>
  <c r="O16" i="2" s="1"/>
  <c r="AK8" i="2" s="1"/>
  <c r="P15" i="2" l="1"/>
  <c r="AI9" i="2" s="1"/>
  <c r="AJ8" i="2"/>
  <c r="P16" i="2"/>
  <c r="AJ9" i="2" s="1"/>
  <c r="AJ13" i="2"/>
  <c r="AJ10" i="2"/>
  <c r="F16" i="2"/>
  <c r="J16" i="2" s="1"/>
  <c r="E17" i="2" s="1"/>
  <c r="AI10" i="2" l="1"/>
  <c r="AI13" i="2"/>
  <c r="B17" i="2"/>
  <c r="C17" i="2" s="1"/>
  <c r="O17" i="2" l="1"/>
  <c r="F17" i="2"/>
  <c r="J17" i="2" s="1"/>
  <c r="E18" i="2" s="1"/>
  <c r="AL8" i="2" l="1"/>
  <c r="P17" i="2"/>
  <c r="AK9" i="2" s="1"/>
  <c r="AK10" i="2" s="1"/>
  <c r="B18" i="2"/>
  <c r="C18" i="2"/>
  <c r="F18" i="2" l="1"/>
  <c r="J18" i="2" s="1"/>
  <c r="E19" i="2" s="1"/>
  <c r="O18" i="2"/>
  <c r="B19" i="2"/>
  <c r="P18" i="2" l="1"/>
  <c r="AL9" i="2" s="1"/>
  <c r="AL10" i="2" s="1"/>
  <c r="AM8" i="2"/>
  <c r="C19" i="2"/>
  <c r="F19" i="2" l="1"/>
  <c r="J19" i="2" s="1"/>
  <c r="E20" i="2" s="1"/>
  <c r="O19" i="2"/>
  <c r="P19" i="2" s="1"/>
  <c r="AM9" i="2" s="1"/>
  <c r="AM10" i="2" s="1"/>
  <c r="B20" i="2"/>
  <c r="C20" i="2" l="1"/>
  <c r="F20" i="2" s="1"/>
  <c r="J20" i="2" s="1"/>
  <c r="E21" i="2" s="1"/>
  <c r="B21" i="2" l="1"/>
  <c r="C21" i="2" l="1"/>
  <c r="F21" i="2" s="1"/>
  <c r="J21" i="2" s="1"/>
  <c r="E22" i="2" s="1"/>
  <c r="B22" i="2" l="1"/>
  <c r="F22" i="2" l="1"/>
  <c r="J22" i="2" s="1"/>
  <c r="E23" i="2" s="1"/>
  <c r="B23" i="2" l="1"/>
  <c r="C23" i="2" l="1"/>
  <c r="F23" i="2" s="1"/>
  <c r="J23" i="2" s="1"/>
  <c r="E24" i="2" s="1"/>
  <c r="B24" i="2" l="1"/>
  <c r="C24" i="2" l="1"/>
  <c r="F24" i="2" l="1"/>
  <c r="J24" i="2" s="1"/>
  <c r="E25" i="2" s="1"/>
  <c r="O24" i="2"/>
  <c r="B25" i="2"/>
  <c r="AB17" i="2" l="1"/>
  <c r="P24" i="2"/>
  <c r="AA18" i="2" s="1"/>
  <c r="AA19" i="2" s="1"/>
  <c r="C25" i="2"/>
  <c r="F25" i="2" l="1"/>
  <c r="J25" i="2" s="1"/>
  <c r="E26" i="2" s="1"/>
  <c r="O25" i="2"/>
  <c r="B26" i="2"/>
  <c r="P25" i="2" l="1"/>
  <c r="AB18" i="2" s="1"/>
  <c r="AB19" i="2" s="1"/>
  <c r="AC17" i="2"/>
  <c r="AC19" i="2" s="1"/>
  <c r="C26" i="2"/>
  <c r="D26" i="2" s="1"/>
  <c r="F26" i="2" s="1"/>
  <c r="J26" i="2" s="1"/>
  <c r="E27" i="2" s="1"/>
  <c r="B27" i="2" l="1"/>
  <c r="C27" i="2" l="1"/>
  <c r="D27" i="2" s="1"/>
  <c r="F27" i="2" s="1"/>
  <c r="J27" i="2" l="1"/>
  <c r="E28" i="2" s="1"/>
  <c r="B28" i="2"/>
  <c r="C28" i="2" l="1"/>
  <c r="D28" i="2" s="1"/>
  <c r="F28" i="2" s="1"/>
  <c r="B29" i="2" l="1"/>
  <c r="C29" i="2" s="1"/>
  <c r="J28" i="2"/>
  <c r="E29" i="2" s="1"/>
  <c r="D29" i="2" l="1"/>
  <c r="F29" i="2" s="1"/>
  <c r="J29" i="2" l="1"/>
  <c r="E30" i="2" s="1"/>
  <c r="B30" i="2"/>
  <c r="C30" i="2" s="1"/>
  <c r="D30" i="2" l="1"/>
  <c r="F30" i="2" s="1"/>
  <c r="J30" i="2" l="1"/>
  <c r="E31" i="2" s="1"/>
  <c r="B31" i="2"/>
  <c r="C31" i="2" s="1"/>
  <c r="D31" i="2" l="1"/>
  <c r="F31" i="2" s="1"/>
  <c r="J31" i="2" l="1"/>
  <c r="E32" i="2" s="1"/>
  <c r="B32" i="2"/>
  <c r="C32" i="2" s="1"/>
  <c r="D32" i="2" l="1"/>
  <c r="F32" i="2" s="1"/>
  <c r="J32" i="2" l="1"/>
  <c r="E33" i="2" s="1"/>
  <c r="B33" i="2"/>
  <c r="C33" i="2" l="1"/>
  <c r="D33" i="2" s="1"/>
  <c r="F33" i="2" s="1"/>
  <c r="B34" i="2" l="1"/>
  <c r="C34" i="2" s="1"/>
  <c r="J33" i="2"/>
  <c r="E34" i="2" s="1"/>
  <c r="D34" i="2" l="1"/>
  <c r="F34" i="2" s="1"/>
  <c r="J34" i="2" l="1"/>
  <c r="E35" i="2" s="1"/>
  <c r="B35" i="2"/>
  <c r="C35" i="2" s="1"/>
  <c r="D35" i="2" l="1"/>
  <c r="F35" i="2" s="1"/>
  <c r="B36" i="2" s="1"/>
  <c r="C36" i="2" s="1"/>
  <c r="J35" i="2" l="1"/>
  <c r="E36" i="2" s="1"/>
  <c r="D36" i="2" s="1"/>
  <c r="F36" i="2" s="1"/>
  <c r="J36" i="2" l="1"/>
  <c r="E37" i="2" s="1"/>
  <c r="B37" i="2"/>
  <c r="C37" i="2" s="1"/>
  <c r="D37" i="2" l="1"/>
  <c r="F37" i="2" s="1"/>
  <c r="B38" i="2" s="1"/>
  <c r="C38" i="2" s="1"/>
  <c r="J37" i="2" l="1"/>
  <c r="E38" i="2" s="1"/>
  <c r="D38" i="2" s="1"/>
  <c r="F38" i="2" s="1"/>
  <c r="J38" i="2" l="1"/>
  <c r="E39" i="2" s="1"/>
  <c r="B39" i="2"/>
  <c r="C39" i="2" s="1"/>
  <c r="D39" i="2" l="1"/>
  <c r="F39" i="2" s="1"/>
  <c r="J3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  <author>tc={A15F1B57-ED4A-4D01-9014-EAC6AF1F2B8A}</author>
    <author>tc={00A400CF-D688-458B-AFE3-8B04D5FC7056}</author>
  </authors>
  <commentList>
    <comment ref="U13" authorId="0" shapeId="0" xr:uid="{B0A6F3E1-ECF4-4F90-AFF9-96A420ABDFA8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3021</t>
        </r>
      </text>
    </comment>
    <comment ref="U14" authorId="0" shapeId="0" xr:uid="{59FBD1D9-0B83-46CC-9F51-6D42FF5F4129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3229</t>
        </r>
      </text>
    </comment>
    <comment ref="U22" authorId="0" shapeId="0" xr:uid="{38B90B49-D224-455A-821C-07E263D34F2E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5124</t>
        </r>
      </text>
    </comment>
    <comment ref="U23" authorId="0" shapeId="0" xr:uid="{A57FAB40-1F57-43E2-934E-52B4B3B50FED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5451</t>
        </r>
      </text>
    </comment>
    <comment ref="U24" authorId="0" shapeId="0" xr:uid="{F3B6CA4E-7D85-4C3F-91F2-62180C1C1B1F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5688</t>
        </r>
      </text>
    </comment>
    <comment ref="U25" authorId="1" shapeId="0" xr:uid="{A15F1B57-ED4A-4D01-9014-EAC6AF1F2B8A}">
      <text>
        <t>[Threaded comment]
Your version of Excel allows you to read this threaded comment; however, any edits to it will get removed if the file is opened in a newer version of Excel. Learn more: https://go.microsoft.com/fwlink/?linkid=870924
Comment:
    6286</t>
      </text>
    </comment>
    <comment ref="U26" authorId="2" shapeId="0" xr:uid="{00A400CF-D688-458B-AFE3-8B04D5FC7056}">
      <text>
        <t>[Threaded comment]
Your version of Excel allows you to read this threaded comment; however, any edits to it will get removed if the file is opened in a newer version of Excel. Learn more: https://go.microsoft.com/fwlink/?linkid=870924
Comment:
    6808</t>
      </text>
    </comment>
  </commentList>
</comments>
</file>

<file path=xl/sharedStrings.xml><?xml version="1.0" encoding="utf-8"?>
<sst xmlns="http://schemas.openxmlformats.org/spreadsheetml/2006/main" count="70" uniqueCount="60">
  <si>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</si>
  <si>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</si>
  <si>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</si>
  <si>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</si>
  <si>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</si>
  <si>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</si>
  <si>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</si>
  <si>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</si>
  <si>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</si>
  <si>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</si>
  <si>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</si>
  <si>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</si>
  <si>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</si>
  <si>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</si>
  <si>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</si>
  <si>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</si>
  <si>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</si>
  <si>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</si>
  <si>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</si>
  <si>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</si>
  <si>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</si>
  <si>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</si>
  <si>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</si>
  <si>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</si>
  <si>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</si>
  <si>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</si>
  <si>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</si>
  <si>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</si>
  <si>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</si>
  <si>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</si>
  <si>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</si>
  <si>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</si>
  <si>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</si>
  <si>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</si>
  <si>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</si>
  <si>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</si>
  <si>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</si>
  <si>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</si>
  <si>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</si>
  <si>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</si>
  <si>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Intereses de mora</t>
  </si>
  <si>
    <t>Valor pagado cliente</t>
  </si>
  <si>
    <t>agt-24</t>
  </si>
  <si>
    <t xml:space="preserve">SALDO INICIAL </t>
  </si>
  <si>
    <t>APLICACION DE PAGO   OBRAS CIVILES DE OCCIDENTE S.A.S.   OBLIGACION # 99</t>
  </si>
  <si>
    <t xml:space="preserve">FECHA DE PAGO </t>
  </si>
  <si>
    <t xml:space="preserve">INTERESES </t>
  </si>
  <si>
    <t xml:space="preserve">CAPITAL </t>
  </si>
  <si>
    <t xml:space="preserve">MORA </t>
  </si>
  <si>
    <t>VALOR PAGADO</t>
  </si>
  <si>
    <t>SALDO A CAPITAL</t>
  </si>
  <si>
    <t>CUOTA</t>
  </si>
  <si>
    <t>CAPITAL</t>
  </si>
  <si>
    <t>INTERESES</t>
  </si>
  <si>
    <t>MORA</t>
  </si>
  <si>
    <t>TOTAL</t>
  </si>
  <si>
    <t>MARZO</t>
  </si>
  <si>
    <t xml:space="preserve">ABRIL 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</si>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</sst>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000%"/>
    <numFmt numFmtId="166" formatCode="&quot;$&quot;\ #,##0.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0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164" fontId="0" fillId="0" borderId="0" xfId="1" applyNumberFormat="1" applyFont="1" applyFill="1"/>
    <xf numFmtId="165" fontId="0" fillId="0" borderId="0" xfId="2" applyNumberFormat="1" applyFont="1" applyFill="1" applyProtection="1">
      <protection locked="0"/>
    </xf>
    <xf numFmtId="165" fontId="0" fillId="0" borderId="0" xfId="2" applyNumberFormat="1" applyFont="1" applyFill="1"/>
    <xf numFmtId="0" fontId="2" fillId="0" borderId="0" xfId="0" applyFont="1" applyAlignment="1">
      <alignment horizontal="center"/>
    </xf>
    <xf numFmtId="0" fontId="0" fillId="0" borderId="13" xfId="0" applyBorder="1"/>
    <xf numFmtId="43" fontId="0" fillId="0" borderId="13" xfId="0" applyNumberFormat="1" applyBorder="1"/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14" fontId="0" fillId="0" borderId="4" xfId="1" applyNumberFormat="1" applyFont="1" applyFill="1" applyBorder="1"/>
    <xf numFmtId="43" fontId="0" fillId="0" borderId="4" xfId="1" applyFont="1" applyFill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4" fontId="0" fillId="3" borderId="0" xfId="1" applyNumberFormat="1" applyFont="1" applyFill="1"/>
    <xf numFmtId="164" fontId="1" fillId="3" borderId="0" xfId="1" applyNumberFormat="1" applyFont="1" applyFill="1"/>
    <xf numFmtId="0" fontId="7" fillId="0" borderId="0" xfId="0" applyFont="1" applyAlignment="1">
      <alignment horizontal="center"/>
    </xf>
    <xf numFmtId="165" fontId="1" fillId="0" borderId="0" xfId="2" applyNumberFormat="1" applyFont="1" applyFill="1" applyProtection="1">
      <protection locked="0"/>
    </xf>
    <xf numFmtId="0" fontId="6" fillId="0" borderId="0" xfId="0" applyFont="1"/>
    <xf numFmtId="14" fontId="0" fillId="3" borderId="4" xfId="1" applyNumberFormat="1" applyFont="1" applyFill="1" applyBorder="1"/>
    <xf numFmtId="43" fontId="0" fillId="3" borderId="4" xfId="1" applyFont="1" applyFill="1" applyBorder="1"/>
    <xf numFmtId="14" fontId="0" fillId="3" borderId="4" xfId="0" applyNumberFormat="1" applyFill="1" applyBorder="1"/>
    <xf numFmtId="0" fontId="7" fillId="3" borderId="0" xfId="0" applyFont="1" applyFill="1" applyAlignment="1">
      <alignment horizontal="center"/>
    </xf>
    <xf numFmtId="164" fontId="1" fillId="0" borderId="0" xfId="1" applyNumberFormat="1" applyFont="1" applyFill="1" applyBorder="1"/>
    <xf numFmtId="43" fontId="8" fillId="0" borderId="0" xfId="1" applyFont="1"/>
    <xf numFmtId="43" fontId="9" fillId="0" borderId="0" xfId="0" applyNumberFormat="1" applyFont="1"/>
    <xf numFmtId="43" fontId="6" fillId="3" borderId="4" xfId="1" applyFont="1" applyFill="1" applyBorder="1"/>
    <xf numFmtId="14" fontId="0" fillId="3" borderId="4" xfId="0" applyNumberFormat="1" applyFill="1" applyBorder="1" applyAlignment="1">
      <alignment horizontal="right"/>
    </xf>
    <xf numFmtId="0" fontId="5" fillId="0" borderId="0" xfId="0" applyFont="1"/>
    <xf numFmtId="166" fontId="5" fillId="0" borderId="0" xfId="0" applyNumberFormat="1" applyFont="1"/>
    <xf numFmtId="0" fontId="3" fillId="10" borderId="18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/>
    </xf>
    <xf numFmtId="43" fontId="0" fillId="3" borderId="3" xfId="1" applyFont="1" applyFill="1" applyBorder="1"/>
    <xf numFmtId="43" fontId="0" fillId="3" borderId="19" xfId="1" applyFont="1" applyFill="1" applyBorder="1"/>
    <xf numFmtId="43" fontId="0" fillId="3" borderId="20" xfId="1" applyFont="1" applyFill="1" applyBorder="1"/>
    <xf numFmtId="43" fontId="0" fillId="3" borderId="0" xfId="1" applyFont="1" applyFill="1" applyBorder="1"/>
    <xf numFmtId="14" fontId="0" fillId="3" borderId="22" xfId="1" applyNumberFormat="1" applyFont="1" applyFill="1" applyBorder="1"/>
    <xf numFmtId="43" fontId="0" fillId="0" borderId="23" xfId="0" applyNumberFormat="1" applyBorder="1"/>
    <xf numFmtId="14" fontId="0" fillId="3" borderId="24" xfId="0" applyNumberFormat="1" applyFill="1" applyBorder="1" applyAlignment="1">
      <alignment horizontal="right"/>
    </xf>
    <xf numFmtId="14" fontId="0" fillId="3" borderId="24" xfId="0" applyNumberFormat="1" applyFill="1" applyBorder="1"/>
    <xf numFmtId="14" fontId="0" fillId="0" borderId="24" xfId="0" applyNumberFormat="1" applyBorder="1"/>
    <xf numFmtId="14" fontId="0" fillId="0" borderId="25" xfId="0" applyNumberFormat="1" applyBorder="1"/>
    <xf numFmtId="164" fontId="0" fillId="0" borderId="26" xfId="0" applyNumberFormat="1" applyBorder="1"/>
    <xf numFmtId="43" fontId="0" fillId="0" borderId="26" xfId="0" applyNumberFormat="1" applyBorder="1"/>
    <xf numFmtId="43" fontId="0" fillId="3" borderId="27" xfId="1" applyFont="1" applyFill="1" applyBorder="1"/>
    <xf numFmtId="43" fontId="0" fillId="0" borderId="28" xfId="0" applyNumberFormat="1" applyBorder="1"/>
    <xf numFmtId="0" fontId="3" fillId="10" borderId="17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vertical="center"/>
    </xf>
    <xf numFmtId="43" fontId="6" fillId="0" borderId="4" xfId="0" applyNumberFormat="1" applyFont="1" applyBorder="1"/>
    <xf numFmtId="17" fontId="5" fillId="0" borderId="0" xfId="0" applyNumberFormat="1" applyFont="1"/>
    <xf numFmtId="0" fontId="10" fillId="0" borderId="0" xfId="0" applyFont="1" applyAlignment="1">
      <alignment horizontal="center"/>
    </xf>
    <xf numFmtId="164" fontId="10" fillId="0" borderId="0" xfId="1" applyNumberFormat="1" applyFont="1" applyFill="1"/>
    <xf numFmtId="165" fontId="10" fillId="0" borderId="0" xfId="2" applyNumberFormat="1" applyFont="1" applyFill="1" applyProtection="1">
      <protection locked="0"/>
    </xf>
    <xf numFmtId="164" fontId="10" fillId="0" borderId="0" xfId="1" applyNumberFormat="1" applyFont="1" applyFill="1" applyBorder="1"/>
    <xf numFmtId="43" fontId="0" fillId="11" borderId="0" xfId="0" applyNumberFormat="1" applyFill="1"/>
    <xf numFmtId="165" fontId="1" fillId="0" borderId="0" xfId="2" applyNumberFormat="1" applyFont="1" applyFill="1"/>
    <xf numFmtId="164" fontId="1" fillId="0" borderId="0" xfId="1" applyNumberFormat="1" applyFont="1" applyFill="1"/>
    <xf numFmtId="0" fontId="11" fillId="0" borderId="0" xfId="0" applyFont="1" applyAlignment="1">
      <alignment horizontal="center"/>
    </xf>
    <xf numFmtId="165" fontId="5" fillId="12" borderId="0" xfId="2" applyNumberFormat="1" applyFont="1" applyFill="1" applyProtection="1">
      <protection locked="0"/>
    </xf>
    <xf numFmtId="165" fontId="5" fillId="12" borderId="0" xfId="2" applyNumberFormat="1" applyFont="1" applyFill="1"/>
    <xf numFmtId="164" fontId="5" fillId="12" borderId="0" xfId="1" applyNumberFormat="1" applyFont="1" applyFill="1"/>
    <xf numFmtId="0" fontId="2" fillId="12" borderId="0" xfId="0" applyFont="1" applyFill="1" applyAlignment="1">
      <alignment horizontal="center"/>
    </xf>
    <xf numFmtId="0" fontId="5" fillId="12" borderId="0" xfId="0" applyFont="1" applyFill="1"/>
    <xf numFmtId="164" fontId="0" fillId="0" borderId="4" xfId="1" applyNumberFormat="1" applyFont="1" applyBorder="1"/>
    <xf numFmtId="164" fontId="12" fillId="0" borderId="4" xfId="1" applyNumberFormat="1" applyFont="1" applyFill="1" applyBorder="1"/>
    <xf numFmtId="164" fontId="6" fillId="0" borderId="4" xfId="1" applyNumberFormat="1" applyFont="1" applyFill="1" applyBorder="1"/>
    <xf numFmtId="0" fontId="3" fillId="12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/>
    </xf>
    <xf numFmtId="43" fontId="0" fillId="0" borderId="0" xfId="1" applyFont="1" applyFill="1"/>
    <xf numFmtId="43" fontId="0" fillId="7" borderId="0" xfId="1" applyFont="1" applyFill="1" applyAlignment="1">
      <alignment horizontal="right"/>
    </xf>
    <xf numFmtId="165" fontId="15" fillId="0" borderId="0" xfId="2" applyNumberFormat="1" applyFont="1" applyFill="1" applyProtection="1">
      <protection locked="0"/>
    </xf>
    <xf numFmtId="164" fontId="16" fillId="0" borderId="4" xfId="1" applyNumberFormat="1" applyFont="1" applyBorder="1"/>
    <xf numFmtId="164" fontId="0" fillId="3" borderId="4" xfId="1" applyNumberFormat="1" applyFont="1" applyFill="1" applyBorder="1"/>
    <xf numFmtId="0" fontId="10" fillId="3" borderId="0" xfId="0" applyFont="1" applyFill="1" applyAlignment="1">
      <alignment horizontal="center"/>
    </xf>
    <xf numFmtId="164" fontId="10" fillId="3" borderId="0" xfId="1" applyNumberFormat="1" applyFont="1" applyFill="1" applyBorder="1"/>
    <xf numFmtId="165" fontId="10" fillId="3" borderId="0" xfId="2" applyNumberFormat="1" applyFont="1" applyFill="1" applyProtection="1">
      <protection locked="0"/>
    </xf>
    <xf numFmtId="165" fontId="1" fillId="3" borderId="0" xfId="2" applyNumberFormat="1" applyFont="1" applyFill="1" applyProtection="1">
      <protection locked="0"/>
    </xf>
    <xf numFmtId="165" fontId="1" fillId="3" borderId="0" xfId="2" applyNumberFormat="1" applyFont="1" applyFill="1"/>
    <xf numFmtId="0" fontId="11" fillId="3" borderId="0" xfId="0" applyFont="1" applyFill="1" applyAlignment="1">
      <alignment horizontal="center"/>
    </xf>
    <xf numFmtId="165" fontId="15" fillId="3" borderId="0" xfId="2" applyNumberFormat="1" applyFont="1" applyFill="1" applyProtection="1">
      <protection locked="0"/>
    </xf>
    <xf numFmtId="0" fontId="5" fillId="12" borderId="0" xfId="0" applyFont="1" applyFill="1" applyAlignment="1">
      <alignment horizontal="center"/>
    </xf>
    <xf numFmtId="164" fontId="5" fillId="12" borderId="0" xfId="1" applyNumberFormat="1" applyFont="1" applyFill="1" applyBorder="1"/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14" fontId="0" fillId="0" borderId="29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164" fontId="0" fillId="0" borderId="29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43" fontId="0" fillId="0" borderId="29" xfId="0" applyNumberFormat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43" fontId="6" fillId="0" borderId="29" xfId="0" applyNumberFormat="1" applyFont="1" applyBorder="1" applyAlignment="1">
      <alignment horizontal="center" vertical="center"/>
    </xf>
    <xf numFmtId="43" fontId="6" fillId="0" borderId="3" xfId="0" applyNumberFormat="1" applyFont="1" applyBorder="1" applyAlignment="1">
      <alignment horizontal="center" vertical="center"/>
    </xf>
    <xf numFmtId="164" fontId="0" fillId="3" borderId="29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228600</xdr:rowOff>
    </xdr:from>
    <xdr:to>
      <xdr:col>14</xdr:col>
      <xdr:colOff>0</xdr:colOff>
      <xdr:row>11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CA8C92-4C7B-CB66-AA95-718DC06FF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0950" y="609600"/>
          <a:ext cx="4572000" cy="17811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Estupiñan" id="{443E1789-886F-42AF-9B80-23AAD2B540F8}" userId="S::david.estupinan_hbi.com.co#ext#@gecolsacat.onmicrosoft.com::bfb2fc63-0cdd-43c2-b79a-4f2ae73597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25" dT="2026-06-22T18:46:35.69" personId="{443E1789-886F-42AF-9B80-23AAD2B540F8}" id="{A15F1B57-ED4A-4D01-9014-EAC6AF1F2B8A}">
    <text>6286</text>
  </threadedComment>
  <threadedComment ref="U26" dT="2026-08-12T14:35:09.71" personId="{443E1789-886F-42AF-9B80-23AAD2B540F8}" id="{00A400CF-D688-458B-AFE3-8B04D5FC7056}">
    <text>6808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N124"/>
  <sheetViews>
    <sheetView tabSelected="1" topLeftCell="N1" zoomScaleNormal="100" workbookViewId="0">
      <pane ySplit="3" topLeftCell="A15" activePane="bottomLeft" state="frozen"/>
      <selection pane="bottomLeft" activeCell="O32" sqref="O32"/>
    </sheetView>
  </sheetViews>
  <sheetFormatPr defaultColWidth="11.42578125" defaultRowHeight="14.45"/>
  <cols>
    <col min="1" max="1" width="7.85546875" customWidth="1"/>
    <col min="2" max="2" width="16.7109375" bestFit="1" customWidth="1"/>
    <col min="3" max="5" width="12.140625" bestFit="1" customWidth="1"/>
    <col min="6" max="6" width="14.42578125" customWidth="1"/>
    <col min="7" max="7" width="13.85546875" customWidth="1"/>
    <col min="8" max="8" width="10.42578125" customWidth="1"/>
    <col min="9" max="9" width="11.5703125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.42578125" bestFit="1" customWidth="1"/>
    <col min="15" max="15" width="13.7109375" bestFit="1" customWidth="1"/>
    <col min="16" max="16" width="14.85546875" customWidth="1"/>
    <col min="17" max="17" width="15" customWidth="1"/>
    <col min="18" max="18" width="14.7109375" bestFit="1" customWidth="1"/>
    <col min="19" max="19" width="16.28515625" bestFit="1" customWidth="1"/>
    <col min="20" max="21" width="16.28515625" customWidth="1"/>
    <col min="22" max="22" width="16.28515625" bestFit="1" customWidth="1"/>
    <col min="23" max="25" width="14.5703125" bestFit="1" customWidth="1"/>
    <col min="26" max="28" width="14.7109375" bestFit="1" customWidth="1"/>
    <col min="29" max="31" width="13.5703125" bestFit="1" customWidth="1"/>
    <col min="32" max="40" width="14.7109375" bestFit="1" customWidth="1"/>
  </cols>
  <sheetData>
    <row r="1" spans="1:40" ht="15" thickBot="1">
      <c r="A1" s="10" t="s">
        <v>16</v>
      </c>
      <c r="B1" s="62">
        <v>1337272000</v>
      </c>
      <c r="C1" s="10" t="s">
        <v>17</v>
      </c>
      <c r="D1" s="12">
        <v>0.10093000000000001</v>
      </c>
      <c r="E1" s="10" t="s">
        <v>18</v>
      </c>
      <c r="F1" s="14">
        <f>((D1+D2)/12)</f>
        <v>1.5160833333333333E-2</v>
      </c>
      <c r="H1" s="19" t="s">
        <v>19</v>
      </c>
      <c r="J1" s="51">
        <v>45527</v>
      </c>
      <c r="O1" s="51"/>
    </row>
    <row r="2" spans="1:40" ht="15" thickBot="1">
      <c r="A2" s="10" t="s">
        <v>20</v>
      </c>
      <c r="B2" s="13">
        <v>36</v>
      </c>
      <c r="C2" s="10" t="s">
        <v>21</v>
      </c>
      <c r="D2" s="12">
        <v>8.1000000000000003E-2</v>
      </c>
      <c r="E2" s="10" t="s">
        <v>22</v>
      </c>
      <c r="F2" s="15">
        <f>+PMT(F1,B2,-B1,0)</f>
        <v>48475157.176432572</v>
      </c>
      <c r="G2" s="15"/>
      <c r="J2" s="56">
        <v>99</v>
      </c>
      <c r="O2" s="56"/>
      <c r="Q2" s="120" t="s">
        <v>23</v>
      </c>
      <c r="R2" s="121"/>
      <c r="S2" s="121"/>
      <c r="T2" s="121"/>
      <c r="U2" s="121"/>
      <c r="V2" s="121"/>
    </row>
    <row r="3" spans="1:40" ht="26.1">
      <c r="B3" s="60" t="s">
        <v>24</v>
      </c>
      <c r="C3" s="60" t="s">
        <v>25</v>
      </c>
      <c r="D3" s="60" t="s">
        <v>26</v>
      </c>
      <c r="E3" s="60" t="s">
        <v>13</v>
      </c>
      <c r="F3" s="60" t="s">
        <v>27</v>
      </c>
      <c r="G3" s="54" t="s">
        <v>28</v>
      </c>
      <c r="H3" s="54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6" t="s">
        <v>35</v>
      </c>
      <c r="Q3" s="105" t="s">
        <v>36</v>
      </c>
      <c r="R3" s="104" t="s">
        <v>37</v>
      </c>
      <c r="S3" s="105" t="s">
        <v>38</v>
      </c>
      <c r="T3" s="105" t="s">
        <v>39</v>
      </c>
      <c r="U3" s="104" t="s">
        <v>40</v>
      </c>
      <c r="V3" s="104" t="s">
        <v>41</v>
      </c>
    </row>
    <row r="4" spans="1:40">
      <c r="A4" s="88">
        <f>+TasaImplicita!A12</f>
        <v>1</v>
      </c>
      <c r="B4" s="89">
        <f>+B1</f>
        <v>1337272000</v>
      </c>
      <c r="C4" s="89">
        <f>+B4*F1</f>
        <v>20274157.913333334</v>
      </c>
      <c r="D4" s="89">
        <f t="shared" ref="D4:D8" si="0">+S4</f>
        <v>28151219</v>
      </c>
      <c r="E4" s="89">
        <f>+F2</f>
        <v>48475157.176432572</v>
      </c>
      <c r="F4" s="89">
        <f>+B4-D4</f>
        <v>1309120781</v>
      </c>
      <c r="G4" s="90">
        <v>9.7309999999999994E-2</v>
      </c>
      <c r="H4" s="55">
        <f>+D2</f>
        <v>8.1000000000000003E-2</v>
      </c>
      <c r="I4" s="8">
        <f>((G4+H4)/12)</f>
        <v>1.4859166666666666E-2</v>
      </c>
      <c r="J4" s="2">
        <f>PMT(I4,K4,-F4,0)</f>
        <v>48240039.90916916</v>
      </c>
      <c r="K4" s="7">
        <f>+$B$2-A4</f>
        <v>35</v>
      </c>
      <c r="L4">
        <v>23</v>
      </c>
      <c r="M4">
        <v>9</v>
      </c>
      <c r="N4">
        <v>2024</v>
      </c>
      <c r="O4" s="20">
        <f>+C4/30</f>
        <v>675805.26377777779</v>
      </c>
      <c r="P4" s="32">
        <f>+(C4/30)*7</f>
        <v>4730636.8464444447</v>
      </c>
      <c r="Q4" s="57">
        <v>45562</v>
      </c>
      <c r="R4" s="58">
        <v>20274158</v>
      </c>
      <c r="S4" s="58">
        <v>28151219</v>
      </c>
      <c r="T4" s="58">
        <f>+B1-S4</f>
        <v>1309120781</v>
      </c>
      <c r="U4" s="64">
        <v>74623</v>
      </c>
      <c r="V4" s="110">
        <f t="shared" ref="V4:V10" si="1">+R4+S4+U4</f>
        <v>48500000</v>
      </c>
    </row>
    <row r="5" spans="1:40">
      <c r="A5" s="88">
        <f>IF(AND(A4&lt;$B$2)*(A4&lt;&gt;0),1+A4," ")</f>
        <v>2</v>
      </c>
      <c r="B5" s="89">
        <f>IF(A5=" "," ",+F4)</f>
        <v>1309120781</v>
      </c>
      <c r="C5" s="89">
        <f>IF(A5=" "," ",+B5*I4)</f>
        <v>19452443.871675834</v>
      </c>
      <c r="D5" s="89">
        <f t="shared" si="0"/>
        <v>32078413</v>
      </c>
      <c r="E5" s="89">
        <f>IF(A5=" "," ",+J4)</f>
        <v>48240039.90916916</v>
      </c>
      <c r="F5" s="89">
        <f t="shared" ref="F5:F27" si="2">+B5-D5</f>
        <v>1277042368</v>
      </c>
      <c r="G5" s="90">
        <v>9.2749999999999999E-2</v>
      </c>
      <c r="H5" s="55">
        <f>IF(A5=" "," ",+H4)</f>
        <v>8.1000000000000003E-2</v>
      </c>
      <c r="I5" s="8">
        <f>IF(A5=" "," ",((G5+H5)/12))</f>
        <v>1.4479166666666668E-2</v>
      </c>
      <c r="J5" s="2">
        <f t="shared" ref="J5:J27" si="3">PMT(I5,K5,-F5,0)</f>
        <v>47826731.568229578</v>
      </c>
      <c r="K5" s="7">
        <f>IF(A2=" "," ",+$B$2-A5)</f>
        <v>34</v>
      </c>
      <c r="L5">
        <f>IF(A5&lt;&gt;" ",+L4," ")</f>
        <v>23</v>
      </c>
      <c r="M5">
        <f>IF(AND(A5&lt;&gt;" ")*(M4=12),1,1+M4)</f>
        <v>10</v>
      </c>
      <c r="N5">
        <f>IF(AND(A5&lt;&gt;" ")*(M5=1),1+N4,N4)</f>
        <v>2024</v>
      </c>
      <c r="O5" s="20">
        <f>19451704/30</f>
        <v>648390.1333333333</v>
      </c>
      <c r="P5" s="32">
        <f>+O5*7</f>
        <v>4538730.9333333336</v>
      </c>
      <c r="Q5" s="65">
        <v>45583</v>
      </c>
      <c r="R5" s="58">
        <v>16209753</v>
      </c>
      <c r="S5" s="58">
        <v>32078413</v>
      </c>
      <c r="T5" s="58">
        <f>+T4-S5</f>
        <v>1277042368</v>
      </c>
      <c r="U5" s="64">
        <v>813</v>
      </c>
      <c r="V5" s="110">
        <f t="shared" si="1"/>
        <v>48288979</v>
      </c>
      <c r="X5" s="21"/>
      <c r="Y5" s="4"/>
      <c r="AC5">
        <f>+O8*23</f>
        <v>13290758.314285714</v>
      </c>
      <c r="AD5">
        <f>+O9*18</f>
        <v>10110842.547134999</v>
      </c>
      <c r="AE5">
        <f>+O10*12</f>
        <v>6583101.2571428567</v>
      </c>
    </row>
    <row r="6" spans="1:40">
      <c r="A6" s="88">
        <f t="shared" ref="A6:A39" si="4">IF(AND(A5&lt;$B$2)*(A5&lt;&gt;0),1+A5," ")</f>
        <v>3</v>
      </c>
      <c r="B6" s="89">
        <f t="shared" ref="B6:B27" si="5">IF(A6=" "," ",+F5)</f>
        <v>1277042368</v>
      </c>
      <c r="C6" s="89">
        <f t="shared" ref="C6:C27" si="6">IF(A6=" "," ",+B6*I5)</f>
        <v>18490509.286666669</v>
      </c>
      <c r="D6" s="89">
        <f t="shared" si="0"/>
        <v>28103522</v>
      </c>
      <c r="E6" s="89">
        <f t="shared" ref="E6:E27" si="7">IF(A6=" "," ",+J5)</f>
        <v>47826731.568229578</v>
      </c>
      <c r="F6" s="89">
        <f t="shared" si="2"/>
        <v>1248938846</v>
      </c>
      <c r="G6" s="90">
        <v>9.1499999999999998E-2</v>
      </c>
      <c r="H6" s="55">
        <f t="shared" ref="H6:H27" si="8">IF(A6=" "," ",+H5)</f>
        <v>8.1000000000000003E-2</v>
      </c>
      <c r="I6" s="8">
        <f t="shared" ref="I6:I27" si="9">IF(A6=" "," ",((G6+H6)/12))</f>
        <v>1.4374999999999999E-2</v>
      </c>
      <c r="J6" s="2">
        <f t="shared" si="3"/>
        <v>47796834.890523717</v>
      </c>
      <c r="K6" s="7">
        <f t="shared" ref="K6:K27" si="10">IF(A3=" "," ",+$B$2-A6)</f>
        <v>33</v>
      </c>
      <c r="L6">
        <f t="shared" ref="L6:L27" si="11">IF(A6&lt;&gt;" ",+L5," ")</f>
        <v>23</v>
      </c>
      <c r="M6">
        <f t="shared" ref="M6:M27" si="12">IF(AND(A6&lt;&gt;" ")*(M5=12),1,1+M5)</f>
        <v>11</v>
      </c>
      <c r="N6">
        <f>IF(AND(A6&lt;&gt;" ")*(M6=1),1+N5,N5)</f>
        <v>2024</v>
      </c>
      <c r="O6" s="20">
        <f>21572261/35</f>
        <v>616350.3142857143</v>
      </c>
      <c r="P6" s="32">
        <f>+O6*12</f>
        <v>7396203.771428572</v>
      </c>
      <c r="Q6" s="59">
        <v>45616</v>
      </c>
      <c r="R6" s="58">
        <v>19723210</v>
      </c>
      <c r="S6" s="58">
        <v>28103522</v>
      </c>
      <c r="T6" s="58">
        <f t="shared" ref="T6:T24" si="13">+T5-S6</f>
        <v>1248938846</v>
      </c>
      <c r="U6" s="58"/>
      <c r="V6" s="110">
        <f t="shared" si="1"/>
        <v>47826732</v>
      </c>
      <c r="Y6" s="4"/>
      <c r="AC6">
        <f>+O9*7</f>
        <v>3931994.3238858334</v>
      </c>
      <c r="AD6">
        <f>+O10*12</f>
        <v>6583101.2571428567</v>
      </c>
      <c r="AE6">
        <f>+O11*18</f>
        <v>9557372.6341463421</v>
      </c>
      <c r="AG6" s="66">
        <v>-10772</v>
      </c>
      <c r="AH6" s="66">
        <v>5</v>
      </c>
    </row>
    <row r="7" spans="1:40">
      <c r="A7" s="88">
        <f t="shared" si="4"/>
        <v>4</v>
      </c>
      <c r="B7" s="89">
        <f t="shared" si="5"/>
        <v>1248938846</v>
      </c>
      <c r="C7" s="89">
        <f t="shared" si="6"/>
        <v>17953495.911249999</v>
      </c>
      <c r="D7" s="89">
        <f t="shared" si="0"/>
        <v>31040239</v>
      </c>
      <c r="E7" s="89">
        <f t="shared" si="7"/>
        <v>47796834.890523717</v>
      </c>
      <c r="F7" s="89">
        <f t="shared" si="2"/>
        <v>1217898607</v>
      </c>
      <c r="G7" s="90">
        <v>8.9880000000000002E-2</v>
      </c>
      <c r="H7" s="55">
        <f t="shared" si="8"/>
        <v>8.1000000000000003E-2</v>
      </c>
      <c r="I7" s="8">
        <f t="shared" si="9"/>
        <v>1.4240000000000001E-2</v>
      </c>
      <c r="J7" s="2">
        <f t="shared" si="3"/>
        <v>47652814.842271015</v>
      </c>
      <c r="K7" s="7">
        <f t="shared" si="10"/>
        <v>32</v>
      </c>
      <c r="L7">
        <f t="shared" si="11"/>
        <v>23</v>
      </c>
      <c r="M7">
        <f t="shared" si="12"/>
        <v>12</v>
      </c>
      <c r="N7">
        <f t="shared" ref="N7:N27" si="14">IF(AND(A7&lt;&gt;" ")*(M7=1),1+N6,N6)</f>
        <v>2024</v>
      </c>
      <c r="O7" s="20">
        <f>19748846/33</f>
        <v>598449.87878787878</v>
      </c>
      <c r="P7" s="32">
        <f>+O7*10</f>
        <v>5984498.7878787881</v>
      </c>
      <c r="Q7" s="39">
        <v>45644</v>
      </c>
      <c r="R7" s="42">
        <v>16756596</v>
      </c>
      <c r="S7" s="41">
        <v>31040239</v>
      </c>
      <c r="T7" s="58">
        <f t="shared" si="13"/>
        <v>1217898607</v>
      </c>
      <c r="U7" s="41"/>
      <c r="V7" s="110">
        <f t="shared" si="1"/>
        <v>47796835</v>
      </c>
      <c r="X7" s="43" t="s">
        <v>42</v>
      </c>
      <c r="Y7" s="43">
        <v>45536</v>
      </c>
      <c r="Z7" s="43">
        <v>45566</v>
      </c>
      <c r="AA7" s="43">
        <v>45597</v>
      </c>
      <c r="AB7" s="43">
        <v>45627</v>
      </c>
      <c r="AC7" s="87">
        <v>45658</v>
      </c>
      <c r="AD7" s="87">
        <v>45689</v>
      </c>
      <c r="AE7" s="87">
        <v>45717</v>
      </c>
      <c r="AF7" s="87">
        <v>45748</v>
      </c>
      <c r="AG7" s="87">
        <v>45778</v>
      </c>
      <c r="AH7" s="87">
        <v>45809</v>
      </c>
      <c r="AI7" s="87">
        <v>45839</v>
      </c>
      <c r="AJ7" s="87">
        <v>45870</v>
      </c>
      <c r="AK7" s="87">
        <v>45901</v>
      </c>
      <c r="AL7" s="87">
        <v>45931</v>
      </c>
      <c r="AM7" s="87">
        <v>45962</v>
      </c>
      <c r="AN7" s="87">
        <v>45992</v>
      </c>
    </row>
    <row r="8" spans="1:40">
      <c r="A8" s="88">
        <f t="shared" si="4"/>
        <v>5</v>
      </c>
      <c r="B8" s="89">
        <f t="shared" si="5"/>
        <v>1217898607</v>
      </c>
      <c r="C8" s="89">
        <f t="shared" si="6"/>
        <v>17342876.163680002</v>
      </c>
      <c r="D8" s="89">
        <f t="shared" si="0"/>
        <v>27477397</v>
      </c>
      <c r="E8" s="89">
        <f t="shared" si="7"/>
        <v>47652814.842271015</v>
      </c>
      <c r="F8" s="89">
        <f t="shared" si="2"/>
        <v>1190421210</v>
      </c>
      <c r="G8" s="90">
        <v>8.8870000000000005E-2</v>
      </c>
      <c r="H8" s="55">
        <f t="shared" si="8"/>
        <v>8.1000000000000003E-2</v>
      </c>
      <c r="I8" s="8">
        <f t="shared" si="9"/>
        <v>1.4155833333333335E-2</v>
      </c>
      <c r="J8" s="2">
        <f t="shared" si="3"/>
        <v>47707540.570316672</v>
      </c>
      <c r="K8" s="7">
        <f t="shared" si="10"/>
        <v>31</v>
      </c>
      <c r="L8">
        <f t="shared" si="11"/>
        <v>23</v>
      </c>
      <c r="M8">
        <f t="shared" si="12"/>
        <v>1</v>
      </c>
      <c r="N8">
        <f t="shared" si="14"/>
        <v>2025</v>
      </c>
      <c r="O8" s="20">
        <f>20225067/35</f>
        <v>577859.05714285711</v>
      </c>
      <c r="P8" s="32">
        <f>+O8*12</f>
        <v>6934308.6857142858</v>
      </c>
      <c r="Q8" s="39">
        <v>45686</v>
      </c>
      <c r="R8" s="42">
        <v>20225067</v>
      </c>
      <c r="S8" s="41">
        <v>27477397</v>
      </c>
      <c r="T8" s="58">
        <f t="shared" si="13"/>
        <v>1190421210</v>
      </c>
      <c r="U8" s="86">
        <v>94371</v>
      </c>
      <c r="V8" s="110">
        <f t="shared" si="1"/>
        <v>47796835</v>
      </c>
      <c r="X8" s="21">
        <f>+P4</f>
        <v>4730636.8464444447</v>
      </c>
      <c r="Y8" s="21">
        <f>+R4-X8</f>
        <v>15543521.153555555</v>
      </c>
      <c r="Z8" s="21">
        <f>+R5-Y9</f>
        <v>11671022.066666666</v>
      </c>
      <c r="AA8" s="21">
        <f>+R6-Z9</f>
        <v>12327006.228571428</v>
      </c>
      <c r="AB8" s="21">
        <f>+R7-AA9</f>
        <v>10772097.212121211</v>
      </c>
      <c r="AC8" s="21">
        <f>+R8-AB9</f>
        <v>13290758.314285714</v>
      </c>
      <c r="AD8" s="21">
        <f>+R9-AC9</f>
        <v>10110842.676114166</v>
      </c>
      <c r="AE8" s="21">
        <f>+R10-AD9</f>
        <v>6583101.7428571433</v>
      </c>
      <c r="AF8" s="21">
        <f>21769571-AE9</f>
        <v>12212198.365853658</v>
      </c>
      <c r="AG8" s="92">
        <f>15501047+AG6-AF9</f>
        <v>11873364.109774889</v>
      </c>
      <c r="AH8" s="21">
        <f>+O13*23+AH6</f>
        <v>11405726.616998171</v>
      </c>
      <c r="AI8" s="21">
        <f>+O14*23+5</f>
        <v>11039710.732837686</v>
      </c>
      <c r="AJ8" s="21">
        <f>+O15*23+10803</f>
        <v>10658913.716895524</v>
      </c>
      <c r="AK8" s="21">
        <f>+O16*1+447691-4</f>
        <v>897156.84864744544</v>
      </c>
      <c r="AL8" s="21">
        <f>+O17+9</f>
        <v>428846.28518075187</v>
      </c>
      <c r="AM8" s="21">
        <f>+O18*6</f>
        <v>2476632.9921651976</v>
      </c>
      <c r="AN8" s="21">
        <f>+O19*22-1</f>
        <v>8743022.3949200027</v>
      </c>
    </row>
    <row r="9" spans="1:40">
      <c r="A9" s="88">
        <f t="shared" si="4"/>
        <v>6</v>
      </c>
      <c r="B9" s="89">
        <f t="shared" si="5"/>
        <v>1190421210</v>
      </c>
      <c r="C9" s="89">
        <f t="shared" si="6"/>
        <v>16851404.245225001</v>
      </c>
      <c r="D9" s="89">
        <f>+S9</f>
        <v>33664704</v>
      </c>
      <c r="E9" s="89">
        <f t="shared" si="7"/>
        <v>47707540.570316672</v>
      </c>
      <c r="F9" s="89">
        <f t="shared" si="2"/>
        <v>1156756506</v>
      </c>
      <c r="G9" s="90">
        <v>8.9730000000000004E-2</v>
      </c>
      <c r="H9" s="55">
        <f t="shared" si="8"/>
        <v>8.1000000000000003E-2</v>
      </c>
      <c r="I9" s="8">
        <f t="shared" si="9"/>
        <v>1.4227499999999999E-2</v>
      </c>
      <c r="J9" s="2">
        <f t="shared" si="3"/>
        <v>47640600.684157819</v>
      </c>
      <c r="K9" s="7">
        <f t="shared" si="10"/>
        <v>30</v>
      </c>
      <c r="L9">
        <f t="shared" si="11"/>
        <v>23</v>
      </c>
      <c r="M9">
        <f t="shared" si="12"/>
        <v>2</v>
      </c>
      <c r="N9">
        <f t="shared" si="14"/>
        <v>2025</v>
      </c>
      <c r="O9" s="20">
        <f>+C9/30</f>
        <v>561713.47484083334</v>
      </c>
      <c r="P9" s="32">
        <f>+O9*7</f>
        <v>3931994.3238858334</v>
      </c>
      <c r="Q9" s="39">
        <v>45706</v>
      </c>
      <c r="R9" s="42">
        <v>14042837</v>
      </c>
      <c r="S9" s="41">
        <v>33664704</v>
      </c>
      <c r="T9" s="58">
        <f t="shared" si="13"/>
        <v>1156756506</v>
      </c>
      <c r="U9" s="41"/>
      <c r="V9" s="110">
        <f t="shared" si="1"/>
        <v>47707541</v>
      </c>
      <c r="X9" s="37"/>
      <c r="Y9" s="38">
        <f>+P5</f>
        <v>4538730.9333333336</v>
      </c>
      <c r="Z9" s="38">
        <f>+P6</f>
        <v>7396203.771428572</v>
      </c>
      <c r="AA9" s="38">
        <f>+P7</f>
        <v>5984498.7878787881</v>
      </c>
      <c r="AB9" s="38">
        <f>+P8</f>
        <v>6934308.6857142858</v>
      </c>
      <c r="AC9" s="38">
        <f>+P9</f>
        <v>3931994.3238858334</v>
      </c>
      <c r="AD9" s="38">
        <f>+P10</f>
        <v>6583101.2571428567</v>
      </c>
      <c r="AE9" s="38">
        <f>+P11</f>
        <v>9557372.6341463421</v>
      </c>
      <c r="AF9" s="38">
        <f>+P12</f>
        <v>3616910.890225111</v>
      </c>
      <c r="AG9" s="38">
        <f>+P13</f>
        <v>3471306.5790864001</v>
      </c>
      <c r="AH9" s="38">
        <f>+P14</f>
        <v>3359910.440428861</v>
      </c>
      <c r="AI9" s="38">
        <f>+P15</f>
        <v>3240729.3486203765</v>
      </c>
      <c r="AJ9" s="38">
        <f>+P16</f>
        <v>3146288.9405321181</v>
      </c>
      <c r="AK9" s="38">
        <f>+P17</f>
        <v>12007443.985061053</v>
      </c>
      <c r="AL9" s="38">
        <f>+P18</f>
        <v>11970392.795465121</v>
      </c>
      <c r="AM9" s="38">
        <f>+P19</f>
        <v>9537843.7035490945</v>
      </c>
      <c r="AN9" s="38">
        <f>+P20</f>
        <v>3071179.6149884523</v>
      </c>
    </row>
    <row r="10" spans="1:40">
      <c r="A10" s="88">
        <f t="shared" si="4"/>
        <v>7</v>
      </c>
      <c r="B10" s="89">
        <f t="shared" si="5"/>
        <v>1156756506</v>
      </c>
      <c r="C10" s="89">
        <f t="shared" si="6"/>
        <v>16457753.189114999</v>
      </c>
      <c r="D10" s="89">
        <f>+S10</f>
        <v>34473858</v>
      </c>
      <c r="E10" s="89">
        <f t="shared" si="7"/>
        <v>47640600.684157819</v>
      </c>
      <c r="F10" s="89">
        <f t="shared" si="2"/>
        <v>1122282648</v>
      </c>
      <c r="G10" s="90">
        <v>8.9169999999999999E-2</v>
      </c>
      <c r="H10" s="55">
        <f t="shared" si="8"/>
        <v>8.1000000000000003E-2</v>
      </c>
      <c r="I10" s="8">
        <f t="shared" si="9"/>
        <v>1.4180833333333332E-2</v>
      </c>
      <c r="J10" s="2">
        <f t="shared" si="3"/>
        <v>47470683.193725176</v>
      </c>
      <c r="K10" s="7">
        <f t="shared" si="10"/>
        <v>29</v>
      </c>
      <c r="L10">
        <f t="shared" si="11"/>
        <v>23</v>
      </c>
      <c r="M10">
        <f t="shared" si="12"/>
        <v>3</v>
      </c>
      <c r="N10">
        <f t="shared" si="14"/>
        <v>2025</v>
      </c>
      <c r="O10" s="20">
        <f>19200712/35</f>
        <v>548591.77142857143</v>
      </c>
      <c r="P10" s="32">
        <f>+O10*12</f>
        <v>6583101.2571428567</v>
      </c>
      <c r="Q10" s="39">
        <v>45728</v>
      </c>
      <c r="R10" s="42">
        <v>13166203</v>
      </c>
      <c r="S10" s="41">
        <v>34473858</v>
      </c>
      <c r="T10" s="58">
        <f t="shared" si="13"/>
        <v>1122282648</v>
      </c>
      <c r="U10" s="41"/>
      <c r="V10" s="110">
        <f t="shared" si="1"/>
        <v>47640061</v>
      </c>
      <c r="X10" s="21">
        <f>+X8</f>
        <v>4730636.8464444447</v>
      </c>
      <c r="Y10" s="21">
        <f>SUM(Y8:Y9)</f>
        <v>20082252.086888887</v>
      </c>
      <c r="Z10" s="21">
        <f>SUM(Z8:Z9)</f>
        <v>19067225.83809524</v>
      </c>
      <c r="AA10" s="21">
        <f>SUM(AA8:AA9)</f>
        <v>18311505.016450215</v>
      </c>
      <c r="AB10" s="21">
        <f>SUM(AB8:AB9)</f>
        <v>17706405.897835497</v>
      </c>
      <c r="AC10" s="21">
        <f>SUM(AC8:AC9)</f>
        <v>17222752.638171546</v>
      </c>
      <c r="AD10" s="21">
        <f>+AD9+AD8</f>
        <v>16693943.933257023</v>
      </c>
      <c r="AE10" s="21">
        <f>+AE9+AE8</f>
        <v>16140474.377003485</v>
      </c>
      <c r="AF10" s="21">
        <f>+AF9+AF8</f>
        <v>15829109.256078769</v>
      </c>
      <c r="AG10" s="21">
        <f t="shared" ref="AG10:AN10" si="15">SUM(AG8:AG9)</f>
        <v>15344670.68886129</v>
      </c>
      <c r="AH10" s="21">
        <f t="shared" si="15"/>
        <v>14765637.057427032</v>
      </c>
      <c r="AI10" s="21">
        <f t="shared" si="15"/>
        <v>14280440.081458062</v>
      </c>
      <c r="AJ10" s="21">
        <f t="shared" si="15"/>
        <v>13805202.657427642</v>
      </c>
      <c r="AK10" s="21">
        <f t="shared" si="15"/>
        <v>12904600.833708499</v>
      </c>
      <c r="AL10" s="21">
        <f t="shared" si="15"/>
        <v>12399239.080645872</v>
      </c>
      <c r="AM10" s="21">
        <f t="shared" si="15"/>
        <v>12014476.695714291</v>
      </c>
      <c r="AN10" s="21">
        <f t="shared" si="15"/>
        <v>11814202.009908454</v>
      </c>
    </row>
    <row r="11" spans="1:40">
      <c r="A11" s="88">
        <f t="shared" si="4"/>
        <v>8</v>
      </c>
      <c r="B11" s="89">
        <f t="shared" si="5"/>
        <v>1122282648</v>
      </c>
      <c r="C11" s="89">
        <f t="shared" si="6"/>
        <v>15914903.184179999</v>
      </c>
      <c r="D11" s="89">
        <v>31555780</v>
      </c>
      <c r="E11" s="89">
        <f t="shared" si="7"/>
        <v>47470683.193725176</v>
      </c>
      <c r="F11" s="89">
        <f t="shared" si="2"/>
        <v>1090726868</v>
      </c>
      <c r="G11" s="90">
        <v>8.9539999999999995E-2</v>
      </c>
      <c r="H11" s="55">
        <f t="shared" si="8"/>
        <v>8.1000000000000003E-2</v>
      </c>
      <c r="I11" s="93">
        <f t="shared" si="9"/>
        <v>1.4211666666666666E-2</v>
      </c>
      <c r="J11" s="94">
        <f t="shared" si="3"/>
        <v>47490289.521077514</v>
      </c>
      <c r="K11" s="95">
        <f t="shared" si="10"/>
        <v>28</v>
      </c>
      <c r="L11">
        <f t="shared" si="11"/>
        <v>23</v>
      </c>
      <c r="M11">
        <f t="shared" si="12"/>
        <v>4</v>
      </c>
      <c r="N11">
        <f t="shared" si="14"/>
        <v>2025</v>
      </c>
      <c r="O11" s="20">
        <f>21769571/41</f>
        <v>530965.14634146343</v>
      </c>
      <c r="P11" s="32">
        <f>+O11*18</f>
        <v>9557372.6341463421</v>
      </c>
      <c r="Q11" s="122">
        <v>45807</v>
      </c>
      <c r="R11" s="124">
        <v>37270618</v>
      </c>
      <c r="S11" s="126">
        <v>63545023</v>
      </c>
      <c r="T11" s="58">
        <f t="shared" si="13"/>
        <v>1058737625</v>
      </c>
      <c r="U11" s="128">
        <v>834425</v>
      </c>
      <c r="V11" s="130">
        <v>47826732</v>
      </c>
      <c r="X11" s="21"/>
      <c r="Y11" s="63"/>
      <c r="Z11" s="21"/>
      <c r="AA11" s="21"/>
    </row>
    <row r="12" spans="1:40">
      <c r="A12" s="88">
        <f t="shared" si="4"/>
        <v>9</v>
      </c>
      <c r="B12" s="89">
        <f t="shared" si="5"/>
        <v>1090726868</v>
      </c>
      <c r="C12" s="89">
        <f t="shared" si="6"/>
        <v>15501046.672393333</v>
      </c>
      <c r="D12" s="89">
        <f t="shared" ref="D12" si="16">IF(A12=" "," ",+E12-C12)</f>
        <v>31989242.848684181</v>
      </c>
      <c r="E12" s="89">
        <f t="shared" si="7"/>
        <v>47490289.521077514</v>
      </c>
      <c r="F12" s="89">
        <f t="shared" si="2"/>
        <v>1058737625.1513158</v>
      </c>
      <c r="G12" s="90">
        <v>8.7620000000000003E-2</v>
      </c>
      <c r="H12" s="55">
        <f t="shared" si="8"/>
        <v>8.1000000000000003E-2</v>
      </c>
      <c r="I12" s="93">
        <f t="shared" si="9"/>
        <v>1.4051666666666665E-2</v>
      </c>
      <c r="J12" s="94">
        <f t="shared" si="3"/>
        <v>47391859.109763876</v>
      </c>
      <c r="K12" s="95">
        <f t="shared" si="10"/>
        <v>27</v>
      </c>
      <c r="L12">
        <f t="shared" si="11"/>
        <v>23</v>
      </c>
      <c r="M12">
        <f t="shared" si="12"/>
        <v>5</v>
      </c>
      <c r="N12">
        <f t="shared" si="14"/>
        <v>2025</v>
      </c>
      <c r="O12" s="20">
        <f t="shared" ref="O12:O21" si="17">+C12/30</f>
        <v>516701.55574644444</v>
      </c>
      <c r="P12" s="32">
        <f>+O12*7</f>
        <v>3616910.890225111</v>
      </c>
      <c r="Q12" s="123"/>
      <c r="R12" s="125"/>
      <c r="S12" s="127"/>
      <c r="T12" s="58">
        <f t="shared" si="13"/>
        <v>1058737625</v>
      </c>
      <c r="U12" s="129"/>
      <c r="V12" s="131"/>
      <c r="X12" s="21"/>
      <c r="Y12" s="21"/>
      <c r="Z12" s="21"/>
    </row>
    <row r="13" spans="1:40">
      <c r="A13" s="88">
        <f t="shared" si="4"/>
        <v>10</v>
      </c>
      <c r="B13" s="89">
        <f t="shared" si="5"/>
        <v>1058737625.1513158</v>
      </c>
      <c r="C13" s="89">
        <f t="shared" si="6"/>
        <v>14877028.196084572</v>
      </c>
      <c r="D13" s="89">
        <v>32514831</v>
      </c>
      <c r="E13" s="89">
        <f t="shared" si="7"/>
        <v>47391859.109763876</v>
      </c>
      <c r="F13" s="89">
        <f t="shared" si="2"/>
        <v>1026222794.1513158</v>
      </c>
      <c r="G13" s="90">
        <v>8.7379999999999999E-2</v>
      </c>
      <c r="H13" s="55">
        <f t="shared" si="8"/>
        <v>8.1000000000000003E-2</v>
      </c>
      <c r="I13" s="93">
        <f t="shared" si="9"/>
        <v>1.4031666666666666E-2</v>
      </c>
      <c r="J13" s="94">
        <f t="shared" si="3"/>
        <v>47379973.51880949</v>
      </c>
      <c r="K13" s="95">
        <f t="shared" si="10"/>
        <v>26</v>
      </c>
      <c r="L13">
        <f t="shared" si="11"/>
        <v>23</v>
      </c>
      <c r="M13">
        <f t="shared" si="12"/>
        <v>6</v>
      </c>
      <c r="N13">
        <f t="shared" si="14"/>
        <v>2025</v>
      </c>
      <c r="O13" s="20">
        <f t="shared" si="17"/>
        <v>495900.93986948574</v>
      </c>
      <c r="P13" s="32">
        <f>+O13*7</f>
        <v>3471306.5790864001</v>
      </c>
      <c r="Q13" s="39">
        <v>45835</v>
      </c>
      <c r="R13" s="101">
        <v>14908678</v>
      </c>
      <c r="S13" s="101">
        <v>32514831</v>
      </c>
      <c r="T13" s="58">
        <f t="shared" si="13"/>
        <v>1026222794</v>
      </c>
      <c r="U13" s="102">
        <v>76491</v>
      </c>
      <c r="V13" s="101">
        <f t="shared" ref="V13:V24" si="18">+R13+S13+U13</f>
        <v>47500000</v>
      </c>
      <c r="X13" s="21">
        <f>+X8+Y8</f>
        <v>20274158</v>
      </c>
      <c r="Y13" s="21">
        <f t="shared" ref="Y13:AD13" si="19">+Y9+Z8</f>
        <v>16209753</v>
      </c>
      <c r="Z13" s="21">
        <f t="shared" si="19"/>
        <v>19723210</v>
      </c>
      <c r="AA13" s="21">
        <f t="shared" si="19"/>
        <v>16756596</v>
      </c>
      <c r="AB13" s="21">
        <f t="shared" si="19"/>
        <v>20225067</v>
      </c>
      <c r="AC13" s="21">
        <f t="shared" si="19"/>
        <v>14042837</v>
      </c>
      <c r="AD13" s="21">
        <f t="shared" si="19"/>
        <v>13166203</v>
      </c>
      <c r="AE13" s="21">
        <f>+AE9+AF8</f>
        <v>21769571</v>
      </c>
      <c r="AF13" s="21">
        <f>+AF9+AG8</f>
        <v>15490275</v>
      </c>
      <c r="AG13" s="21">
        <f t="shared" ref="AG13:AJ13" si="20">+AG9+AH8</f>
        <v>14877033.196084572</v>
      </c>
      <c r="AH13" s="21">
        <f t="shared" si="20"/>
        <v>14399621.173266547</v>
      </c>
      <c r="AI13" s="21">
        <f t="shared" si="20"/>
        <v>13899643.065515902</v>
      </c>
      <c r="AJ13" s="21">
        <f t="shared" si="20"/>
        <v>4043445.7891795635</v>
      </c>
    </row>
    <row r="14" spans="1:40">
      <c r="A14" s="88">
        <f t="shared" si="4"/>
        <v>11</v>
      </c>
      <c r="B14" s="89">
        <f t="shared" si="5"/>
        <v>1026222794.1513158</v>
      </c>
      <c r="C14" s="89">
        <f t="shared" si="6"/>
        <v>14399616.173266547</v>
      </c>
      <c r="D14" s="89">
        <f>+S14</f>
        <v>32980358</v>
      </c>
      <c r="E14" s="89">
        <f t="shared" si="7"/>
        <v>47379973.51880949</v>
      </c>
      <c r="F14" s="89">
        <f t="shared" si="2"/>
        <v>993242436.15131581</v>
      </c>
      <c r="G14" s="90">
        <v>8.6800000000000002E-2</v>
      </c>
      <c r="H14" s="55">
        <f t="shared" si="8"/>
        <v>8.1000000000000003E-2</v>
      </c>
      <c r="I14" s="93">
        <f t="shared" si="9"/>
        <v>1.3983333333333334E-2</v>
      </c>
      <c r="J14" s="94">
        <f t="shared" si="3"/>
        <v>47352252.723028988</v>
      </c>
      <c r="K14" s="95">
        <f t="shared" si="10"/>
        <v>25</v>
      </c>
      <c r="L14">
        <f t="shared" si="11"/>
        <v>23</v>
      </c>
      <c r="M14">
        <f t="shared" si="12"/>
        <v>7</v>
      </c>
      <c r="N14">
        <f t="shared" si="14"/>
        <v>2025</v>
      </c>
      <c r="O14" s="20">
        <f t="shared" si="17"/>
        <v>479987.20577555156</v>
      </c>
      <c r="P14" s="32">
        <f>+O14*7</f>
        <v>3359910.440428861</v>
      </c>
      <c r="Q14" s="39">
        <v>45866</v>
      </c>
      <c r="R14" s="101">
        <v>14425503</v>
      </c>
      <c r="S14" s="101">
        <v>32980358</v>
      </c>
      <c r="T14" s="58">
        <f t="shared" si="13"/>
        <v>993242436</v>
      </c>
      <c r="U14" s="103">
        <v>94139</v>
      </c>
      <c r="V14" s="101">
        <f t="shared" si="18"/>
        <v>47500000</v>
      </c>
    </row>
    <row r="15" spans="1:40">
      <c r="A15" s="88">
        <f t="shared" si="4"/>
        <v>12</v>
      </c>
      <c r="B15" s="89">
        <f t="shared" si="5"/>
        <v>993242436.15131581</v>
      </c>
      <c r="C15" s="89">
        <f t="shared" si="6"/>
        <v>13888840.0655159</v>
      </c>
      <c r="D15" s="89">
        <f>+S15</f>
        <v>33463413</v>
      </c>
      <c r="E15" s="89">
        <f t="shared" si="7"/>
        <v>47352252.723028988</v>
      </c>
      <c r="F15" s="89">
        <f t="shared" si="2"/>
        <v>959779023.15131581</v>
      </c>
      <c r="G15" s="55">
        <v>8.7590000000000001E-2</v>
      </c>
      <c r="H15" s="55">
        <f t="shared" si="8"/>
        <v>8.1000000000000003E-2</v>
      </c>
      <c r="I15" s="93">
        <f t="shared" si="9"/>
        <v>1.4049166666666668E-2</v>
      </c>
      <c r="J15" s="94">
        <f t="shared" si="3"/>
        <v>47388648.45446533</v>
      </c>
      <c r="K15" s="95">
        <f t="shared" si="10"/>
        <v>24</v>
      </c>
      <c r="L15">
        <f t="shared" si="11"/>
        <v>23</v>
      </c>
      <c r="M15">
        <f t="shared" si="12"/>
        <v>8</v>
      </c>
      <c r="N15">
        <f t="shared" si="14"/>
        <v>2025</v>
      </c>
      <c r="O15" s="20">
        <f t="shared" si="17"/>
        <v>462961.33551719668</v>
      </c>
      <c r="P15" s="32">
        <f>+O15*7</f>
        <v>3240729.3486203765</v>
      </c>
      <c r="Q15" s="39">
        <v>45894</v>
      </c>
      <c r="R15" s="101">
        <v>13931287</v>
      </c>
      <c r="S15" s="101">
        <v>33463413</v>
      </c>
      <c r="T15" s="58">
        <f t="shared" si="13"/>
        <v>959779023</v>
      </c>
      <c r="U15" s="101">
        <v>0</v>
      </c>
      <c r="V15" s="101">
        <f t="shared" si="18"/>
        <v>47394700</v>
      </c>
      <c r="AI15" s="20"/>
      <c r="AJ15" s="20"/>
      <c r="AK15" s="21"/>
      <c r="AM15" s="21"/>
    </row>
    <row r="16" spans="1:40" ht="15">
      <c r="A16" s="88">
        <f t="shared" si="4"/>
        <v>13</v>
      </c>
      <c r="B16" s="89">
        <f t="shared" si="5"/>
        <v>959779023.15131581</v>
      </c>
      <c r="C16" s="89">
        <f t="shared" si="6"/>
        <v>13484095.459423363</v>
      </c>
      <c r="D16" s="89">
        <f>+S16+S17</f>
        <v>43351250</v>
      </c>
      <c r="E16" s="89">
        <f t="shared" si="7"/>
        <v>47388648.45446533</v>
      </c>
      <c r="F16" s="89">
        <f t="shared" si="2"/>
        <v>916427773.15131581</v>
      </c>
      <c r="G16" s="55">
        <v>8.7459999999999996E-2</v>
      </c>
      <c r="H16" s="55">
        <f t="shared" si="8"/>
        <v>8.1000000000000003E-2</v>
      </c>
      <c r="I16" s="93">
        <f t="shared" si="9"/>
        <v>1.4038333333333333E-2</v>
      </c>
      <c r="J16" s="94">
        <f t="shared" si="3"/>
        <v>46899436.174166478</v>
      </c>
      <c r="K16" s="95">
        <f t="shared" si="10"/>
        <v>23</v>
      </c>
      <c r="L16">
        <f t="shared" si="11"/>
        <v>23</v>
      </c>
      <c r="M16">
        <f t="shared" si="12"/>
        <v>9</v>
      </c>
      <c r="N16">
        <f t="shared" si="14"/>
        <v>2025</v>
      </c>
      <c r="O16" s="20">
        <f t="shared" si="17"/>
        <v>449469.84864744544</v>
      </c>
      <c r="P16" s="32">
        <f>+O16*7</f>
        <v>3146288.9405321181</v>
      </c>
      <c r="Q16" s="39">
        <v>45901</v>
      </c>
      <c r="R16" s="101">
        <v>3495775</v>
      </c>
      <c r="S16" s="101">
        <v>3798941</v>
      </c>
      <c r="T16" s="58">
        <f t="shared" si="13"/>
        <v>955980082</v>
      </c>
      <c r="U16" s="101"/>
      <c r="V16" s="101">
        <f t="shared" si="18"/>
        <v>7294716</v>
      </c>
      <c r="X16" s="87">
        <v>46023</v>
      </c>
      <c r="Y16" s="87">
        <v>46054</v>
      </c>
      <c r="Z16" s="87">
        <v>46082</v>
      </c>
      <c r="AA16" s="87">
        <v>46113</v>
      </c>
      <c r="AB16" s="87">
        <v>46143</v>
      </c>
      <c r="AC16" s="87">
        <v>46174</v>
      </c>
      <c r="AD16" s="87">
        <v>46204</v>
      </c>
      <c r="AI16" s="20"/>
      <c r="AJ16" s="20"/>
      <c r="AK16" s="21"/>
      <c r="AN16" s="21"/>
    </row>
    <row r="17" spans="1:38">
      <c r="A17" s="88">
        <f t="shared" si="4"/>
        <v>14</v>
      </c>
      <c r="B17" s="89">
        <f t="shared" si="5"/>
        <v>916427773.15131581</v>
      </c>
      <c r="C17" s="89">
        <f t="shared" si="6"/>
        <v>12865118.555422556</v>
      </c>
      <c r="D17" s="89">
        <f>+S18</f>
        <v>35063719</v>
      </c>
      <c r="E17" s="89">
        <f t="shared" si="7"/>
        <v>46899436.174166478</v>
      </c>
      <c r="F17" s="89">
        <f t="shared" si="2"/>
        <v>881364054.15131581</v>
      </c>
      <c r="G17" s="108">
        <v>8.7599999999999997E-2</v>
      </c>
      <c r="H17" s="55">
        <f t="shared" si="8"/>
        <v>8.1000000000000003E-2</v>
      </c>
      <c r="I17" s="93">
        <f t="shared" si="9"/>
        <v>1.405E-2</v>
      </c>
      <c r="J17" s="94">
        <f t="shared" si="3"/>
        <v>46850619.491917714</v>
      </c>
      <c r="K17" s="95">
        <f t="shared" si="10"/>
        <v>22</v>
      </c>
      <c r="L17">
        <f t="shared" si="11"/>
        <v>23</v>
      </c>
      <c r="M17">
        <f t="shared" si="12"/>
        <v>10</v>
      </c>
      <c r="N17">
        <f t="shared" si="14"/>
        <v>2025</v>
      </c>
      <c r="O17" s="20">
        <f t="shared" si="17"/>
        <v>428837.28518075187</v>
      </c>
      <c r="P17" s="107">
        <f>+O17*28</f>
        <v>12007443.985061053</v>
      </c>
      <c r="Q17" s="39">
        <v>45902</v>
      </c>
      <c r="R17" s="101">
        <v>447691</v>
      </c>
      <c r="S17" s="101">
        <v>39552309</v>
      </c>
      <c r="T17" s="58">
        <f t="shared" si="13"/>
        <v>916427773</v>
      </c>
      <c r="U17" s="101"/>
      <c r="V17" s="101">
        <f t="shared" si="18"/>
        <v>40000000</v>
      </c>
      <c r="X17" s="21">
        <f>+O20*21</f>
        <v>8061846.4893446872</v>
      </c>
      <c r="Y17" s="21">
        <f>+O21*23+1</f>
        <v>8631588.5543342922</v>
      </c>
      <c r="Z17" s="21">
        <f>+O22*23-2</f>
        <v>8486641.5</v>
      </c>
      <c r="AA17" s="21">
        <f>+O23*23+2</f>
        <v>8361191.2333333334</v>
      </c>
      <c r="AB17" s="21">
        <f>+O24*23+1</f>
        <v>8209117.6383449007</v>
      </c>
      <c r="AC17" s="21">
        <f>+O25*23+3</f>
        <v>7601822.5167325363</v>
      </c>
      <c r="AD17" s="21">
        <f>+O26*23+1</f>
        <v>7283825</v>
      </c>
      <c r="AI17" s="20"/>
      <c r="AJ17" s="20"/>
      <c r="AK17" s="21"/>
    </row>
    <row r="18" spans="1:38">
      <c r="A18" s="88">
        <f t="shared" si="4"/>
        <v>15</v>
      </c>
      <c r="B18" s="89">
        <f t="shared" si="5"/>
        <v>881364054.15131581</v>
      </c>
      <c r="C18" s="89">
        <f t="shared" si="6"/>
        <v>12383164.960825987</v>
      </c>
      <c r="D18" s="89">
        <f>+S19</f>
        <v>32952410</v>
      </c>
      <c r="E18" s="89">
        <f t="shared" si="7"/>
        <v>46850619.491917714</v>
      </c>
      <c r="F18" s="89">
        <f t="shared" si="2"/>
        <v>848411644.15131581</v>
      </c>
      <c r="G18" s="108">
        <v>8.763E-2</v>
      </c>
      <c r="H18" s="55">
        <f t="shared" si="8"/>
        <v>8.1000000000000003E-2</v>
      </c>
      <c r="I18" s="93">
        <f t="shared" si="9"/>
        <v>1.4052500000000001E-2</v>
      </c>
      <c r="J18" s="94">
        <f t="shared" si="3"/>
        <v>46935646.003665999</v>
      </c>
      <c r="K18" s="95">
        <f t="shared" si="10"/>
        <v>21</v>
      </c>
      <c r="L18">
        <f t="shared" si="11"/>
        <v>23</v>
      </c>
      <c r="M18">
        <f t="shared" si="12"/>
        <v>11</v>
      </c>
      <c r="N18">
        <f t="shared" si="14"/>
        <v>2025</v>
      </c>
      <c r="O18" s="20">
        <f t="shared" si="17"/>
        <v>412772.16536086623</v>
      </c>
      <c r="P18" s="107">
        <f>+O18*29</f>
        <v>11970392.795465121</v>
      </c>
      <c r="Q18" s="39">
        <v>45931</v>
      </c>
      <c r="R18" s="101">
        <v>12436281</v>
      </c>
      <c r="S18" s="101">
        <v>35063719</v>
      </c>
      <c r="T18" s="58">
        <f t="shared" si="13"/>
        <v>881364054</v>
      </c>
      <c r="U18" s="101"/>
      <c r="V18" s="101">
        <f t="shared" si="18"/>
        <v>47500000</v>
      </c>
      <c r="X18" s="38">
        <f>+P21</f>
        <v>3377577.7386525492</v>
      </c>
      <c r="Y18" s="38">
        <f>+P22</f>
        <v>2582891.5</v>
      </c>
      <c r="Z18" s="38">
        <f>+P23</f>
        <v>2544709.7666666666</v>
      </c>
      <c r="AA18" s="38">
        <f>+P24</f>
        <v>2498426.8029745352</v>
      </c>
      <c r="AB18" s="38">
        <f>+P25</f>
        <v>2313597.244222946</v>
      </c>
      <c r="AC18" s="38">
        <f>+P26</f>
        <v>2216816</v>
      </c>
      <c r="AD18" s="38">
        <f>+P27</f>
        <v>2138881.9666666668</v>
      </c>
      <c r="AI18" s="20"/>
      <c r="AJ18" s="20"/>
      <c r="AK18" s="21"/>
    </row>
    <row r="19" spans="1:38">
      <c r="A19" s="88">
        <f t="shared" si="4"/>
        <v>16</v>
      </c>
      <c r="B19" s="89">
        <f t="shared" si="5"/>
        <v>848411644.15131581</v>
      </c>
      <c r="C19" s="89">
        <f t="shared" si="6"/>
        <v>11922304.629436366</v>
      </c>
      <c r="D19" s="89">
        <f>+S20</f>
        <v>28653161</v>
      </c>
      <c r="E19" s="89">
        <f t="shared" si="7"/>
        <v>46935646.003665999</v>
      </c>
      <c r="F19" s="89">
        <f t="shared" si="2"/>
        <v>819758483.15131581</v>
      </c>
      <c r="G19" s="108">
        <v>8.7590000000000001E-2</v>
      </c>
      <c r="H19" s="55">
        <f t="shared" si="8"/>
        <v>8.1000000000000003E-2</v>
      </c>
      <c r="I19" s="93">
        <f t="shared" si="9"/>
        <v>1.4049166666666668E-2</v>
      </c>
      <c r="J19" s="94">
        <f t="shared" si="3"/>
        <v>47301087.876952372</v>
      </c>
      <c r="K19" s="95">
        <f t="shared" si="10"/>
        <v>20</v>
      </c>
      <c r="L19">
        <f t="shared" si="11"/>
        <v>23</v>
      </c>
      <c r="M19">
        <f t="shared" si="12"/>
        <v>12</v>
      </c>
      <c r="N19">
        <f t="shared" si="14"/>
        <v>2025</v>
      </c>
      <c r="O19" s="20">
        <f t="shared" si="17"/>
        <v>397410.15431454557</v>
      </c>
      <c r="P19" s="107">
        <f>+O19*24</f>
        <v>9537843.7035490945</v>
      </c>
      <c r="Q19" s="39">
        <v>45967</v>
      </c>
      <c r="R19" s="42">
        <v>14447026</v>
      </c>
      <c r="S19" s="42">
        <v>32952410</v>
      </c>
      <c r="T19" s="58">
        <f t="shared" si="13"/>
        <v>848411644</v>
      </c>
      <c r="U19" s="41">
        <v>0</v>
      </c>
      <c r="V19" s="101">
        <f t="shared" si="18"/>
        <v>47399436</v>
      </c>
      <c r="X19" s="21">
        <f t="shared" ref="X19:AD19" si="21">SUM(X17:X18)</f>
        <v>11439424.227997236</v>
      </c>
      <c r="Y19" s="21">
        <f t="shared" si="21"/>
        <v>11214480.054334292</v>
      </c>
      <c r="Z19" s="21">
        <f t="shared" si="21"/>
        <v>11031351.266666666</v>
      </c>
      <c r="AA19" s="21">
        <f t="shared" si="21"/>
        <v>10859618.036307868</v>
      </c>
      <c r="AB19" s="21">
        <f t="shared" si="21"/>
        <v>10522714.882567847</v>
      </c>
      <c r="AC19" s="21">
        <f t="shared" si="21"/>
        <v>9818638.5167325363</v>
      </c>
      <c r="AD19" s="21">
        <f t="shared" si="21"/>
        <v>9422706.9666666668</v>
      </c>
      <c r="AI19" s="20"/>
      <c r="AJ19" s="20"/>
      <c r="AK19" s="21"/>
      <c r="AL19" s="21"/>
    </row>
    <row r="20" spans="1:38">
      <c r="A20" s="88">
        <f t="shared" si="4"/>
        <v>17</v>
      </c>
      <c r="B20" s="91">
        <f t="shared" si="5"/>
        <v>819758483.15131581</v>
      </c>
      <c r="C20" s="91">
        <f t="shared" si="6"/>
        <v>11516923.556206696</v>
      </c>
      <c r="D20" s="91">
        <f>+S21</f>
        <v>36552051</v>
      </c>
      <c r="E20" s="91">
        <f t="shared" si="7"/>
        <v>47301087.876952372</v>
      </c>
      <c r="F20" s="91">
        <f t="shared" si="2"/>
        <v>783206432.15131581</v>
      </c>
      <c r="G20" s="108">
        <v>9.1499999999999998E-2</v>
      </c>
      <c r="H20" s="55">
        <f t="shared" si="8"/>
        <v>8.1000000000000003E-2</v>
      </c>
      <c r="I20" s="93">
        <f t="shared" si="9"/>
        <v>1.4374999999999999E-2</v>
      </c>
      <c r="J20" s="94">
        <f t="shared" si="3"/>
        <v>47400375.995040521</v>
      </c>
      <c r="K20" s="95">
        <f t="shared" si="10"/>
        <v>19</v>
      </c>
      <c r="L20">
        <f t="shared" si="11"/>
        <v>23</v>
      </c>
      <c r="M20">
        <f t="shared" si="12"/>
        <v>1</v>
      </c>
      <c r="N20">
        <f t="shared" si="14"/>
        <v>2026</v>
      </c>
      <c r="O20" s="20">
        <f t="shared" si="17"/>
        <v>383897.45187355654</v>
      </c>
      <c r="P20" s="107">
        <f>+O20*8</f>
        <v>3071179.6149884523</v>
      </c>
      <c r="Q20" s="39">
        <v>46013</v>
      </c>
      <c r="R20" s="42">
        <v>18280867</v>
      </c>
      <c r="S20" s="42">
        <v>28653161</v>
      </c>
      <c r="T20" s="58">
        <f t="shared" si="13"/>
        <v>819758483</v>
      </c>
      <c r="U20" s="42">
        <v>0</v>
      </c>
      <c r="V20" s="101">
        <f t="shared" si="18"/>
        <v>46934028</v>
      </c>
      <c r="AF20" s="106"/>
      <c r="AG20" s="106"/>
      <c r="AH20" s="21"/>
      <c r="AI20" s="106"/>
      <c r="AJ20" s="106"/>
      <c r="AK20" s="21"/>
    </row>
    <row r="21" spans="1:38">
      <c r="A21" s="111">
        <f t="shared" si="4"/>
        <v>18</v>
      </c>
      <c r="B21" s="112">
        <f t="shared" si="5"/>
        <v>783206432.15131581</v>
      </c>
      <c r="C21" s="112">
        <f t="shared" si="6"/>
        <v>11258592.462175164</v>
      </c>
      <c r="D21" s="112">
        <f>+S22</f>
        <v>35350117</v>
      </c>
      <c r="E21" s="112">
        <f t="shared" si="7"/>
        <v>47400375.995040521</v>
      </c>
      <c r="F21" s="112">
        <f t="shared" si="2"/>
        <v>747856315.15131581</v>
      </c>
      <c r="G21" s="113">
        <v>9.6629999999999994E-2</v>
      </c>
      <c r="H21" s="114">
        <f t="shared" si="8"/>
        <v>8.1000000000000003E-2</v>
      </c>
      <c r="I21" s="115">
        <f t="shared" si="9"/>
        <v>1.4802500000000001E-2</v>
      </c>
      <c r="J21" s="53">
        <f t="shared" si="3"/>
        <v>47633108.732510619</v>
      </c>
      <c r="K21" s="116">
        <f t="shared" si="10"/>
        <v>18</v>
      </c>
      <c r="L21" s="5">
        <f t="shared" si="11"/>
        <v>23</v>
      </c>
      <c r="M21" s="5">
        <f t="shared" si="12"/>
        <v>2</v>
      </c>
      <c r="N21" s="5">
        <f t="shared" si="14"/>
        <v>2026</v>
      </c>
      <c r="O21" s="20">
        <f t="shared" si="17"/>
        <v>375286.41540583881</v>
      </c>
      <c r="P21" s="107">
        <f>+O21*9</f>
        <v>3377577.7386525492</v>
      </c>
      <c r="Q21" s="39">
        <v>46043</v>
      </c>
      <c r="R21" s="101">
        <v>11133026</v>
      </c>
      <c r="S21" s="101">
        <v>36552051</v>
      </c>
      <c r="T21" s="58">
        <f t="shared" si="13"/>
        <v>783206432</v>
      </c>
      <c r="U21" s="101"/>
      <c r="V21" s="101">
        <f t="shared" si="18"/>
        <v>47685077</v>
      </c>
      <c r="AF21" s="106"/>
      <c r="AG21" s="106"/>
      <c r="AH21" s="21"/>
      <c r="AI21" s="106"/>
      <c r="AJ21" s="106"/>
      <c r="AK21" s="21"/>
    </row>
    <row r="22" spans="1:38">
      <c r="A22" s="111">
        <f t="shared" si="4"/>
        <v>19</v>
      </c>
      <c r="B22" s="112">
        <f t="shared" si="5"/>
        <v>747856315.15131581</v>
      </c>
      <c r="C22" s="112">
        <f>R23</f>
        <v>11069535</v>
      </c>
      <c r="D22" s="112">
        <f>S23+86015</f>
        <v>36602050</v>
      </c>
      <c r="E22" s="112">
        <f t="shared" si="7"/>
        <v>47633108.732510619</v>
      </c>
      <c r="F22" s="112">
        <f t="shared" si="2"/>
        <v>711254265.15131581</v>
      </c>
      <c r="G22" s="117">
        <v>0.10299999999999999</v>
      </c>
      <c r="H22" s="114">
        <f t="shared" si="8"/>
        <v>8.1000000000000003E-2</v>
      </c>
      <c r="I22" s="115">
        <f t="shared" si="9"/>
        <v>1.5333333333333332E-2</v>
      </c>
      <c r="J22" s="53">
        <f t="shared" si="3"/>
        <v>47846224.454155907</v>
      </c>
      <c r="K22" s="116">
        <f t="shared" si="10"/>
        <v>17</v>
      </c>
      <c r="L22" s="5">
        <f t="shared" si="11"/>
        <v>23</v>
      </c>
      <c r="M22" s="5">
        <f t="shared" si="12"/>
        <v>3</v>
      </c>
      <c r="N22" s="5">
        <f t="shared" si="14"/>
        <v>2026</v>
      </c>
      <c r="O22" s="20">
        <f>11069535/30</f>
        <v>368984.5</v>
      </c>
      <c r="P22" s="107">
        <f>+O22*7</f>
        <v>2582891.5</v>
      </c>
      <c r="Q22" s="39">
        <v>46078</v>
      </c>
      <c r="R22" s="101">
        <v>12009165</v>
      </c>
      <c r="S22" s="101">
        <v>35350117</v>
      </c>
      <c r="T22" s="58">
        <f t="shared" si="13"/>
        <v>747856315</v>
      </c>
      <c r="U22" s="109">
        <v>41094</v>
      </c>
      <c r="V22" s="101">
        <f t="shared" si="18"/>
        <v>47400376</v>
      </c>
      <c r="Y22" s="21"/>
      <c r="AB22" s="21"/>
      <c r="AF22" s="106"/>
      <c r="AG22" s="106"/>
      <c r="AH22" s="21"/>
      <c r="AI22" s="106"/>
      <c r="AJ22" s="21"/>
      <c r="AK22" s="21"/>
    </row>
    <row r="23" spans="1:38">
      <c r="A23" s="88">
        <f t="shared" si="4"/>
        <v>20</v>
      </c>
      <c r="B23" s="91">
        <f t="shared" si="5"/>
        <v>711254265.15131581</v>
      </c>
      <c r="C23" s="91">
        <f t="shared" si="6"/>
        <v>10905898.732320175</v>
      </c>
      <c r="D23" s="91">
        <v>36940325</v>
      </c>
      <c r="E23" s="91">
        <f t="shared" si="7"/>
        <v>47846224.454155907</v>
      </c>
      <c r="F23" s="91">
        <f t="shared" si="2"/>
        <v>674313940.15131581</v>
      </c>
      <c r="G23" s="55">
        <v>0.10954999999999999</v>
      </c>
      <c r="H23" s="55">
        <f t="shared" si="8"/>
        <v>8.1000000000000003E-2</v>
      </c>
      <c r="I23" s="93">
        <f t="shared" si="9"/>
        <v>1.5879166666666666E-2</v>
      </c>
      <c r="J23" s="94">
        <f t="shared" si="3"/>
        <v>48056808.682676449</v>
      </c>
      <c r="K23" s="95">
        <f t="shared" si="10"/>
        <v>16</v>
      </c>
      <c r="L23">
        <f t="shared" si="11"/>
        <v>23</v>
      </c>
      <c r="M23">
        <f t="shared" si="12"/>
        <v>4</v>
      </c>
      <c r="N23">
        <f t="shared" si="14"/>
        <v>2026</v>
      </c>
      <c r="O23" s="20">
        <f>10905899/30</f>
        <v>363529.96666666667</v>
      </c>
      <c r="P23" s="107">
        <f>+O23*7</f>
        <v>2544709.7666666666</v>
      </c>
      <c r="Q23" s="39">
        <v>46108</v>
      </c>
      <c r="R23" s="101">
        <v>11069535</v>
      </c>
      <c r="S23" s="101">
        <v>36516035</v>
      </c>
      <c r="T23" s="58">
        <f t="shared" si="13"/>
        <v>711340280</v>
      </c>
      <c r="U23" s="109">
        <v>86734</v>
      </c>
      <c r="V23" s="101">
        <f t="shared" si="18"/>
        <v>47672304</v>
      </c>
      <c r="AD23" s="21"/>
      <c r="AF23" s="106"/>
      <c r="AG23" s="106"/>
      <c r="AH23" s="21"/>
    </row>
    <row r="24" spans="1:38" ht="15">
      <c r="A24" s="88">
        <f t="shared" si="4"/>
        <v>21</v>
      </c>
      <c r="B24" s="91">
        <f t="shared" si="5"/>
        <v>674313940.15131581</v>
      </c>
      <c r="C24" s="91">
        <f t="shared" si="6"/>
        <v>10707543.441319436</v>
      </c>
      <c r="D24" s="91">
        <f>+S25</f>
        <v>37349266</v>
      </c>
      <c r="E24" s="91">
        <f t="shared" si="7"/>
        <v>48056808.682676449</v>
      </c>
      <c r="F24" s="91">
        <f t="shared" si="2"/>
        <v>636964674.15131581</v>
      </c>
      <c r="G24" s="55">
        <v>0.10580000000000001</v>
      </c>
      <c r="H24" s="55">
        <f t="shared" si="8"/>
        <v>8.1000000000000003E-2</v>
      </c>
      <c r="I24" s="93">
        <f t="shared" si="9"/>
        <v>1.5566666666666668E-2</v>
      </c>
      <c r="J24" s="94">
        <f t="shared" si="3"/>
        <v>47942963.100318596</v>
      </c>
      <c r="K24" s="95">
        <f t="shared" si="10"/>
        <v>15</v>
      </c>
      <c r="L24">
        <f t="shared" si="11"/>
        <v>23</v>
      </c>
      <c r="M24">
        <f t="shared" si="12"/>
        <v>5</v>
      </c>
      <c r="N24">
        <f t="shared" si="14"/>
        <v>2026</v>
      </c>
      <c r="O24" s="20">
        <f>+C24/30</f>
        <v>356918.11471064785</v>
      </c>
      <c r="P24" s="107">
        <f>+O24*7</f>
        <v>2498426.8029745352</v>
      </c>
      <c r="Q24" s="39">
        <v>46135</v>
      </c>
      <c r="R24" s="101">
        <v>10905899</v>
      </c>
      <c r="S24" s="101">
        <v>37026340</v>
      </c>
      <c r="T24" s="58">
        <f>+T23-S24</f>
        <v>674313940</v>
      </c>
      <c r="U24" s="109">
        <v>1578</v>
      </c>
      <c r="V24" s="101">
        <f>+R24+S24+U24</f>
        <v>47933817</v>
      </c>
      <c r="AA24" s="21"/>
      <c r="AF24" s="106"/>
      <c r="AG24" s="106"/>
      <c r="AH24" s="21"/>
    </row>
    <row r="25" spans="1:38" ht="15">
      <c r="A25" s="88">
        <f t="shared" si="4"/>
        <v>22</v>
      </c>
      <c r="B25" s="91">
        <f t="shared" si="5"/>
        <v>636964674.15131581</v>
      </c>
      <c r="C25" s="91">
        <f t="shared" si="6"/>
        <v>9915416.7609554827</v>
      </c>
      <c r="D25" s="91">
        <f>+S26</f>
        <v>37964176</v>
      </c>
      <c r="E25" s="91">
        <f t="shared" si="7"/>
        <v>47942963.100318596</v>
      </c>
      <c r="F25" s="91">
        <f t="shared" si="2"/>
        <v>599000498.15131581</v>
      </c>
      <c r="G25" s="55">
        <v>0.10935</v>
      </c>
      <c r="H25" s="55">
        <f t="shared" si="8"/>
        <v>8.1000000000000003E-2</v>
      </c>
      <c r="I25" s="93">
        <f t="shared" si="9"/>
        <v>1.5862500000000002E-2</v>
      </c>
      <c r="J25" s="94">
        <f t="shared" si="3"/>
        <v>48049345.727821581</v>
      </c>
      <c r="K25" s="95">
        <f t="shared" si="10"/>
        <v>14</v>
      </c>
      <c r="L25">
        <f t="shared" si="11"/>
        <v>23</v>
      </c>
      <c r="M25">
        <f t="shared" si="12"/>
        <v>6</v>
      </c>
      <c r="N25">
        <f t="shared" si="14"/>
        <v>2026</v>
      </c>
      <c r="O25" s="20">
        <f>+C25/30</f>
        <v>330513.89203184942</v>
      </c>
      <c r="P25" s="107">
        <f>+O25*7</f>
        <v>2313597.244222946</v>
      </c>
      <c r="Q25" s="39">
        <v>46192</v>
      </c>
      <c r="R25" s="101">
        <v>10707543</v>
      </c>
      <c r="S25" s="101">
        <v>37349266</v>
      </c>
      <c r="T25" s="58">
        <f>+T24-S25</f>
        <v>636964674</v>
      </c>
      <c r="U25" s="109">
        <v>640037</v>
      </c>
      <c r="V25" s="101">
        <f>+R25+S25+U25</f>
        <v>48696846</v>
      </c>
      <c r="Z25" s="21"/>
      <c r="AF25" s="106"/>
      <c r="AG25" s="106"/>
      <c r="AH25" s="21"/>
    </row>
    <row r="26" spans="1:38" ht="15">
      <c r="A26" s="118">
        <f t="shared" si="4"/>
        <v>23</v>
      </c>
      <c r="B26" s="119">
        <f t="shared" si="5"/>
        <v>599000498.15131581</v>
      </c>
      <c r="C26" s="119">
        <f t="shared" si="6"/>
        <v>9501645.4019252472</v>
      </c>
      <c r="D26" s="119">
        <f t="shared" ref="D23:D27" si="22">IF(A26=" "," ",+E26-C26)</f>
        <v>38547700.325896338</v>
      </c>
      <c r="E26" s="119">
        <f t="shared" si="7"/>
        <v>48049345.727821581</v>
      </c>
      <c r="F26" s="119">
        <f t="shared" si="2"/>
        <v>560452797.82541943</v>
      </c>
      <c r="G26" s="96">
        <v>0.11529</v>
      </c>
      <c r="H26" s="96">
        <f t="shared" si="8"/>
        <v>8.1000000000000003E-2</v>
      </c>
      <c r="I26" s="97">
        <f t="shared" si="9"/>
        <v>1.6357500000000001E-2</v>
      </c>
      <c r="J26" s="98">
        <f t="shared" si="3"/>
        <v>48208225.747660212</v>
      </c>
      <c r="K26" s="99">
        <f t="shared" si="10"/>
        <v>13</v>
      </c>
      <c r="L26" s="100">
        <f t="shared" si="11"/>
        <v>23</v>
      </c>
      <c r="M26" s="100">
        <f t="shared" si="12"/>
        <v>7</v>
      </c>
      <c r="N26" s="100">
        <f t="shared" si="14"/>
        <v>2026</v>
      </c>
      <c r="O26" s="20">
        <f>9500640/30</f>
        <v>316688</v>
      </c>
      <c r="P26" s="107">
        <f>+O26*7</f>
        <v>2216816</v>
      </c>
      <c r="Q26" s="39">
        <v>46245</v>
      </c>
      <c r="R26" s="101">
        <v>9915417</v>
      </c>
      <c r="S26" s="101">
        <v>37964176</v>
      </c>
      <c r="T26" s="58">
        <f>+T25-S26</f>
        <v>599000498</v>
      </c>
      <c r="U26" s="109">
        <v>1220407</v>
      </c>
      <c r="V26" s="101">
        <f>+R26+S26+U26</f>
        <v>49100000</v>
      </c>
      <c r="W26" s="4"/>
      <c r="X26" s="21"/>
      <c r="AF26" s="106"/>
      <c r="AG26" s="106"/>
      <c r="AH26" s="21"/>
    </row>
    <row r="27" spans="1:38" ht="15">
      <c r="A27" s="118">
        <f t="shared" si="4"/>
        <v>24</v>
      </c>
      <c r="B27" s="119">
        <f t="shared" si="5"/>
        <v>560452797.82541943</v>
      </c>
      <c r="C27" s="119">
        <f t="shared" si="6"/>
        <v>9167606.6404292993</v>
      </c>
      <c r="D27" s="119">
        <f t="shared" si="22"/>
        <v>39040619.107230917</v>
      </c>
      <c r="E27" s="119">
        <f t="shared" si="7"/>
        <v>48208225.747660212</v>
      </c>
      <c r="F27" s="119">
        <f t="shared" si="2"/>
        <v>521412178.71818852</v>
      </c>
      <c r="G27" s="96">
        <v>0.11712</v>
      </c>
      <c r="H27" s="96">
        <f t="shared" si="8"/>
        <v>8.1000000000000003E-2</v>
      </c>
      <c r="I27" s="97">
        <f t="shared" si="9"/>
        <v>1.651E-2</v>
      </c>
      <c r="J27" s="98">
        <f t="shared" si="3"/>
        <v>48253857.078586139</v>
      </c>
      <c r="K27" s="99">
        <f t="shared" si="10"/>
        <v>12</v>
      </c>
      <c r="L27" s="100">
        <f t="shared" si="11"/>
        <v>23</v>
      </c>
      <c r="M27" s="100">
        <f t="shared" si="12"/>
        <v>8</v>
      </c>
      <c r="N27" s="100">
        <f t="shared" si="14"/>
        <v>2026</v>
      </c>
      <c r="O27" s="20">
        <f>9166637/30</f>
        <v>305554.56666666665</v>
      </c>
      <c r="P27" s="107">
        <f>+O27*7</f>
        <v>2138881.9666666668</v>
      </c>
      <c r="Q27" s="40"/>
      <c r="R27" s="40"/>
      <c r="S27" s="41"/>
      <c r="T27" s="41"/>
      <c r="U27" s="40"/>
      <c r="V27" s="40"/>
      <c r="AF27" s="106"/>
      <c r="AG27" s="33"/>
      <c r="AH27" s="21"/>
    </row>
    <row r="28" spans="1:38">
      <c r="A28" s="11">
        <f t="shared" si="4"/>
        <v>25</v>
      </c>
      <c r="B28" s="61">
        <f t="shared" ref="B28:B39" si="23">IF(A28=" "," ",+F27)</f>
        <v>521412178.71818852</v>
      </c>
      <c r="C28" s="61">
        <f t="shared" ref="C28:C39" si="24">IF(A28=" "," ",+B28*I27)</f>
        <v>8608515.0706372932</v>
      </c>
      <c r="D28" s="61">
        <f t="shared" ref="D28:D39" si="25">IF(A28=" "," ",+E28-C28)</f>
        <v>39645342.007948846</v>
      </c>
      <c r="E28" s="61">
        <f t="shared" ref="E28:E39" si="26">IF(A28=" "," ",+J27)</f>
        <v>48253857.078586139</v>
      </c>
      <c r="F28" s="61">
        <f t="shared" ref="F28:F39" si="27">+B28-D28</f>
        <v>481766836.71023965</v>
      </c>
      <c r="G28" s="12">
        <v>0.11712</v>
      </c>
      <c r="H28" s="55">
        <f t="shared" ref="H28:H39" si="28">IF(A28=" "," ",+H27)</f>
        <v>8.1000000000000003E-2</v>
      </c>
      <c r="I28" s="8">
        <f t="shared" ref="I28:I39" si="29">IF(A28=" "," ",((G28+H28)/12))</f>
        <v>1.651E-2</v>
      </c>
      <c r="J28" s="2">
        <f t="shared" ref="J28:J39" si="30">PMT(I28,K28,-F28,0)</f>
        <v>48253857.078586139</v>
      </c>
      <c r="K28" s="7">
        <f t="shared" ref="K28:K39" si="31">IF(A25=" "," ",+$B$2-A28)</f>
        <v>11</v>
      </c>
      <c r="L28">
        <f t="shared" ref="L28:L39" si="32">IF(A28&lt;&gt;" ",+L27," ")</f>
        <v>23</v>
      </c>
      <c r="M28">
        <f t="shared" ref="M28:M39" si="33">IF(AND(A28&lt;&gt;" ")*(M27=12),1,1+M27)</f>
        <v>9</v>
      </c>
      <c r="N28">
        <f t="shared" ref="N28:N39" si="34">IF(AND(A28&lt;&gt;" ")*(M28=1),1+N27,N27)</f>
        <v>2026</v>
      </c>
      <c r="O28" s="20"/>
      <c r="P28" s="107"/>
      <c r="Q28" s="40"/>
      <c r="R28" s="40"/>
      <c r="S28" s="40"/>
      <c r="T28" s="40"/>
      <c r="U28" s="40"/>
      <c r="V28" s="40"/>
      <c r="X28" s="4"/>
    </row>
    <row r="29" spans="1:38">
      <c r="A29" s="11">
        <f t="shared" si="4"/>
        <v>26</v>
      </c>
      <c r="B29" s="61">
        <f t="shared" si="23"/>
        <v>481766836.71023965</v>
      </c>
      <c r="C29" s="61">
        <f t="shared" si="24"/>
        <v>7953970.4740860565</v>
      </c>
      <c r="D29" s="61">
        <f t="shared" si="25"/>
        <v>40299886.604500085</v>
      </c>
      <c r="E29" s="61">
        <f t="shared" si="26"/>
        <v>48253857.078586139</v>
      </c>
      <c r="F29" s="61">
        <f t="shared" si="27"/>
        <v>441466950.10573959</v>
      </c>
      <c r="G29" s="12">
        <v>0.11712</v>
      </c>
      <c r="H29" s="55">
        <f t="shared" si="28"/>
        <v>8.1000000000000003E-2</v>
      </c>
      <c r="I29" s="8">
        <f t="shared" si="29"/>
        <v>1.651E-2</v>
      </c>
      <c r="J29" s="2">
        <f t="shared" si="30"/>
        <v>48253857.078586139</v>
      </c>
      <c r="K29" s="7">
        <f t="shared" si="31"/>
        <v>10</v>
      </c>
      <c r="L29">
        <f t="shared" si="32"/>
        <v>23</v>
      </c>
      <c r="M29">
        <f t="shared" si="33"/>
        <v>10</v>
      </c>
      <c r="N29">
        <f t="shared" si="34"/>
        <v>2026</v>
      </c>
      <c r="O29" s="20"/>
      <c r="P29" s="107"/>
      <c r="Q29" s="40"/>
      <c r="R29" s="40"/>
      <c r="S29" s="40"/>
      <c r="T29" s="40"/>
      <c r="U29" s="40"/>
      <c r="V29" s="40"/>
    </row>
    <row r="30" spans="1:38">
      <c r="A30" s="11">
        <f t="shared" si="4"/>
        <v>27</v>
      </c>
      <c r="B30" s="61">
        <f t="shared" si="23"/>
        <v>441466950.10573959</v>
      </c>
      <c r="C30" s="61">
        <f t="shared" si="24"/>
        <v>7288619.346245761</v>
      </c>
      <c r="D30" s="61">
        <f t="shared" si="25"/>
        <v>40965237.732340381</v>
      </c>
      <c r="E30" s="61">
        <f t="shared" si="26"/>
        <v>48253857.078586139</v>
      </c>
      <c r="F30" s="61">
        <f t="shared" si="27"/>
        <v>400501712.3733992</v>
      </c>
      <c r="G30" s="12">
        <v>0.11712</v>
      </c>
      <c r="H30" s="55">
        <f t="shared" si="28"/>
        <v>8.1000000000000003E-2</v>
      </c>
      <c r="I30" s="8">
        <f t="shared" si="29"/>
        <v>1.651E-2</v>
      </c>
      <c r="J30" s="2">
        <f t="shared" si="30"/>
        <v>48253857.078586139</v>
      </c>
      <c r="K30" s="7">
        <f t="shared" si="31"/>
        <v>9</v>
      </c>
      <c r="L30">
        <f t="shared" si="32"/>
        <v>23</v>
      </c>
      <c r="M30">
        <f t="shared" si="33"/>
        <v>11</v>
      </c>
      <c r="N30">
        <f t="shared" si="34"/>
        <v>2026</v>
      </c>
      <c r="O30" s="20"/>
      <c r="P30" s="107"/>
      <c r="Q30" s="40"/>
      <c r="R30" s="40"/>
      <c r="S30" s="40"/>
      <c r="T30" s="40"/>
      <c r="U30" s="40"/>
      <c r="V30" s="40"/>
    </row>
    <row r="31" spans="1:38">
      <c r="A31" s="11">
        <f t="shared" si="4"/>
        <v>28</v>
      </c>
      <c r="B31" s="61">
        <f t="shared" si="23"/>
        <v>400501712.3733992</v>
      </c>
      <c r="C31" s="61">
        <f t="shared" si="24"/>
        <v>6612283.2712848205</v>
      </c>
      <c r="D31" s="61">
        <f t="shared" si="25"/>
        <v>41641573.80730132</v>
      </c>
      <c r="E31" s="61">
        <f t="shared" si="26"/>
        <v>48253857.078586139</v>
      </c>
      <c r="F31" s="61">
        <f t="shared" si="27"/>
        <v>358860138.56609786</v>
      </c>
      <c r="G31" s="12">
        <v>0.11712</v>
      </c>
      <c r="H31" s="55">
        <f t="shared" si="28"/>
        <v>8.1000000000000003E-2</v>
      </c>
      <c r="I31" s="8">
        <f t="shared" si="29"/>
        <v>1.651E-2</v>
      </c>
      <c r="J31" s="2">
        <f t="shared" si="30"/>
        <v>48253857.078586139</v>
      </c>
      <c r="K31" s="7">
        <f t="shared" si="31"/>
        <v>8</v>
      </c>
      <c r="L31">
        <f t="shared" si="32"/>
        <v>23</v>
      </c>
      <c r="M31">
        <f t="shared" si="33"/>
        <v>12</v>
      </c>
      <c r="N31">
        <f t="shared" si="34"/>
        <v>2026</v>
      </c>
      <c r="O31" s="20"/>
      <c r="P31" s="107"/>
      <c r="Q31" s="40"/>
      <c r="R31" s="40"/>
      <c r="S31" s="40"/>
      <c r="T31" s="40"/>
      <c r="U31" s="40"/>
      <c r="V31" s="40"/>
    </row>
    <row r="32" spans="1:38">
      <c r="A32" s="11">
        <f t="shared" si="4"/>
        <v>29</v>
      </c>
      <c r="B32" s="61">
        <f t="shared" si="23"/>
        <v>358860138.56609786</v>
      </c>
      <c r="C32" s="61">
        <f t="shared" si="24"/>
        <v>5924780.8877262762</v>
      </c>
      <c r="D32" s="61">
        <f t="shared" si="25"/>
        <v>42329076.190859862</v>
      </c>
      <c r="E32" s="61">
        <f t="shared" si="26"/>
        <v>48253857.078586139</v>
      </c>
      <c r="F32" s="61">
        <f t="shared" si="27"/>
        <v>316531062.375238</v>
      </c>
      <c r="G32" s="12">
        <v>0.11712</v>
      </c>
      <c r="H32" s="55">
        <f t="shared" si="28"/>
        <v>8.1000000000000003E-2</v>
      </c>
      <c r="I32" s="8">
        <f t="shared" si="29"/>
        <v>1.651E-2</v>
      </c>
      <c r="J32" s="2">
        <f t="shared" si="30"/>
        <v>48253857.078586146</v>
      </c>
      <c r="K32" s="7">
        <f t="shared" si="31"/>
        <v>7</v>
      </c>
      <c r="L32">
        <f t="shared" si="32"/>
        <v>23</v>
      </c>
      <c r="M32">
        <f t="shared" si="33"/>
        <v>1</v>
      </c>
      <c r="N32">
        <f t="shared" si="34"/>
        <v>2027</v>
      </c>
      <c r="O32" s="20"/>
      <c r="P32" s="107"/>
      <c r="Q32" s="40"/>
      <c r="R32" s="40"/>
      <c r="S32" s="40"/>
      <c r="T32" s="40"/>
      <c r="U32" s="40"/>
      <c r="V32" s="40"/>
    </row>
    <row r="33" spans="1:22">
      <c r="A33" s="11">
        <f t="shared" si="4"/>
        <v>30</v>
      </c>
      <c r="B33" s="61">
        <f t="shared" si="23"/>
        <v>316531062.375238</v>
      </c>
      <c r="C33" s="61">
        <f t="shared" si="24"/>
        <v>5225927.8398151798</v>
      </c>
      <c r="D33" s="61">
        <f t="shared" si="25"/>
        <v>43027929.238770969</v>
      </c>
      <c r="E33" s="61">
        <f t="shared" si="26"/>
        <v>48253857.078586146</v>
      </c>
      <c r="F33" s="61">
        <f t="shared" si="27"/>
        <v>273503133.13646704</v>
      </c>
      <c r="G33" s="12">
        <v>0.11712</v>
      </c>
      <c r="H33" s="55">
        <f t="shared" si="28"/>
        <v>8.1000000000000003E-2</v>
      </c>
      <c r="I33" s="8">
        <f t="shared" si="29"/>
        <v>1.651E-2</v>
      </c>
      <c r="J33" s="2">
        <f t="shared" si="30"/>
        <v>48253857.078586146</v>
      </c>
      <c r="K33" s="7">
        <f t="shared" si="31"/>
        <v>6</v>
      </c>
      <c r="L33">
        <f t="shared" si="32"/>
        <v>23</v>
      </c>
      <c r="M33">
        <f t="shared" si="33"/>
        <v>2</v>
      </c>
      <c r="N33">
        <f t="shared" si="34"/>
        <v>2027</v>
      </c>
      <c r="O33" s="20"/>
      <c r="P33" s="107"/>
      <c r="Q33" s="40"/>
      <c r="R33" s="40"/>
      <c r="S33" s="40"/>
      <c r="T33" s="40"/>
      <c r="U33" s="40"/>
      <c r="V33" s="40"/>
    </row>
    <row r="34" spans="1:22">
      <c r="A34" s="11">
        <f t="shared" si="4"/>
        <v>31</v>
      </c>
      <c r="B34" s="61">
        <f t="shared" si="23"/>
        <v>273503133.13646704</v>
      </c>
      <c r="C34" s="61">
        <f t="shared" si="24"/>
        <v>4515536.7280830713</v>
      </c>
      <c r="D34" s="61">
        <f t="shared" si="25"/>
        <v>43738320.350503072</v>
      </c>
      <c r="E34" s="61">
        <f t="shared" si="26"/>
        <v>48253857.078586146</v>
      </c>
      <c r="F34" s="61">
        <f t="shared" si="27"/>
        <v>229764812.78596395</v>
      </c>
      <c r="G34" s="12">
        <v>0.11712</v>
      </c>
      <c r="H34" s="55">
        <f t="shared" si="28"/>
        <v>8.1000000000000003E-2</v>
      </c>
      <c r="I34" s="8">
        <f t="shared" si="29"/>
        <v>1.651E-2</v>
      </c>
      <c r="J34" s="2">
        <f t="shared" si="30"/>
        <v>48253857.078586139</v>
      </c>
      <c r="K34" s="7">
        <f t="shared" si="31"/>
        <v>5</v>
      </c>
      <c r="L34">
        <f t="shared" si="32"/>
        <v>23</v>
      </c>
      <c r="M34">
        <f t="shared" si="33"/>
        <v>3</v>
      </c>
      <c r="N34">
        <f t="shared" si="34"/>
        <v>2027</v>
      </c>
      <c r="O34" s="20"/>
      <c r="P34" s="107"/>
      <c r="Q34" s="40"/>
      <c r="R34" s="40"/>
      <c r="S34" s="40"/>
      <c r="T34" s="40"/>
      <c r="U34" s="40"/>
      <c r="V34" s="40"/>
    </row>
    <row r="35" spans="1:22">
      <c r="A35" s="11">
        <f t="shared" si="4"/>
        <v>32</v>
      </c>
      <c r="B35" s="61">
        <f t="shared" si="23"/>
        <v>229764812.78596395</v>
      </c>
      <c r="C35" s="61">
        <f t="shared" si="24"/>
        <v>3793417.0590962651</v>
      </c>
      <c r="D35" s="61">
        <f t="shared" si="25"/>
        <v>44460440.019489877</v>
      </c>
      <c r="E35" s="61">
        <f t="shared" si="26"/>
        <v>48253857.078586139</v>
      </c>
      <c r="F35" s="61">
        <f t="shared" si="27"/>
        <v>185304372.76647407</v>
      </c>
      <c r="G35" s="12">
        <v>0.11712</v>
      </c>
      <c r="H35" s="55">
        <f t="shared" si="28"/>
        <v>8.1000000000000003E-2</v>
      </c>
      <c r="I35" s="8">
        <f t="shared" si="29"/>
        <v>1.651E-2</v>
      </c>
      <c r="J35" s="2">
        <f t="shared" si="30"/>
        <v>48253857.078586139</v>
      </c>
      <c r="K35" s="7">
        <f t="shared" si="31"/>
        <v>4</v>
      </c>
      <c r="L35">
        <f t="shared" si="32"/>
        <v>23</v>
      </c>
      <c r="M35">
        <f t="shared" si="33"/>
        <v>4</v>
      </c>
      <c r="N35">
        <f t="shared" si="34"/>
        <v>2027</v>
      </c>
      <c r="O35" s="20"/>
      <c r="P35" s="107"/>
      <c r="Q35" s="40"/>
      <c r="R35" s="40"/>
      <c r="S35" s="40"/>
      <c r="T35" s="40"/>
      <c r="U35" s="40"/>
      <c r="V35" s="40"/>
    </row>
    <row r="36" spans="1:22">
      <c r="A36" s="11">
        <f t="shared" si="4"/>
        <v>33</v>
      </c>
      <c r="B36" s="61">
        <f t="shared" si="23"/>
        <v>185304372.76647407</v>
      </c>
      <c r="C36" s="61">
        <f t="shared" si="24"/>
        <v>3059375.1943744868</v>
      </c>
      <c r="D36" s="61">
        <f t="shared" si="25"/>
        <v>45194481.884211652</v>
      </c>
      <c r="E36" s="61">
        <f t="shared" si="26"/>
        <v>48253857.078586139</v>
      </c>
      <c r="F36" s="61">
        <f t="shared" si="27"/>
        <v>140109890.88226241</v>
      </c>
      <c r="G36" s="12">
        <v>0.11712</v>
      </c>
      <c r="H36" s="55">
        <f t="shared" si="28"/>
        <v>8.1000000000000003E-2</v>
      </c>
      <c r="I36" s="8">
        <f t="shared" si="29"/>
        <v>1.651E-2</v>
      </c>
      <c r="J36" s="2">
        <f t="shared" si="30"/>
        <v>48253857.078586146</v>
      </c>
      <c r="K36" s="7">
        <f t="shared" si="31"/>
        <v>3</v>
      </c>
      <c r="L36">
        <f t="shared" si="32"/>
        <v>23</v>
      </c>
      <c r="M36">
        <f t="shared" si="33"/>
        <v>5</v>
      </c>
      <c r="N36">
        <f t="shared" si="34"/>
        <v>2027</v>
      </c>
      <c r="O36" s="20"/>
      <c r="P36" s="107"/>
      <c r="Q36" s="40"/>
      <c r="R36" s="40"/>
      <c r="S36" s="40"/>
      <c r="T36" s="40"/>
      <c r="U36" s="40"/>
      <c r="V36" s="40"/>
    </row>
    <row r="37" spans="1:22">
      <c r="A37" s="11">
        <f t="shared" si="4"/>
        <v>34</v>
      </c>
      <c r="B37" s="61">
        <f t="shared" si="23"/>
        <v>140109890.88226241</v>
      </c>
      <c r="C37" s="61">
        <f t="shared" si="24"/>
        <v>2313214.2984661525</v>
      </c>
      <c r="D37" s="61">
        <f t="shared" si="25"/>
        <v>45940642.780119993</v>
      </c>
      <c r="E37" s="61">
        <f t="shared" si="26"/>
        <v>48253857.078586146</v>
      </c>
      <c r="F37" s="61">
        <f t="shared" si="27"/>
        <v>94169248.102142423</v>
      </c>
      <c r="G37" s="12">
        <v>0.11712</v>
      </c>
      <c r="H37" s="55">
        <f t="shared" si="28"/>
        <v>8.1000000000000003E-2</v>
      </c>
      <c r="I37" s="8">
        <f t="shared" si="29"/>
        <v>1.651E-2</v>
      </c>
      <c r="J37" s="2">
        <f t="shared" si="30"/>
        <v>48253857.078586146</v>
      </c>
      <c r="K37" s="7">
        <f t="shared" si="31"/>
        <v>2</v>
      </c>
      <c r="L37">
        <f t="shared" si="32"/>
        <v>23</v>
      </c>
      <c r="M37">
        <f t="shared" si="33"/>
        <v>6</v>
      </c>
      <c r="N37">
        <f t="shared" si="34"/>
        <v>2027</v>
      </c>
      <c r="O37" s="20"/>
      <c r="P37" s="107"/>
    </row>
    <row r="38" spans="1:22">
      <c r="A38" s="11">
        <f t="shared" si="4"/>
        <v>35</v>
      </c>
      <c r="B38" s="61">
        <f t="shared" si="23"/>
        <v>94169248.102142423</v>
      </c>
      <c r="C38" s="61">
        <f t="shared" si="24"/>
        <v>1554734.2861663715</v>
      </c>
      <c r="D38" s="61">
        <f t="shared" si="25"/>
        <v>46699122.792419776</v>
      </c>
      <c r="E38" s="61">
        <f t="shared" si="26"/>
        <v>48253857.078586146</v>
      </c>
      <c r="F38" s="61">
        <f t="shared" si="27"/>
        <v>47470125.309722647</v>
      </c>
      <c r="G38" s="12">
        <v>0.11712</v>
      </c>
      <c r="H38" s="55">
        <f t="shared" si="28"/>
        <v>8.1000000000000003E-2</v>
      </c>
      <c r="I38" s="8">
        <f t="shared" si="29"/>
        <v>1.651E-2</v>
      </c>
      <c r="J38" s="2">
        <f t="shared" si="30"/>
        <v>48253857.078586154</v>
      </c>
      <c r="K38" s="7">
        <f t="shared" si="31"/>
        <v>1</v>
      </c>
      <c r="L38">
        <f t="shared" si="32"/>
        <v>23</v>
      </c>
      <c r="M38">
        <f t="shared" si="33"/>
        <v>7</v>
      </c>
      <c r="N38">
        <f t="shared" si="34"/>
        <v>2027</v>
      </c>
      <c r="O38" s="20"/>
      <c r="P38" s="107"/>
    </row>
    <row r="39" spans="1:22">
      <c r="A39" s="11">
        <f t="shared" si="4"/>
        <v>36</v>
      </c>
      <c r="B39" s="61">
        <f t="shared" si="23"/>
        <v>47470125.309722647</v>
      </c>
      <c r="C39" s="61">
        <f t="shared" si="24"/>
        <v>783731.76886352093</v>
      </c>
      <c r="D39" s="61">
        <f t="shared" si="25"/>
        <v>47470125.309722632</v>
      </c>
      <c r="E39" s="61">
        <f t="shared" si="26"/>
        <v>48253857.078586154</v>
      </c>
      <c r="F39" s="61">
        <f t="shared" si="27"/>
        <v>0</v>
      </c>
      <c r="G39" s="12">
        <v>0.11712</v>
      </c>
      <c r="H39" s="55">
        <f t="shared" si="28"/>
        <v>8.1000000000000003E-2</v>
      </c>
      <c r="I39" s="8">
        <f t="shared" si="29"/>
        <v>1.651E-2</v>
      </c>
      <c r="J39" s="2" t="e">
        <f t="shared" si="30"/>
        <v>#NUM!</v>
      </c>
      <c r="K39" s="7">
        <f t="shared" si="31"/>
        <v>0</v>
      </c>
      <c r="L39">
        <f t="shared" si="32"/>
        <v>23</v>
      </c>
      <c r="M39">
        <f t="shared" si="33"/>
        <v>8</v>
      </c>
      <c r="N39">
        <f t="shared" si="34"/>
        <v>2027</v>
      </c>
      <c r="O39" s="20"/>
      <c r="P39" s="107"/>
    </row>
    <row r="40" spans="1:22">
      <c r="A40" s="11"/>
      <c r="B40" s="61"/>
      <c r="C40" s="61"/>
      <c r="D40" s="61"/>
      <c r="E40" s="61"/>
      <c r="F40" s="61"/>
      <c r="G40" s="12"/>
      <c r="H40" s="55"/>
      <c r="I40" s="8"/>
      <c r="J40" s="2"/>
      <c r="K40" s="7"/>
    </row>
    <row r="41" spans="1:22">
      <c r="A41" s="11"/>
      <c r="B41" s="61"/>
      <c r="C41" s="61"/>
      <c r="D41" s="61"/>
      <c r="E41" s="61"/>
      <c r="F41" s="61"/>
      <c r="G41" s="12"/>
      <c r="H41" s="55"/>
      <c r="I41" s="8"/>
      <c r="J41" s="2"/>
      <c r="K41" s="7"/>
    </row>
    <row r="42" spans="1:22">
      <c r="A42" s="11"/>
      <c r="B42" s="61"/>
      <c r="C42" s="61"/>
      <c r="D42" s="61"/>
      <c r="E42" s="61"/>
      <c r="F42" s="61"/>
      <c r="G42" s="12"/>
      <c r="H42" s="55"/>
      <c r="I42" s="8"/>
      <c r="J42" s="2"/>
      <c r="K42" s="7"/>
    </row>
    <row r="43" spans="1:22">
      <c r="A43" s="11"/>
      <c r="B43" s="61"/>
      <c r="C43" s="61"/>
      <c r="D43" s="61"/>
      <c r="E43" s="61"/>
      <c r="F43" s="61"/>
      <c r="G43" s="12"/>
      <c r="H43" s="55"/>
      <c r="I43" s="8"/>
      <c r="J43" s="2"/>
      <c r="K43" s="7"/>
    </row>
    <row r="44" spans="1:22">
      <c r="A44" s="11"/>
      <c r="B44" s="61"/>
      <c r="C44" s="61"/>
      <c r="D44" s="61"/>
      <c r="E44" s="61"/>
      <c r="F44" s="61"/>
      <c r="G44" s="12"/>
      <c r="H44" s="55"/>
      <c r="I44" s="8"/>
      <c r="J44" s="2"/>
      <c r="K44" s="7"/>
    </row>
    <row r="45" spans="1:22">
      <c r="A45" s="11"/>
      <c r="B45" s="61"/>
      <c r="C45" s="61"/>
      <c r="D45" s="61"/>
      <c r="E45" s="61"/>
      <c r="F45" s="61"/>
      <c r="G45" s="12"/>
      <c r="H45" s="55"/>
      <c r="I45" s="8"/>
      <c r="J45" s="2"/>
      <c r="K45" s="7"/>
    </row>
    <row r="46" spans="1:22">
      <c r="A46" s="11"/>
      <c r="B46" s="61"/>
      <c r="C46" s="61"/>
      <c r="D46" s="61"/>
      <c r="E46" s="61"/>
      <c r="F46" s="61"/>
      <c r="G46" s="12"/>
      <c r="H46" s="55"/>
      <c r="I46" s="8"/>
      <c r="J46" s="2"/>
      <c r="K46" s="7"/>
    </row>
    <row r="47" spans="1:22">
      <c r="A47" s="11"/>
      <c r="B47" s="61"/>
      <c r="C47" s="61"/>
      <c r="D47" s="61"/>
      <c r="E47" s="61"/>
      <c r="F47" s="61"/>
      <c r="G47" s="12"/>
      <c r="H47" s="55"/>
      <c r="I47" s="8"/>
      <c r="J47" s="2"/>
      <c r="K47" s="7"/>
    </row>
    <row r="48" spans="1:22">
      <c r="A48" s="11"/>
      <c r="B48" s="61"/>
      <c r="C48" s="61"/>
      <c r="D48" s="61"/>
      <c r="E48" s="61"/>
      <c r="F48" s="61"/>
      <c r="G48" s="12"/>
      <c r="H48" s="55"/>
      <c r="I48" s="8"/>
      <c r="J48" s="2"/>
      <c r="K48" s="7"/>
    </row>
    <row r="49" spans="1:11">
      <c r="A49" s="11"/>
      <c r="B49" s="61"/>
      <c r="C49" s="61"/>
      <c r="D49" s="61"/>
      <c r="E49" s="61"/>
      <c r="F49" s="61"/>
      <c r="G49" s="12"/>
      <c r="H49" s="55"/>
      <c r="I49" s="8"/>
      <c r="J49" s="2"/>
      <c r="K49" s="7"/>
    </row>
    <row r="50" spans="1:11">
      <c r="A50" s="11"/>
      <c r="B50" s="61"/>
      <c r="C50" s="61"/>
      <c r="D50" s="61"/>
      <c r="E50" s="61"/>
      <c r="F50" s="61"/>
      <c r="G50" s="12"/>
      <c r="H50" s="55"/>
      <c r="I50" s="8"/>
      <c r="J50" s="2"/>
      <c r="K50" s="7"/>
    </row>
    <row r="51" spans="1:11">
      <c r="A51" s="11"/>
      <c r="B51" s="61"/>
      <c r="C51" s="61"/>
      <c r="D51" s="61"/>
      <c r="E51" s="61"/>
      <c r="F51" s="61"/>
      <c r="G51" s="12"/>
      <c r="H51" s="55"/>
      <c r="I51" s="8"/>
      <c r="J51" s="2"/>
      <c r="K51" s="7"/>
    </row>
    <row r="52" spans="1:11">
      <c r="A52" s="11"/>
      <c r="B52" s="2"/>
      <c r="C52" s="2"/>
      <c r="D52" s="2"/>
      <c r="E52" s="52"/>
      <c r="F52" s="53"/>
      <c r="G52" s="12"/>
      <c r="H52" s="12"/>
      <c r="I52" s="8"/>
      <c r="J52" s="2"/>
      <c r="K52" s="7"/>
    </row>
    <row r="53" spans="1:11">
      <c r="A53" s="11"/>
      <c r="B53" s="2"/>
      <c r="C53" s="2"/>
      <c r="D53" s="2"/>
      <c r="E53" s="52"/>
      <c r="F53" s="53"/>
      <c r="G53" s="12"/>
      <c r="H53" s="12"/>
      <c r="I53" s="8"/>
      <c r="J53" s="2"/>
      <c r="K53" s="7"/>
    </row>
    <row r="54" spans="1:11">
      <c r="A54" s="11"/>
      <c r="B54" s="2"/>
      <c r="C54" s="2"/>
      <c r="D54" s="2"/>
      <c r="E54" s="52"/>
      <c r="F54" s="53"/>
      <c r="G54" s="12"/>
      <c r="H54" s="12"/>
      <c r="I54" s="8"/>
      <c r="J54" s="2"/>
      <c r="K54" s="7"/>
    </row>
    <row r="55" spans="1:11">
      <c r="A55" s="11"/>
      <c r="B55" s="2"/>
      <c r="C55" s="2"/>
      <c r="D55" s="2"/>
      <c r="E55" s="52"/>
      <c r="F55" s="53"/>
      <c r="G55" s="12"/>
      <c r="H55" s="12"/>
      <c r="I55" s="8"/>
      <c r="J55" s="2"/>
      <c r="K55" s="7"/>
    </row>
    <row r="56" spans="1:11">
      <c r="A56" s="11"/>
      <c r="B56" s="2"/>
      <c r="C56" s="2"/>
      <c r="D56" s="2"/>
      <c r="E56" s="52"/>
      <c r="F56" s="53"/>
      <c r="G56" s="12"/>
      <c r="H56" s="12"/>
      <c r="I56" s="8"/>
      <c r="J56" s="2"/>
      <c r="K56" s="7"/>
    </row>
    <row r="57" spans="1:11">
      <c r="A57" s="11"/>
      <c r="B57" s="2"/>
      <c r="C57" s="2"/>
      <c r="D57" s="2"/>
      <c r="E57" s="52"/>
      <c r="F57" s="53"/>
      <c r="G57" s="12"/>
      <c r="H57" s="12"/>
      <c r="I57" s="8"/>
      <c r="J57" s="2"/>
      <c r="K57" s="7"/>
    </row>
    <row r="58" spans="1:11">
      <c r="A58" s="11"/>
      <c r="B58" s="2"/>
      <c r="C58" s="2"/>
      <c r="D58" s="2"/>
      <c r="E58" s="52"/>
      <c r="F58" s="53"/>
      <c r="G58" s="12"/>
      <c r="H58" s="12"/>
      <c r="I58" s="8"/>
      <c r="J58" s="2"/>
      <c r="K58" s="7"/>
    </row>
    <row r="59" spans="1:11">
      <c r="A59" s="11"/>
      <c r="B59" s="2"/>
      <c r="C59" s="2"/>
      <c r="D59" s="2"/>
      <c r="E59" s="52"/>
      <c r="F59" s="53"/>
      <c r="G59" s="12"/>
      <c r="H59" s="12"/>
      <c r="I59" s="8"/>
      <c r="J59" s="2"/>
      <c r="K59" s="7"/>
    </row>
    <row r="60" spans="1:11">
      <c r="A60" s="11"/>
      <c r="B60" s="2"/>
      <c r="C60" s="2"/>
      <c r="D60" s="2"/>
      <c r="E60" s="52"/>
      <c r="F60" s="53"/>
      <c r="G60" s="12"/>
      <c r="H60" s="12"/>
      <c r="I60" s="8"/>
      <c r="J60" s="2"/>
      <c r="K60" s="7"/>
    </row>
    <row r="61" spans="1:11">
      <c r="A61" s="11"/>
      <c r="B61" s="2"/>
      <c r="C61" s="2"/>
      <c r="D61" s="2"/>
      <c r="E61" s="52"/>
      <c r="F61" s="53"/>
      <c r="G61" s="12"/>
      <c r="H61" s="12"/>
      <c r="I61" s="8"/>
      <c r="J61" s="2"/>
      <c r="K61" s="7"/>
    </row>
    <row r="62" spans="1:11">
      <c r="A62" s="11"/>
      <c r="B62" s="2"/>
      <c r="C62" s="2"/>
      <c r="D62" s="2"/>
      <c r="E62" s="52"/>
      <c r="F62" s="53"/>
      <c r="G62" s="12"/>
      <c r="H62" s="12"/>
      <c r="I62" s="8"/>
      <c r="J62" s="2"/>
      <c r="K62" s="7"/>
    </row>
    <row r="63" spans="1:11">
      <c r="A63" s="11"/>
      <c r="B63" s="2"/>
      <c r="C63" s="2"/>
      <c r="D63" s="2"/>
      <c r="E63" s="52"/>
      <c r="F63" s="53"/>
      <c r="G63" s="12"/>
      <c r="H63" s="12"/>
      <c r="I63" s="8"/>
      <c r="J63" s="2"/>
      <c r="K63" s="7"/>
    </row>
    <row r="64" spans="1:11">
      <c r="A64" s="11"/>
      <c r="B64" s="33"/>
      <c r="C64" s="33"/>
      <c r="D64" s="33"/>
      <c r="E64" s="33"/>
      <c r="F64" s="33"/>
      <c r="G64" s="12"/>
      <c r="H64" s="12"/>
      <c r="I64" s="8"/>
      <c r="J64" s="2"/>
      <c r="K64" s="36"/>
    </row>
    <row r="65" spans="1:11">
      <c r="A65" s="11"/>
      <c r="B65" s="33"/>
      <c r="C65" s="33"/>
      <c r="D65" s="33"/>
      <c r="E65" s="33"/>
      <c r="F65" s="33"/>
      <c r="G65" s="12"/>
      <c r="H65" s="12"/>
      <c r="I65" s="8"/>
      <c r="J65" s="33"/>
      <c r="K65" s="36"/>
    </row>
    <row r="66" spans="1:11">
      <c r="A66" s="11"/>
      <c r="B66" s="33"/>
      <c r="C66" s="33"/>
      <c r="D66" s="33"/>
      <c r="E66" s="33"/>
      <c r="F66" s="33"/>
      <c r="G66" s="12"/>
      <c r="H66" s="12"/>
      <c r="I66" s="8"/>
      <c r="J66" s="33"/>
      <c r="K66" s="36"/>
    </row>
    <row r="67" spans="1:11">
      <c r="A67" s="11"/>
      <c r="B67" s="33"/>
      <c r="C67" s="33"/>
      <c r="D67" s="33"/>
      <c r="E67" s="33"/>
      <c r="F67" s="33"/>
      <c r="G67" s="12"/>
      <c r="H67" s="12"/>
      <c r="I67" s="8"/>
      <c r="J67" s="33"/>
      <c r="K67" s="36"/>
    </row>
    <row r="68" spans="1:11">
      <c r="A68" s="11"/>
      <c r="B68" s="33"/>
      <c r="C68" s="33"/>
      <c r="D68" s="33"/>
      <c r="E68" s="33"/>
      <c r="F68" s="33"/>
      <c r="G68" s="34"/>
      <c r="H68" s="34"/>
      <c r="I68" s="35"/>
      <c r="J68" s="33"/>
      <c r="K68" s="36"/>
    </row>
    <row r="69" spans="1:11">
      <c r="A69" s="11"/>
      <c r="B69" s="33"/>
      <c r="C69" s="33"/>
      <c r="D69" s="33"/>
      <c r="E69" s="33"/>
      <c r="F69" s="33"/>
      <c r="G69" s="34"/>
      <c r="H69" s="34"/>
      <c r="I69" s="35"/>
      <c r="J69" s="33"/>
      <c r="K69" s="36"/>
    </row>
    <row r="70" spans="1:11">
      <c r="A70" s="11"/>
      <c r="B70" s="33"/>
      <c r="C70" s="33"/>
      <c r="D70" s="33"/>
      <c r="E70" s="33"/>
      <c r="F70" s="33"/>
      <c r="G70" s="34"/>
      <c r="H70" s="34"/>
      <c r="I70" s="35"/>
      <c r="J70" s="33"/>
      <c r="K70" s="36"/>
    </row>
    <row r="71" spans="1:11">
      <c r="A71" s="11"/>
      <c r="B71" s="33"/>
      <c r="C71" s="33"/>
      <c r="D71" s="33"/>
      <c r="E71" s="33"/>
      <c r="F71" s="33"/>
      <c r="G71" s="34"/>
      <c r="H71" s="34"/>
      <c r="I71" s="35"/>
      <c r="J71" s="33"/>
      <c r="K71" s="36"/>
    </row>
    <row r="72" spans="1:11">
      <c r="A72" s="11"/>
      <c r="B72" s="33"/>
      <c r="C72" s="33"/>
      <c r="D72" s="33"/>
      <c r="E72" s="33"/>
      <c r="F72" s="33"/>
      <c r="G72" s="34"/>
      <c r="H72" s="34"/>
      <c r="I72" s="35"/>
      <c r="J72" s="33"/>
      <c r="K72" s="36"/>
    </row>
    <row r="73" spans="1:11">
      <c r="A73" s="11"/>
      <c r="B73" s="33"/>
      <c r="C73" s="33"/>
      <c r="D73" s="33"/>
      <c r="E73" s="33"/>
      <c r="F73" s="33"/>
      <c r="G73" s="34"/>
      <c r="H73" s="34"/>
      <c r="I73" s="35"/>
      <c r="J73" s="33"/>
      <c r="K73" s="36"/>
    </row>
    <row r="74" spans="1:11">
      <c r="A74" s="11"/>
      <c r="B74" s="33"/>
      <c r="C74" s="33"/>
      <c r="D74" s="33"/>
      <c r="E74" s="33"/>
      <c r="F74" s="33"/>
      <c r="G74" s="34"/>
      <c r="H74" s="34"/>
      <c r="I74" s="35"/>
      <c r="J74" s="33"/>
      <c r="K74" s="36"/>
    </row>
    <row r="75" spans="1:11">
      <c r="A75" s="11"/>
      <c r="B75" s="33"/>
      <c r="C75" s="33"/>
      <c r="D75" s="33"/>
      <c r="E75" s="33"/>
      <c r="F75" s="33"/>
      <c r="G75" s="34"/>
      <c r="H75" s="34"/>
      <c r="I75" s="35"/>
      <c r="J75" s="33"/>
      <c r="K75" s="36"/>
    </row>
    <row r="76" spans="1:11">
      <c r="A76" s="11"/>
      <c r="B76" s="33"/>
      <c r="C76" s="33"/>
      <c r="D76" s="33"/>
      <c r="E76" s="33"/>
      <c r="F76" s="33"/>
      <c r="G76" s="34"/>
      <c r="H76" s="34"/>
      <c r="I76" s="35"/>
      <c r="J76" s="33"/>
      <c r="K76" s="36"/>
    </row>
    <row r="77" spans="1:11">
      <c r="A77" s="11"/>
      <c r="B77" s="33"/>
      <c r="C77" s="33"/>
      <c r="D77" s="33"/>
      <c r="E77" s="33"/>
      <c r="F77" s="33"/>
      <c r="G77" s="34"/>
      <c r="H77" s="34"/>
      <c r="I77" s="35"/>
      <c r="J77" s="33"/>
      <c r="K77" s="36"/>
    </row>
    <row r="78" spans="1:11">
      <c r="A78" s="11"/>
      <c r="B78" s="33"/>
      <c r="C78" s="33"/>
      <c r="D78" s="33"/>
      <c r="E78" s="33"/>
      <c r="F78" s="33"/>
      <c r="G78" s="34"/>
      <c r="H78" s="34"/>
      <c r="I78" s="35"/>
      <c r="J78" s="33"/>
      <c r="K78" s="36"/>
    </row>
    <row r="79" spans="1:11">
      <c r="A79" s="11"/>
      <c r="B79" s="33"/>
      <c r="C79" s="33"/>
      <c r="D79" s="33"/>
      <c r="E79" s="33"/>
      <c r="F79" s="33"/>
      <c r="G79" s="34"/>
      <c r="H79" s="34"/>
      <c r="I79" s="35"/>
      <c r="J79" s="33"/>
      <c r="K79" s="36"/>
    </row>
    <row r="80" spans="1:11">
      <c r="A80" s="11"/>
      <c r="B80" s="33"/>
      <c r="C80" s="33"/>
      <c r="D80" s="33"/>
      <c r="E80" s="33"/>
      <c r="F80" s="33"/>
      <c r="G80" s="34"/>
      <c r="H80" s="34"/>
      <c r="I80" s="35"/>
      <c r="J80" s="33"/>
      <c r="K80" s="36"/>
    </row>
    <row r="81" spans="1:11">
      <c r="A81" s="11"/>
      <c r="B81" s="33"/>
      <c r="C81" s="33"/>
      <c r="D81" s="33"/>
      <c r="E81" s="33"/>
      <c r="F81" s="33"/>
      <c r="G81" s="34"/>
      <c r="H81" s="34"/>
      <c r="I81" s="35"/>
      <c r="J81" s="33"/>
      <c r="K81" s="36"/>
    </row>
    <row r="82" spans="1:11">
      <c r="A82" s="11"/>
      <c r="B82" s="33"/>
      <c r="C82" s="33"/>
      <c r="D82" s="33"/>
      <c r="E82" s="33"/>
      <c r="F82" s="33"/>
      <c r="G82" s="34"/>
      <c r="H82" s="34"/>
      <c r="I82" s="35"/>
      <c r="J82" s="33"/>
      <c r="K82" s="36"/>
    </row>
    <row r="83" spans="1:11">
      <c r="A83" s="11"/>
      <c r="B83" s="33"/>
      <c r="C83" s="33"/>
      <c r="D83" s="33"/>
      <c r="E83" s="33"/>
      <c r="F83" s="33"/>
      <c r="G83" s="34"/>
      <c r="H83" s="34"/>
      <c r="I83" s="35"/>
      <c r="J83" s="33"/>
      <c r="K83" s="36"/>
    </row>
    <row r="84" spans="1:11">
      <c r="A84" s="11"/>
      <c r="B84" s="33"/>
      <c r="C84" s="33"/>
      <c r="D84" s="33"/>
      <c r="E84" s="33"/>
      <c r="F84" s="33"/>
      <c r="G84" s="34"/>
      <c r="H84" s="34"/>
      <c r="I84" s="35"/>
      <c r="J84" s="33"/>
      <c r="K84" s="36"/>
    </row>
    <row r="85" spans="1:11">
      <c r="A85" s="11"/>
      <c r="B85" s="33"/>
      <c r="C85" s="33"/>
      <c r="D85" s="33"/>
      <c r="E85" s="33"/>
      <c r="F85" s="33"/>
      <c r="G85" s="34"/>
      <c r="H85" s="34"/>
      <c r="I85" s="35"/>
      <c r="J85" s="33"/>
      <c r="K85" s="36"/>
    </row>
    <row r="86" spans="1:11">
      <c r="A86" s="11"/>
      <c r="B86" s="33"/>
      <c r="C86" s="33"/>
      <c r="D86" s="33"/>
      <c r="E86" s="33"/>
      <c r="F86" s="33"/>
      <c r="G86" s="34"/>
      <c r="H86" s="34"/>
      <c r="I86" s="35"/>
      <c r="J86" s="33"/>
      <c r="K86" s="36"/>
    </row>
    <row r="87" spans="1:11">
      <c r="A87" s="11"/>
      <c r="B87" s="33"/>
      <c r="C87" s="33"/>
      <c r="D87" s="33"/>
      <c r="E87" s="33"/>
      <c r="F87" s="33"/>
      <c r="G87" s="34"/>
      <c r="H87" s="34"/>
      <c r="I87" s="35"/>
      <c r="J87" s="33"/>
      <c r="K87" s="36"/>
    </row>
    <row r="88" spans="1:11">
      <c r="A88" s="11"/>
      <c r="B88" s="33"/>
      <c r="C88" s="33"/>
      <c r="D88" s="33"/>
      <c r="E88" s="33"/>
      <c r="F88" s="33"/>
      <c r="G88" s="34"/>
      <c r="H88" s="34"/>
      <c r="I88" s="35"/>
      <c r="J88" s="33"/>
      <c r="K88" s="36"/>
    </row>
    <row r="89" spans="1:11">
      <c r="A89" s="11"/>
      <c r="B89" s="33"/>
      <c r="C89" s="33"/>
      <c r="D89" s="33"/>
      <c r="E89" s="33"/>
      <c r="F89" s="33"/>
      <c r="G89" s="34"/>
      <c r="H89" s="34"/>
      <c r="I89" s="35"/>
      <c r="J89" s="33"/>
      <c r="K89" s="36"/>
    </row>
    <row r="90" spans="1:11">
      <c r="A90" s="11"/>
      <c r="B90" s="33"/>
      <c r="C90" s="33"/>
      <c r="D90" s="33"/>
      <c r="E90" s="33"/>
      <c r="F90" s="33"/>
      <c r="G90" s="34"/>
      <c r="H90" s="34"/>
      <c r="I90" s="35"/>
      <c r="J90" s="33"/>
      <c r="K90" s="36"/>
    </row>
    <row r="91" spans="1:11">
      <c r="A91" s="11"/>
      <c r="B91" s="33"/>
      <c r="C91" s="33"/>
      <c r="D91" s="33"/>
      <c r="E91" s="33"/>
      <c r="F91" s="33"/>
      <c r="G91" s="34"/>
      <c r="H91" s="34"/>
      <c r="I91" s="35"/>
      <c r="J91" s="33"/>
      <c r="K91" s="36"/>
    </row>
    <row r="92" spans="1:11">
      <c r="A92" s="11"/>
      <c r="B92" s="33"/>
      <c r="C92" s="33"/>
      <c r="D92" s="33"/>
      <c r="E92" s="33"/>
      <c r="F92" s="33"/>
      <c r="G92" s="34"/>
      <c r="H92" s="34"/>
      <c r="I92" s="35"/>
      <c r="J92" s="33"/>
      <c r="K92" s="36"/>
    </row>
    <row r="93" spans="1:11">
      <c r="A93" s="11"/>
      <c r="B93" s="33"/>
      <c r="C93" s="33"/>
      <c r="D93" s="33"/>
      <c r="E93" s="33"/>
      <c r="F93" s="33"/>
      <c r="G93" s="34"/>
      <c r="H93" s="34"/>
      <c r="I93" s="35"/>
      <c r="J93" s="33"/>
      <c r="K93" s="36"/>
    </row>
    <row r="94" spans="1:11">
      <c r="A94" s="11"/>
      <c r="B94" s="33"/>
      <c r="C94" s="33"/>
      <c r="D94" s="33"/>
      <c r="E94" s="33"/>
      <c r="F94" s="33"/>
      <c r="G94" s="34"/>
      <c r="H94" s="34"/>
      <c r="I94" s="35"/>
      <c r="J94" s="33"/>
      <c r="K94" s="36"/>
    </row>
    <row r="95" spans="1:11">
      <c r="A95" s="11"/>
      <c r="B95" s="33"/>
      <c r="C95" s="33"/>
      <c r="D95" s="33"/>
      <c r="E95" s="33"/>
      <c r="F95" s="33"/>
      <c r="G95" s="34"/>
      <c r="H95" s="34"/>
      <c r="I95" s="35"/>
      <c r="J95" s="33"/>
      <c r="K95" s="36"/>
    </row>
    <row r="96" spans="1:11">
      <c r="A96" s="11"/>
      <c r="B96" s="33"/>
      <c r="C96" s="33"/>
      <c r="D96" s="33"/>
      <c r="E96" s="33"/>
      <c r="F96" s="33"/>
      <c r="G96" s="34"/>
      <c r="H96" s="34"/>
      <c r="I96" s="35"/>
      <c r="J96" s="33"/>
      <c r="K96" s="36"/>
    </row>
    <row r="97" spans="1:11">
      <c r="A97" s="11"/>
      <c r="B97" s="33"/>
      <c r="C97" s="33"/>
      <c r="D97" s="33"/>
      <c r="E97" s="33"/>
      <c r="F97" s="33"/>
      <c r="G97" s="34"/>
      <c r="H97" s="34"/>
      <c r="I97" s="35"/>
      <c r="J97" s="33"/>
      <c r="K97" s="36"/>
    </row>
    <row r="98" spans="1:11">
      <c r="A98" s="11"/>
      <c r="B98" s="33"/>
      <c r="C98" s="33"/>
      <c r="D98" s="33"/>
      <c r="E98" s="33"/>
      <c r="F98" s="33"/>
      <c r="G98" s="34"/>
      <c r="H98" s="34"/>
      <c r="I98" s="35"/>
      <c r="J98" s="33"/>
      <c r="K98" s="36"/>
    </row>
    <row r="99" spans="1:11">
      <c r="A99" s="11"/>
      <c r="B99" s="33"/>
      <c r="C99" s="33"/>
      <c r="D99" s="33"/>
      <c r="E99" s="33"/>
      <c r="F99" s="33"/>
      <c r="G99" s="34"/>
      <c r="H99" s="34"/>
      <c r="I99" s="35"/>
      <c r="J99" s="33"/>
      <c r="K99" s="36"/>
    </row>
    <row r="100" spans="1:11">
      <c r="A100" s="11"/>
      <c r="B100" s="33"/>
      <c r="C100" s="33"/>
      <c r="D100" s="33"/>
      <c r="E100" s="33"/>
      <c r="F100" s="33"/>
      <c r="G100" s="34"/>
      <c r="H100" s="34"/>
      <c r="I100" s="35"/>
      <c r="J100" s="33"/>
      <c r="K100" s="36"/>
    </row>
    <row r="101" spans="1:11">
      <c r="A101" s="11"/>
      <c r="B101" s="33"/>
      <c r="C101" s="33"/>
      <c r="D101" s="33"/>
      <c r="E101" s="33"/>
      <c r="F101" s="33"/>
      <c r="G101" s="34"/>
      <c r="H101" s="34"/>
      <c r="I101" s="35"/>
      <c r="J101" s="33"/>
      <c r="K101" s="36"/>
    </row>
    <row r="102" spans="1:11">
      <c r="A102" s="11"/>
      <c r="B102" s="33"/>
      <c r="C102" s="33"/>
      <c r="D102" s="33"/>
      <c r="E102" s="33"/>
      <c r="F102" s="33"/>
      <c r="G102" s="34"/>
      <c r="H102" s="34"/>
      <c r="I102" s="35"/>
      <c r="J102" s="33"/>
      <c r="K102" s="36"/>
    </row>
    <row r="103" spans="1:11">
      <c r="A103" s="11"/>
      <c r="B103" s="33"/>
      <c r="C103" s="33"/>
      <c r="D103" s="33"/>
      <c r="E103" s="33"/>
      <c r="F103" s="33"/>
      <c r="G103" s="34"/>
      <c r="H103" s="34"/>
      <c r="I103" s="35"/>
      <c r="J103" s="33"/>
      <c r="K103" s="36"/>
    </row>
    <row r="104" spans="1:11">
      <c r="A104" s="11"/>
      <c r="B104" s="33"/>
      <c r="C104" s="33"/>
      <c r="D104" s="33"/>
      <c r="E104" s="33"/>
      <c r="F104" s="33"/>
      <c r="G104" s="34"/>
      <c r="H104" s="34"/>
      <c r="I104" s="35"/>
      <c r="J104" s="33"/>
      <c r="K104" s="36"/>
    </row>
    <row r="105" spans="1:11">
      <c r="A105" s="11"/>
      <c r="B105" s="33"/>
      <c r="C105" s="33"/>
      <c r="D105" s="33"/>
      <c r="E105" s="33"/>
      <c r="F105" s="33"/>
      <c r="G105" s="34"/>
      <c r="H105" s="34"/>
      <c r="I105" s="35"/>
      <c r="J105" s="33"/>
      <c r="K105" s="36"/>
    </row>
    <row r="106" spans="1:11">
      <c r="A106" s="11"/>
      <c r="B106" s="33"/>
      <c r="C106" s="33"/>
      <c r="D106" s="33"/>
      <c r="E106" s="33"/>
      <c r="F106" s="33"/>
      <c r="G106" s="34"/>
      <c r="H106" s="34"/>
      <c r="I106" s="35"/>
      <c r="J106" s="33"/>
      <c r="K106" s="36"/>
    </row>
    <row r="107" spans="1:11">
      <c r="A107" s="11"/>
      <c r="B107" s="33"/>
      <c r="C107" s="33"/>
      <c r="D107" s="33"/>
      <c r="E107" s="33"/>
      <c r="F107" s="33"/>
      <c r="G107" s="34"/>
      <c r="H107" s="34"/>
      <c r="I107" s="35"/>
      <c r="J107" s="33"/>
      <c r="K107" s="36"/>
    </row>
    <row r="108" spans="1:11">
      <c r="A108" s="11"/>
      <c r="B108" s="33"/>
      <c r="C108" s="33"/>
      <c r="D108" s="33"/>
      <c r="E108" s="33"/>
      <c r="F108" s="33"/>
      <c r="G108" s="34"/>
      <c r="H108" s="34"/>
      <c r="I108" s="35"/>
      <c r="J108" s="33"/>
      <c r="K108" s="36"/>
    </row>
    <row r="109" spans="1:11">
      <c r="A109" s="11"/>
      <c r="B109" s="33"/>
      <c r="C109" s="33"/>
      <c r="D109" s="33"/>
      <c r="E109" s="33"/>
      <c r="F109" s="33"/>
      <c r="G109" s="34"/>
      <c r="H109" s="34"/>
      <c r="I109" s="35"/>
      <c r="J109" s="33"/>
      <c r="K109" s="36"/>
    </row>
    <row r="110" spans="1:11">
      <c r="A110" s="11"/>
      <c r="B110" s="33"/>
      <c r="C110" s="33"/>
      <c r="D110" s="33"/>
      <c r="E110" s="33"/>
      <c r="F110" s="33"/>
      <c r="G110" s="34"/>
      <c r="H110" s="34"/>
      <c r="I110" s="35"/>
      <c r="J110" s="33"/>
      <c r="K110" s="36"/>
    </row>
    <row r="111" spans="1:11">
      <c r="A111" s="11"/>
      <c r="B111" s="33"/>
      <c r="C111" s="33"/>
      <c r="D111" s="33"/>
      <c r="E111" s="33"/>
      <c r="F111" s="33"/>
      <c r="G111" s="34"/>
      <c r="H111" s="34"/>
      <c r="I111" s="35"/>
      <c r="J111" s="33"/>
      <c r="K111" s="36"/>
    </row>
    <row r="112" spans="1:11">
      <c r="A112" s="11"/>
      <c r="B112" s="33"/>
      <c r="C112" s="33"/>
      <c r="D112" s="33"/>
      <c r="E112" s="33"/>
      <c r="F112" s="33"/>
      <c r="G112" s="34"/>
      <c r="H112" s="34"/>
      <c r="I112" s="35"/>
      <c r="J112" s="33"/>
      <c r="K112" s="36"/>
    </row>
    <row r="113" spans="1:11">
      <c r="A113" s="11"/>
      <c r="B113" s="33"/>
      <c r="C113" s="33"/>
      <c r="D113" s="33"/>
      <c r="E113" s="33"/>
      <c r="F113" s="33"/>
      <c r="G113" s="34"/>
      <c r="H113" s="34"/>
      <c r="I113" s="35"/>
      <c r="J113" s="33"/>
      <c r="K113" s="36"/>
    </row>
    <row r="114" spans="1:11">
      <c r="A114" s="11"/>
      <c r="B114" s="33"/>
      <c r="C114" s="33"/>
      <c r="D114" s="33"/>
      <c r="E114" s="33"/>
      <c r="F114" s="33"/>
      <c r="G114" s="34"/>
      <c r="H114" s="34"/>
      <c r="I114" s="35"/>
      <c r="J114" s="33"/>
      <c r="K114" s="36"/>
    </row>
    <row r="115" spans="1:11">
      <c r="A115" s="11"/>
      <c r="B115" s="33"/>
      <c r="C115" s="33"/>
      <c r="D115" s="33"/>
      <c r="E115" s="33"/>
      <c r="F115" s="33"/>
      <c r="G115" s="34"/>
      <c r="H115" s="34"/>
      <c r="I115" s="35"/>
      <c r="J115" s="33"/>
      <c r="K115" s="36"/>
    </row>
    <row r="116" spans="1:11">
      <c r="A116" s="11"/>
      <c r="B116" s="33"/>
      <c r="C116" s="33"/>
      <c r="D116" s="33"/>
      <c r="E116" s="33"/>
      <c r="F116" s="33"/>
      <c r="G116" s="34"/>
      <c r="H116" s="34"/>
      <c r="I116" s="35"/>
      <c r="J116" s="33"/>
      <c r="K116" s="36"/>
    </row>
    <row r="117" spans="1:11">
      <c r="A117" s="11"/>
      <c r="B117" s="33"/>
      <c r="C117" s="33"/>
      <c r="D117" s="33"/>
      <c r="E117" s="33"/>
      <c r="F117" s="33"/>
      <c r="G117" s="34"/>
      <c r="H117" s="34"/>
      <c r="I117" s="35"/>
      <c r="J117" s="33"/>
      <c r="K117" s="36"/>
    </row>
    <row r="118" spans="1:11">
      <c r="A118" s="11"/>
      <c r="B118" s="33"/>
      <c r="C118" s="33"/>
      <c r="D118" s="33"/>
      <c r="E118" s="33"/>
      <c r="F118" s="33"/>
      <c r="G118" s="34"/>
      <c r="H118" s="34"/>
      <c r="I118" s="35"/>
      <c r="J118" s="33"/>
      <c r="K118" s="36"/>
    </row>
    <row r="119" spans="1:11">
      <c r="A119" s="11"/>
      <c r="B119" s="33"/>
      <c r="C119" s="33"/>
      <c r="D119" s="33"/>
      <c r="E119" s="33"/>
      <c r="F119" s="33"/>
      <c r="G119" s="34"/>
      <c r="H119" s="34"/>
      <c r="I119" s="35"/>
      <c r="J119" s="33"/>
      <c r="K119" s="36"/>
    </row>
    <row r="120" spans="1:11">
      <c r="A120" s="11"/>
      <c r="B120" s="33"/>
      <c r="C120" s="33"/>
      <c r="D120" s="33"/>
      <c r="E120" s="33"/>
      <c r="F120" s="33"/>
      <c r="G120" s="34"/>
      <c r="H120" s="34"/>
      <c r="I120" s="35"/>
      <c r="J120" s="33"/>
      <c r="K120" s="36"/>
    </row>
    <row r="121" spans="1:11">
      <c r="A121" s="11"/>
      <c r="B121" s="33"/>
      <c r="C121" s="33"/>
      <c r="D121" s="33"/>
      <c r="E121" s="33"/>
      <c r="F121" s="33"/>
      <c r="G121" s="34"/>
      <c r="H121" s="34"/>
      <c r="I121" s="35"/>
      <c r="J121" s="33"/>
      <c r="K121" s="36"/>
    </row>
    <row r="122" spans="1:11">
      <c r="A122" s="11"/>
      <c r="B122" s="33"/>
      <c r="C122" s="33"/>
      <c r="D122" s="33"/>
      <c r="E122" s="33"/>
      <c r="F122" s="33"/>
      <c r="G122" s="34"/>
      <c r="H122" s="34"/>
      <c r="I122" s="35"/>
      <c r="J122" s="33"/>
      <c r="K122" s="36"/>
    </row>
    <row r="123" spans="1:11">
      <c r="A123" s="11"/>
      <c r="B123" s="33"/>
      <c r="C123" s="33"/>
      <c r="D123" s="33"/>
      <c r="E123" s="33"/>
      <c r="F123" s="33"/>
      <c r="G123" s="34"/>
      <c r="H123" s="34"/>
      <c r="I123" s="35"/>
      <c r="J123" s="33"/>
      <c r="K123" s="36"/>
    </row>
    <row r="124" spans="1:11">
      <c r="A124" s="11"/>
    </row>
  </sheetData>
  <mergeCells count="6">
    <mergeCell ref="Q2:V2"/>
    <mergeCell ref="Q11:Q12"/>
    <mergeCell ref="R11:R12"/>
    <mergeCell ref="S11:S12"/>
    <mergeCell ref="U11:U12"/>
    <mergeCell ref="V11:V12"/>
  </mergeCells>
  <pageMargins left="0.31496062992125984" right="0" top="0.74803149606299213" bottom="0.74803149606299213" header="0.31496062992125984" footer="0.31496062992125984"/>
  <pageSetup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H27"/>
  <sheetViews>
    <sheetView showGridLines="0" workbookViewId="0">
      <selection activeCell="C17" sqref="C17:H25"/>
    </sheetView>
  </sheetViews>
  <sheetFormatPr defaultColWidth="11.42578125" defaultRowHeight="15" customHeight="1"/>
  <cols>
    <col min="2" max="2" width="14.5703125" bestFit="1" customWidth="1"/>
    <col min="3" max="3" width="16.28515625" bestFit="1" customWidth="1"/>
    <col min="4" max="4" width="18.140625" bestFit="1" customWidth="1"/>
    <col min="5" max="5" width="17.140625" customWidth="1"/>
    <col min="6" max="6" width="14" customWidth="1"/>
    <col min="7" max="7" width="16.42578125" customWidth="1"/>
    <col min="8" max="8" width="17.140625" customWidth="1"/>
  </cols>
  <sheetData>
    <row r="1" spans="1:4" ht="14.45"/>
    <row r="2" spans="1:4" ht="14.45">
      <c r="A2" s="132" t="s">
        <v>23</v>
      </c>
      <c r="B2" s="133"/>
      <c r="C2" s="133"/>
      <c r="D2" s="134"/>
    </row>
    <row r="3" spans="1:4" ht="14.45">
      <c r="A3" s="23" t="s">
        <v>36</v>
      </c>
      <c r="B3" s="17" t="s">
        <v>37</v>
      </c>
      <c r="C3" s="18" t="s">
        <v>38</v>
      </c>
      <c r="D3" s="24" t="s">
        <v>41</v>
      </c>
    </row>
    <row r="4" spans="1:4" ht="14.45">
      <c r="A4" s="25"/>
      <c r="B4" s="22"/>
      <c r="C4" s="22"/>
      <c r="D4" s="26"/>
    </row>
    <row r="5" spans="1:4" ht="14.45">
      <c r="A5" s="25"/>
      <c r="B5" s="22"/>
      <c r="C5" s="22"/>
      <c r="D5" s="27"/>
    </row>
    <row r="6" spans="1:4" ht="14.45">
      <c r="A6" s="28"/>
      <c r="B6" s="29"/>
      <c r="C6" s="30"/>
      <c r="D6" s="31"/>
    </row>
    <row r="17" spans="3:8" ht="14.45">
      <c r="C17" s="66" t="s">
        <v>43</v>
      </c>
      <c r="D17" s="67">
        <v>1337272000</v>
      </c>
    </row>
    <row r="18" spans="3:8" ht="14.45">
      <c r="C18" s="135" t="s">
        <v>44</v>
      </c>
      <c r="D18" s="136"/>
      <c r="E18" s="136"/>
      <c r="F18" s="136"/>
      <c r="G18" s="136"/>
      <c r="H18" s="137"/>
    </row>
    <row r="19" spans="3:8" ht="14.45">
      <c r="C19" s="84" t="s">
        <v>45</v>
      </c>
      <c r="D19" s="68" t="s">
        <v>46</v>
      </c>
      <c r="E19" s="69" t="s">
        <v>47</v>
      </c>
      <c r="F19" s="68" t="s">
        <v>48</v>
      </c>
      <c r="G19" s="68" t="s">
        <v>49</v>
      </c>
      <c r="H19" s="85" t="s">
        <v>50</v>
      </c>
    </row>
    <row r="20" spans="3:8" ht="14.45">
      <c r="C20" s="74">
        <v>45562</v>
      </c>
      <c r="D20" s="70">
        <v>20274158</v>
      </c>
      <c r="E20" s="70">
        <v>28151219</v>
      </c>
      <c r="F20" s="70">
        <v>74623</v>
      </c>
      <c r="G20" s="71">
        <f>SUM(D20:F20)</f>
        <v>48500000</v>
      </c>
      <c r="H20" s="75">
        <f>+D17-E20</f>
        <v>1309120781</v>
      </c>
    </row>
    <row r="21" spans="3:8" ht="14.45">
      <c r="C21" s="76">
        <v>45583</v>
      </c>
      <c r="D21" s="58">
        <v>16209753</v>
      </c>
      <c r="E21" s="58">
        <v>32078413</v>
      </c>
      <c r="F21" s="58">
        <v>813</v>
      </c>
      <c r="G21" s="72">
        <f t="shared" ref="G21:G25" si="0">SUM(D21:F21)</f>
        <v>48288979</v>
      </c>
      <c r="H21" s="75">
        <f>+H20-E21</f>
        <v>1277042368</v>
      </c>
    </row>
    <row r="22" spans="3:8" ht="14.45">
      <c r="C22" s="77">
        <v>45616</v>
      </c>
      <c r="D22" s="58">
        <v>19723210</v>
      </c>
      <c r="E22" s="58">
        <v>28103522</v>
      </c>
      <c r="F22" s="58"/>
      <c r="G22" s="72">
        <f t="shared" si="0"/>
        <v>47826732</v>
      </c>
      <c r="H22" s="75">
        <f t="shared" ref="H22:H25" si="1">+H21-E22</f>
        <v>1248938846</v>
      </c>
    </row>
    <row r="23" spans="3:8" ht="14.45">
      <c r="C23" s="78">
        <v>45644</v>
      </c>
      <c r="D23" s="42">
        <v>16756596</v>
      </c>
      <c r="E23" s="41">
        <v>31040239</v>
      </c>
      <c r="F23" s="41"/>
      <c r="G23" s="72">
        <f t="shared" si="0"/>
        <v>47796835</v>
      </c>
      <c r="H23" s="75">
        <f t="shared" si="1"/>
        <v>1217898607</v>
      </c>
    </row>
    <row r="24" spans="3:8" ht="14.45">
      <c r="C24" s="78">
        <v>45686</v>
      </c>
      <c r="D24" s="42">
        <v>20225067</v>
      </c>
      <c r="E24" s="41">
        <v>27477397</v>
      </c>
      <c r="F24" s="41">
        <v>94371</v>
      </c>
      <c r="G24" s="72">
        <f t="shared" si="0"/>
        <v>47796835</v>
      </c>
      <c r="H24" s="75">
        <f t="shared" si="1"/>
        <v>1190421210</v>
      </c>
    </row>
    <row r="25" spans="3:8" ht="14.45">
      <c r="C25" s="79">
        <v>45706</v>
      </c>
      <c r="D25" s="80">
        <v>14042837</v>
      </c>
      <c r="E25" s="81">
        <v>33664704</v>
      </c>
      <c r="F25" s="81"/>
      <c r="G25" s="82">
        <f t="shared" si="0"/>
        <v>47707541</v>
      </c>
      <c r="H25" s="83">
        <f t="shared" si="1"/>
        <v>1156756506</v>
      </c>
    </row>
    <row r="26" spans="3:8" ht="14.45">
      <c r="C26" s="19"/>
      <c r="D26" s="4"/>
      <c r="E26" s="21"/>
      <c r="F26" s="21"/>
      <c r="G26" s="73"/>
      <c r="H26" s="21"/>
    </row>
    <row r="27" spans="3:8" ht="14.45"/>
  </sheetData>
  <mergeCells count="2">
    <mergeCell ref="A2:D2"/>
    <mergeCell ref="C18:H1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A2:E18"/>
  <sheetViews>
    <sheetView workbookViewId="0">
      <selection activeCell="C9" sqref="C9"/>
    </sheetView>
  </sheetViews>
  <sheetFormatPr defaultColWidth="11.42578125" defaultRowHeight="14.45"/>
  <cols>
    <col min="1" max="2" width="13.5703125" bestFit="1" customWidth="1"/>
    <col min="3" max="3" width="13.7109375" bestFit="1" customWidth="1"/>
    <col min="4" max="4" width="13.5703125" bestFit="1" customWidth="1"/>
    <col min="5" max="5" width="16" customWidth="1"/>
    <col min="6" max="6" width="13.5703125" bestFit="1" customWidth="1"/>
  </cols>
  <sheetData>
    <row r="2" spans="1:5">
      <c r="A2" s="138"/>
      <c r="B2" s="138"/>
      <c r="C2" s="138"/>
      <c r="D2" s="138"/>
    </row>
    <row r="4" spans="1:5">
      <c r="A4" s="44" t="s">
        <v>51</v>
      </c>
      <c r="B4" s="45" t="s">
        <v>52</v>
      </c>
      <c r="C4" s="46" t="s">
        <v>53</v>
      </c>
      <c r="D4" s="49" t="s">
        <v>54</v>
      </c>
      <c r="E4" s="49" t="s">
        <v>55</v>
      </c>
    </row>
    <row r="5" spans="1:5">
      <c r="A5" s="47" t="s">
        <v>56</v>
      </c>
      <c r="B5" s="48"/>
      <c r="C5" s="48">
        <v>5854668</v>
      </c>
      <c r="D5" s="48"/>
      <c r="E5" s="48">
        <f>SUM(B5:D5)</f>
        <v>5854668</v>
      </c>
    </row>
    <row r="6" spans="1:5">
      <c r="A6" s="39" t="s">
        <v>57</v>
      </c>
      <c r="B6" s="48">
        <v>31555780</v>
      </c>
      <c r="C6" s="50">
        <f>21769571-C5</f>
        <v>15914903</v>
      </c>
      <c r="D6" s="48">
        <v>623887</v>
      </c>
      <c r="E6" s="48">
        <f>SUM(B6:D6)</f>
        <v>48094570</v>
      </c>
    </row>
    <row r="7" spans="1:5">
      <c r="A7" s="39" t="s">
        <v>58</v>
      </c>
      <c r="B7" s="48">
        <f>63545023-B6</f>
        <v>31989243</v>
      </c>
      <c r="C7" s="48">
        <f>37270618-C6-C5</f>
        <v>15501047</v>
      </c>
      <c r="D7" s="48">
        <f>681218-D6</f>
        <v>57331</v>
      </c>
      <c r="E7" s="48">
        <f>SUM(B7:D7)</f>
        <v>47547621</v>
      </c>
    </row>
    <row r="8" spans="1:5">
      <c r="A8" s="40" t="s">
        <v>59</v>
      </c>
      <c r="B8" s="42">
        <v>96059854</v>
      </c>
      <c r="C8" s="41">
        <f>52147646-C7-C6-C5</f>
        <v>14877028</v>
      </c>
      <c r="D8" s="41">
        <f>1712270-D7-D6</f>
        <v>1031052</v>
      </c>
      <c r="E8" s="48">
        <f>SUM(B8:D8)</f>
        <v>111967934</v>
      </c>
    </row>
    <row r="9" spans="1:5">
      <c r="E9" s="21">
        <f>SUM(E5:E8)</f>
        <v>213464793</v>
      </c>
    </row>
    <row r="11" spans="1:5">
      <c r="A11" s="139"/>
      <c r="B11" s="139"/>
      <c r="C11" s="139"/>
      <c r="D11" s="139"/>
    </row>
    <row r="13" spans="1:5">
      <c r="A13" s="43"/>
      <c r="B13" s="43"/>
      <c r="C13" s="43"/>
    </row>
    <row r="14" spans="1:5">
      <c r="A14" s="21"/>
      <c r="B14" s="21"/>
      <c r="C14" s="21"/>
    </row>
    <row r="15" spans="1:5">
      <c r="A15" s="37"/>
      <c r="B15" s="38"/>
      <c r="C15" s="38"/>
    </row>
    <row r="16" spans="1:5">
      <c r="A16" s="21"/>
      <c r="B16" s="21"/>
      <c r="C16" s="21"/>
    </row>
    <row r="18" spans="1:2">
      <c r="A18" s="21"/>
      <c r="B18" s="21"/>
    </row>
  </sheetData>
  <mergeCells count="2">
    <mergeCell ref="A2:D2"/>
    <mergeCell ref="A11:D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702F402B-F5F1-4661-A7E1-D6C2BB78D066}"/>
</file>

<file path=customXml/itemProps2.xml><?xml version="1.0" encoding="utf-8"?>
<ds:datastoreItem xmlns:ds="http://schemas.openxmlformats.org/officeDocument/2006/customXml" ds:itemID="{2A2A8CE7-A36B-4136-AD2F-3297D6504CD5}"/>
</file>

<file path=customXml/itemProps3.xml><?xml version="1.0" encoding="utf-8"?>
<ds:datastoreItem xmlns:ds="http://schemas.openxmlformats.org/officeDocument/2006/customXml" ds:itemID="{6C6F6E56-5A43-482E-AAF1-9EBA54300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>David Estupiñan</cp:lastModifiedBy>
  <cp:revision/>
  <dcterms:created xsi:type="dcterms:W3CDTF">2022-09-29T19:09:30Z</dcterms:created>
  <dcterms:modified xsi:type="dcterms:W3CDTF">2026-08-12T14:36:42Z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