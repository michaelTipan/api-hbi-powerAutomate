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MADERPOL SAS/"/>
    </mc:Choice>
  </mc:AlternateContent>
  <xr:revisionPtr revIDLastSave="524" documentId="13_ncr:1_{DB78FBCF-EE26-4819-B550-6CDC6FF45C96}" xr6:coauthVersionLast="47" xr6:coauthVersionMax="47" xr10:uidLastSave="{2EB027C0-CCD3-4464-98C1-03F41E066E2D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MADERPOL" sheetId="2" r:id="rId2"/>
    <sheet name="RETENCIONES" sheetId="6" r:id="rId3"/>
    <sheet name="Hoja1" sheetId="3" state="hidden" r:id="rId4"/>
    <sheet name="Hoja2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2" l="1"/>
  <c r="P14" i="2"/>
  <c r="D15" i="2"/>
  <c r="W15" i="2"/>
  <c r="D14" i="2"/>
  <c r="D13" i="2"/>
  <c r="D51" i="6"/>
  <c r="D50" i="6"/>
  <c r="D52" i="6"/>
  <c r="C47" i="6"/>
  <c r="W14" i="2"/>
  <c r="C49" i="6"/>
  <c r="W13" i="2"/>
  <c r="O13" i="2"/>
  <c r="P13" i="2" s="1"/>
  <c r="D11" i="2"/>
  <c r="D10" i="2"/>
  <c r="W12" i="2"/>
  <c r="D44" i="6"/>
  <c r="C41" i="6"/>
  <c r="C43" i="6" s="1"/>
  <c r="W11" i="2"/>
  <c r="D38" i="6"/>
  <c r="C35" i="6" s="1"/>
  <c r="C37" i="6" s="1"/>
  <c r="D9" i="2"/>
  <c r="W10" i="2"/>
  <c r="D32" i="6"/>
  <c r="C31" i="6" s="1"/>
  <c r="D8" i="2"/>
  <c r="W9" i="2"/>
  <c r="D26" i="6"/>
  <c r="C23" i="6" s="1"/>
  <c r="C25" i="6"/>
  <c r="W8" i="2"/>
  <c r="D7" i="2"/>
  <c r="W7" i="2"/>
  <c r="D20" i="6"/>
  <c r="C17" i="6" s="1"/>
  <c r="C19" i="6"/>
  <c r="D6" i="2"/>
  <c r="W6" i="2"/>
  <c r="D14" i="6"/>
  <c r="C13" i="6"/>
  <c r="D5" i="2" l="1"/>
  <c r="W5" i="2"/>
  <c r="C5" i="6"/>
  <c r="D6" i="6"/>
  <c r="D7" i="6"/>
  <c r="D4" i="2"/>
  <c r="H4" i="2"/>
  <c r="F1" i="2"/>
  <c r="B4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W4" i="2"/>
  <c r="D8" i="6" l="1"/>
  <c r="C4" i="2"/>
  <c r="O4" i="2" s="1"/>
  <c r="P4" i="2" l="1"/>
  <c r="Z9" i="2"/>
  <c r="J7" i="5"/>
  <c r="J5" i="5"/>
  <c r="J6" i="5"/>
  <c r="B18" i="5"/>
  <c r="B16" i="5" l="1"/>
  <c r="A16" i="5"/>
  <c r="A18" i="5" s="1"/>
  <c r="D7" i="5"/>
  <c r="D6" i="5"/>
  <c r="D5" i="5"/>
  <c r="C16" i="5" l="1"/>
  <c r="I4" i="2" l="1"/>
  <c r="C12" i="1" l="1"/>
  <c r="G5" i="1"/>
  <c r="G2" i="1"/>
  <c r="G1" i="1"/>
  <c r="B9" i="1"/>
  <c r="B7" i="1"/>
  <c r="A4" i="2" l="1"/>
  <c r="A5" i="2" s="1"/>
  <c r="H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K4" i="2" l="1"/>
  <c r="F2" i="2"/>
  <c r="L5" i="2"/>
  <c r="M5" i="2"/>
  <c r="N5" i="2" s="1"/>
  <c r="A6" i="2"/>
  <c r="H6" i="2" s="1"/>
  <c r="K5" i="2"/>
  <c r="I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Y9" i="2" l="1"/>
  <c r="I6" i="2"/>
  <c r="E4" i="2"/>
  <c r="A7" i="2"/>
  <c r="H7" i="2" s="1"/>
  <c r="M6" i="2"/>
  <c r="N6" i="2" s="1"/>
  <c r="L6" i="2"/>
  <c r="K6" i="2"/>
  <c r="B10" i="1"/>
  <c r="Y11" i="2" l="1"/>
  <c r="K7" i="2"/>
  <c r="F4" i="2"/>
  <c r="M7" i="2"/>
  <c r="I7" i="2"/>
  <c r="L7" i="2"/>
  <c r="A8" i="2"/>
  <c r="H8" i="2" s="1"/>
  <c r="B5" i="2" l="1"/>
  <c r="C5" i="2" s="1"/>
  <c r="O5" i="2" s="1"/>
  <c r="J4" i="2"/>
  <c r="E5" i="2" s="1"/>
  <c r="N7" i="2"/>
  <c r="M8" i="2"/>
  <c r="A9" i="2"/>
  <c r="A10" i="2" s="1"/>
  <c r="K10" i="2" s="1"/>
  <c r="I8" i="2"/>
  <c r="L8" i="2"/>
  <c r="K8" i="2"/>
  <c r="P5" i="2" l="1"/>
  <c r="Z10" i="2" s="1"/>
  <c r="AA9" i="2"/>
  <c r="H9" i="2"/>
  <c r="H10" i="2" s="1"/>
  <c r="F5" i="2"/>
  <c r="J5" i="2" s="1"/>
  <c r="Z11" i="2"/>
  <c r="L9" i="2"/>
  <c r="L10" i="2" s="1"/>
  <c r="N8" i="2"/>
  <c r="A11" i="2"/>
  <c r="K9" i="2"/>
  <c r="M9" i="2"/>
  <c r="M10" i="2" s="1"/>
  <c r="H11" i="2" l="1"/>
  <c r="E6" i="2"/>
  <c r="L11" i="2"/>
  <c r="B6" i="2"/>
  <c r="C6" i="2" s="1"/>
  <c r="O6" i="2" s="1"/>
  <c r="K11" i="2"/>
  <c r="M11" i="2"/>
  <c r="A12" i="2"/>
  <c r="A13" i="2" s="1"/>
  <c r="N9" i="2"/>
  <c r="N10" i="2" s="1"/>
  <c r="AB9" i="2" l="1"/>
  <c r="P6" i="2"/>
  <c r="H12" i="2"/>
  <c r="H13" i="2" s="1"/>
  <c r="I9" i="2"/>
  <c r="AA10" i="2"/>
  <c r="L12" i="2"/>
  <c r="L13" i="2" s="1"/>
  <c r="M12" i="2"/>
  <c r="M13" i="2" s="1"/>
  <c r="K12" i="2"/>
  <c r="N11" i="2"/>
  <c r="A14" i="2"/>
  <c r="K13" i="2"/>
  <c r="H14" i="2" l="1"/>
  <c r="AA11" i="2"/>
  <c r="N12" i="2"/>
  <c r="N13" i="2" s="1"/>
  <c r="M14" i="2"/>
  <c r="L14" i="2"/>
  <c r="A15" i="2"/>
  <c r="K14" i="2"/>
  <c r="H15" i="2" l="1"/>
  <c r="N14" i="2"/>
  <c r="M15" i="2"/>
  <c r="L15" i="2"/>
  <c r="A16" i="2"/>
  <c r="K15" i="2"/>
  <c r="H16" i="2" l="1"/>
  <c r="N15" i="2"/>
  <c r="M16" i="2"/>
  <c r="L16" i="2"/>
  <c r="A17" i="2"/>
  <c r="K16" i="2"/>
  <c r="H17" i="2" l="1"/>
  <c r="N16" i="2"/>
  <c r="M17" i="2"/>
  <c r="L17" i="2"/>
  <c r="A18" i="2"/>
  <c r="K17" i="2"/>
  <c r="H18" i="2" l="1"/>
  <c r="N17" i="2"/>
  <c r="M18" i="2"/>
  <c r="L18" i="2"/>
  <c r="A19" i="2"/>
  <c r="K18" i="2"/>
  <c r="H19" i="2" l="1"/>
  <c r="N18" i="2"/>
  <c r="M19" i="2"/>
  <c r="L19" i="2"/>
  <c r="K19" i="2"/>
  <c r="A20" i="2"/>
  <c r="H20" i="2" s="1"/>
  <c r="N19" i="2" l="1"/>
  <c r="M20" i="2"/>
  <c r="L20" i="2"/>
  <c r="K20" i="2"/>
  <c r="A21" i="2"/>
  <c r="H21" i="2" s="1"/>
  <c r="N20" i="2" l="1"/>
  <c r="M21" i="2"/>
  <c r="L21" i="2"/>
  <c r="K21" i="2"/>
  <c r="A22" i="2"/>
  <c r="H22" i="2" s="1"/>
  <c r="N21" i="2" l="1"/>
  <c r="M22" i="2"/>
  <c r="L22" i="2"/>
  <c r="K22" i="2"/>
  <c r="A23" i="2"/>
  <c r="H23" i="2" s="1"/>
  <c r="M23" i="2" l="1"/>
  <c r="N22" i="2"/>
  <c r="L23" i="2"/>
  <c r="K23" i="2"/>
  <c r="A24" i="2"/>
  <c r="H24" i="2" l="1"/>
  <c r="N23" i="2"/>
  <c r="M24" i="2"/>
  <c r="L24" i="2"/>
  <c r="K24" i="2"/>
  <c r="A25" i="2"/>
  <c r="H25" i="2" l="1"/>
  <c r="N24" i="2"/>
  <c r="M25" i="2"/>
  <c r="L25" i="2"/>
  <c r="K25" i="2"/>
  <c r="A26" i="2"/>
  <c r="H26" i="2" l="1"/>
  <c r="A27" i="2"/>
  <c r="N25" i="2"/>
  <c r="M26" i="2"/>
  <c r="L26" i="2"/>
  <c r="K26" i="2"/>
  <c r="H27" i="2" l="1"/>
  <c r="I27" i="2" s="1"/>
  <c r="A28" i="2"/>
  <c r="L27" i="2"/>
  <c r="M27" i="2"/>
  <c r="K27" i="2"/>
  <c r="N26" i="2"/>
  <c r="N27" i="2" l="1"/>
  <c r="M28" i="2"/>
  <c r="H28" i="2"/>
  <c r="I28" i="2"/>
  <c r="L28" i="2"/>
  <c r="A29" i="2"/>
  <c r="K28" i="2"/>
  <c r="F6" i="2"/>
  <c r="N28" i="2" l="1"/>
  <c r="L29" i="2"/>
  <c r="M29" i="2"/>
  <c r="H29" i="2"/>
  <c r="A30" i="2"/>
  <c r="I29" i="2"/>
  <c r="K29" i="2"/>
  <c r="J6" i="2"/>
  <c r="E7" i="2" s="1"/>
  <c r="B7" i="2"/>
  <c r="C7" i="2" s="1"/>
  <c r="O7" i="2" s="1"/>
  <c r="AC9" i="2" l="1"/>
  <c r="P7" i="2"/>
  <c r="N29" i="2"/>
  <c r="L30" i="2"/>
  <c r="H30" i="2"/>
  <c r="I30" i="2" s="1"/>
  <c r="M30" i="2"/>
  <c r="N30" i="2" s="1"/>
  <c r="A31" i="2"/>
  <c r="K30" i="2"/>
  <c r="I10" i="2"/>
  <c r="A32" i="2" l="1"/>
  <c r="L31" i="2"/>
  <c r="M31" i="2"/>
  <c r="N31" i="2" s="1"/>
  <c r="H31" i="2"/>
  <c r="I31" i="2" s="1"/>
  <c r="K31" i="2"/>
  <c r="F7" i="2"/>
  <c r="L32" i="2" l="1"/>
  <c r="M32" i="2"/>
  <c r="N32" i="2" s="1"/>
  <c r="H32" i="2"/>
  <c r="I32" i="2" s="1"/>
  <c r="A33" i="2"/>
  <c r="K32" i="2"/>
  <c r="B8" i="2"/>
  <c r="C8" i="2" s="1"/>
  <c r="O8" i="2" s="1"/>
  <c r="AB10" i="2"/>
  <c r="J7" i="2"/>
  <c r="E8" i="2" s="1"/>
  <c r="AD9" i="2" l="1"/>
  <c r="P8" i="2"/>
  <c r="L33" i="2"/>
  <c r="M33" i="2"/>
  <c r="N33" i="2" s="1"/>
  <c r="H33" i="2"/>
  <c r="I33" i="2" s="1"/>
  <c r="A34" i="2"/>
  <c r="K33" i="2"/>
  <c r="I11" i="2"/>
  <c r="AB11" i="2"/>
  <c r="AC10" i="2"/>
  <c r="AC11" i="2" s="1"/>
  <c r="A35" i="2" l="1"/>
  <c r="H34" i="2"/>
  <c r="I34" i="2" s="1"/>
  <c r="L34" i="2"/>
  <c r="M34" i="2"/>
  <c r="N34" i="2" s="1"/>
  <c r="K34" i="2"/>
  <c r="F8" i="2"/>
  <c r="A36" i="2" l="1"/>
  <c r="H35" i="2"/>
  <c r="I35" i="2" s="1"/>
  <c r="L35" i="2"/>
  <c r="M35" i="2"/>
  <c r="N35" i="2" s="1"/>
  <c r="K35" i="2"/>
  <c r="B9" i="2"/>
  <c r="C9" i="2" s="1"/>
  <c r="O9" i="2" s="1"/>
  <c r="J8" i="2"/>
  <c r="E9" i="2" s="1"/>
  <c r="AE9" i="2" l="1"/>
  <c r="P9" i="2"/>
  <c r="AD10" i="2" s="1"/>
  <c r="A37" i="2"/>
  <c r="M36" i="2"/>
  <c r="N36" i="2" s="1"/>
  <c r="H36" i="2"/>
  <c r="I36" i="2" s="1"/>
  <c r="L36" i="2"/>
  <c r="K36" i="2"/>
  <c r="F9" i="2"/>
  <c r="I12" i="2"/>
  <c r="AD11" i="2"/>
  <c r="L37" i="2" l="1"/>
  <c r="H37" i="2"/>
  <c r="I37" i="2" s="1"/>
  <c r="A38" i="2"/>
  <c r="M37" i="2"/>
  <c r="N37" i="2" s="1"/>
  <c r="K37" i="2"/>
  <c r="J9" i="2"/>
  <c r="E10" i="2" s="1"/>
  <c r="B10" i="2"/>
  <c r="C10" i="2" s="1"/>
  <c r="O10" i="2" s="1"/>
  <c r="AF9" i="2" l="1"/>
  <c r="P10" i="2"/>
  <c r="L38" i="2"/>
  <c r="M38" i="2"/>
  <c r="N38" i="2" s="1"/>
  <c r="A39" i="2"/>
  <c r="H38" i="2"/>
  <c r="I38" i="2"/>
  <c r="K38" i="2"/>
  <c r="F10" i="2"/>
  <c r="I13" i="2"/>
  <c r="AE10" i="2"/>
  <c r="A40" i="2" l="1"/>
  <c r="H39" i="2"/>
  <c r="L39" i="2"/>
  <c r="L40" i="2" s="1"/>
  <c r="M39" i="2"/>
  <c r="K39" i="2"/>
  <c r="J10" i="2"/>
  <c r="E11" i="2" s="1"/>
  <c r="B11" i="2"/>
  <c r="C11" i="2" s="1"/>
  <c r="O11" i="2" s="1"/>
  <c r="AE11" i="2"/>
  <c r="P11" i="2" l="1"/>
  <c r="AG9" i="2"/>
  <c r="A41" i="2"/>
  <c r="K40" i="2"/>
  <c r="I39" i="2"/>
  <c r="H40" i="2"/>
  <c r="N39" i="2"/>
  <c r="M40" i="2"/>
  <c r="M41" i="2" s="1"/>
  <c r="I14" i="2"/>
  <c r="AF10" i="2"/>
  <c r="A42" i="2" l="1"/>
  <c r="K41" i="2"/>
  <c r="L41" i="2"/>
  <c r="I40" i="2"/>
  <c r="H41" i="2"/>
  <c r="N40" i="2"/>
  <c r="N41" i="2" s="1"/>
  <c r="F11" i="2"/>
  <c r="AF11" i="2"/>
  <c r="L42" i="2" l="1"/>
  <c r="A43" i="2"/>
  <c r="L43" i="2" s="1"/>
  <c r="K42" i="2"/>
  <c r="M42" i="2"/>
  <c r="I41" i="2"/>
  <c r="H42" i="2"/>
  <c r="J11" i="2"/>
  <c r="E12" i="2" s="1"/>
  <c r="B12" i="2"/>
  <c r="C12" i="2" s="1"/>
  <c r="O12" i="2" s="1"/>
  <c r="AH9" i="2" s="1"/>
  <c r="P12" i="2" l="1"/>
  <c r="AG10" i="2" s="1"/>
  <c r="M43" i="2"/>
  <c r="A44" i="2"/>
  <c r="K43" i="2"/>
  <c r="N42" i="2"/>
  <c r="N43" i="2" s="1"/>
  <c r="I42" i="2"/>
  <c r="H43" i="2"/>
  <c r="F12" i="2"/>
  <c r="AG11" i="2"/>
  <c r="I15" i="2"/>
  <c r="A45" i="2" l="1"/>
  <c r="K44" i="2"/>
  <c r="M44" i="2"/>
  <c r="M45" i="2" s="1"/>
  <c r="L44" i="2"/>
  <c r="L45" i="2" s="1"/>
  <c r="I43" i="2"/>
  <c r="H44" i="2"/>
  <c r="J12" i="2"/>
  <c r="E13" i="2" s="1"/>
  <c r="B13" i="2"/>
  <c r="C13" i="2" s="1"/>
  <c r="A46" i="2" l="1"/>
  <c r="M46" i="2" s="1"/>
  <c r="K45" i="2"/>
  <c r="N44" i="2"/>
  <c r="N45" i="2" s="1"/>
  <c r="I44" i="2"/>
  <c r="H45" i="2"/>
  <c r="F13" i="2"/>
  <c r="AH11" i="2"/>
  <c r="I16" i="2"/>
  <c r="N46" i="2" l="1"/>
  <c r="A47" i="2"/>
  <c r="K46" i="2"/>
  <c r="L46" i="2"/>
  <c r="L47" i="2" s="1"/>
  <c r="I45" i="2"/>
  <c r="H46" i="2"/>
  <c r="J13" i="2"/>
  <c r="E14" i="2" s="1"/>
  <c r="B14" i="2"/>
  <c r="C14" i="2" s="1"/>
  <c r="A48" i="2" l="1"/>
  <c r="K47" i="2"/>
  <c r="M47" i="2"/>
  <c r="N47" i="2"/>
  <c r="I46" i="2"/>
  <c r="H47" i="2"/>
  <c r="F14" i="2"/>
  <c r="I17" i="2"/>
  <c r="M48" i="2" l="1"/>
  <c r="N48" i="2" s="1"/>
  <c r="K48" i="2"/>
  <c r="A49" i="2"/>
  <c r="L48" i="2"/>
  <c r="I47" i="2"/>
  <c r="H48" i="2"/>
  <c r="I48" i="2" s="1"/>
  <c r="J14" i="2"/>
  <c r="E15" i="2" s="1"/>
  <c r="B15" i="2"/>
  <c r="C15" i="2" s="1"/>
  <c r="O15" i="2" s="1"/>
  <c r="P15" i="2" s="1"/>
  <c r="H49" i="2" l="1"/>
  <c r="I49" i="2"/>
  <c r="L49" i="2"/>
  <c r="M49" i="2"/>
  <c r="N49" i="2" s="1"/>
  <c r="A50" i="2"/>
  <c r="K49" i="2"/>
  <c r="I18" i="2"/>
  <c r="M50" i="2" l="1"/>
  <c r="N50" i="2" s="1"/>
  <c r="A51" i="2"/>
  <c r="H50" i="2"/>
  <c r="I50" i="2"/>
  <c r="L50" i="2"/>
  <c r="K50" i="2"/>
  <c r="F15" i="2"/>
  <c r="B16" i="2" s="1"/>
  <c r="C16" i="2" s="1"/>
  <c r="H51" i="2" l="1"/>
  <c r="M51" i="2"/>
  <c r="N51" i="2" s="1"/>
  <c r="L51" i="2"/>
  <c r="I51" i="2"/>
  <c r="K51" i="2"/>
  <c r="J15" i="2"/>
  <c r="E16" i="2" s="1"/>
  <c r="D16" i="2" s="1"/>
  <c r="F16" i="2" s="1"/>
  <c r="I19" i="2"/>
  <c r="J16" i="2" l="1"/>
  <c r="E17" i="2" s="1"/>
  <c r="B17" i="2"/>
  <c r="C17" i="2" s="1"/>
  <c r="D17" i="2" l="1"/>
  <c r="F17" i="2" s="1"/>
  <c r="I20" i="2"/>
  <c r="J17" i="2" l="1"/>
  <c r="E18" i="2" s="1"/>
  <c r="B18" i="2"/>
  <c r="C18" i="2" s="1"/>
  <c r="D18" i="2" l="1"/>
  <c r="F18" i="2" s="1"/>
  <c r="I21" i="2"/>
  <c r="J18" i="2" l="1"/>
  <c r="E19" i="2" s="1"/>
  <c r="B19" i="2"/>
  <c r="C19" i="2" s="1"/>
  <c r="D19" i="2" l="1"/>
  <c r="F19" i="2" s="1"/>
  <c r="I22" i="2"/>
  <c r="J19" i="2" l="1"/>
  <c r="E20" i="2" s="1"/>
  <c r="B20" i="2"/>
  <c r="C20" i="2" s="1"/>
  <c r="D20" i="2" l="1"/>
  <c r="F20" i="2" s="1"/>
  <c r="I23" i="2"/>
  <c r="J20" i="2" l="1"/>
  <c r="E21" i="2" s="1"/>
  <c r="B21" i="2"/>
  <c r="C21" i="2" s="1"/>
  <c r="D21" i="2" l="1"/>
  <c r="F21" i="2" s="1"/>
  <c r="I24" i="2"/>
  <c r="J21" i="2" l="1"/>
  <c r="E22" i="2" s="1"/>
  <c r="B22" i="2"/>
  <c r="C22" i="2" s="1"/>
  <c r="D22" i="2" l="1"/>
  <c r="F22" i="2" s="1"/>
  <c r="I25" i="2"/>
  <c r="J22" i="2" l="1"/>
  <c r="E23" i="2" s="1"/>
  <c r="B23" i="2"/>
  <c r="C23" i="2" s="1"/>
  <c r="D23" i="2" l="1"/>
  <c r="F23" i="2" s="1"/>
  <c r="I26" i="2"/>
  <c r="B24" i="2" l="1"/>
  <c r="C24" i="2" s="1"/>
  <c r="J23" i="2"/>
  <c r="E24" i="2" s="1"/>
  <c r="D24" i="2" l="1"/>
  <c r="F24" i="2" s="1"/>
  <c r="B25" i="2" l="1"/>
  <c r="C25" i="2" s="1"/>
  <c r="J24" i="2"/>
  <c r="E25" i="2" s="1"/>
  <c r="D25" i="2" l="1"/>
  <c r="F25" i="2" s="1"/>
  <c r="B26" i="2" l="1"/>
  <c r="C26" i="2" s="1"/>
  <c r="J25" i="2"/>
  <c r="E26" i="2" s="1"/>
  <c r="D26" i="2" l="1"/>
  <c r="F26" i="2" s="1"/>
  <c r="B27" i="2" s="1"/>
  <c r="C27" i="2" s="1"/>
  <c r="J26" i="2" l="1"/>
  <c r="E27" i="2" s="1"/>
  <c r="D27" i="2" s="1"/>
  <c r="F27" i="2" s="1"/>
  <c r="B28" i="2" l="1"/>
  <c r="C28" i="2" s="1"/>
  <c r="J27" i="2"/>
  <c r="E28" i="2" s="1"/>
  <c r="D28" i="2" l="1"/>
  <c r="F28" i="2" s="1"/>
  <c r="B29" i="2" l="1"/>
  <c r="C29" i="2" s="1"/>
  <c r="J28" i="2"/>
  <c r="E29" i="2" s="1"/>
  <c r="D29" i="2" l="1"/>
  <c r="F29" i="2" s="1"/>
  <c r="J29" i="2" s="1"/>
  <c r="E30" i="2" s="1"/>
  <c r="B30" i="2" l="1"/>
  <c r="C30" i="2" s="1"/>
  <c r="D30" i="2" s="1"/>
  <c r="F30" i="2" s="1"/>
  <c r="J30" i="2" l="1"/>
  <c r="E31" i="2" s="1"/>
  <c r="B31" i="2"/>
  <c r="C31" i="2" s="1"/>
  <c r="D31" i="2" l="1"/>
  <c r="F31" i="2" s="1"/>
  <c r="J31" i="2" s="1"/>
  <c r="E32" i="2" s="1"/>
  <c r="B32" i="2" l="1"/>
  <c r="C32" i="2" s="1"/>
  <c r="D32" i="2" s="1"/>
  <c r="F32" i="2" s="1"/>
  <c r="J32" i="2" s="1"/>
  <c r="E33" i="2" s="1"/>
  <c r="B33" i="2" l="1"/>
  <c r="C33" i="2" s="1"/>
  <c r="D33" i="2" s="1"/>
  <c r="F33" i="2" s="1"/>
  <c r="B34" i="2" s="1"/>
  <c r="J33" i="2" l="1"/>
  <c r="E34" i="2" s="1"/>
  <c r="C34" i="2"/>
  <c r="D34" i="2" l="1"/>
  <c r="F34" i="2" s="1"/>
  <c r="B35" i="2" s="1"/>
  <c r="C35" i="2" s="1"/>
  <c r="J34" i="2" l="1"/>
  <c r="E35" i="2" s="1"/>
  <c r="D35" i="2" s="1"/>
  <c r="F35" i="2" s="1"/>
  <c r="J35" i="2" s="1"/>
  <c r="E36" i="2" s="1"/>
  <c r="B36" i="2" l="1"/>
  <c r="C36" i="2" s="1"/>
  <c r="D36" i="2" s="1"/>
  <c r="F36" i="2" s="1"/>
  <c r="J36" i="2" s="1"/>
  <c r="E37" i="2" s="1"/>
  <c r="B37" i="2" l="1"/>
  <c r="C37" i="2" s="1"/>
  <c r="D37" i="2" s="1"/>
  <c r="F37" i="2" s="1"/>
  <c r="J37" i="2" l="1"/>
  <c r="E38" i="2" s="1"/>
  <c r="B38" i="2"/>
  <c r="C38" i="2" l="1"/>
  <c r="D38" i="2" s="1"/>
  <c r="F38" i="2" s="1"/>
  <c r="J38" i="2" l="1"/>
  <c r="E39" i="2" s="1"/>
  <c r="B39" i="2"/>
  <c r="C39" i="2" l="1"/>
  <c r="D39" i="2" s="1"/>
  <c r="F39" i="2" s="1"/>
  <c r="B40" i="2" s="1"/>
  <c r="C40" i="2" s="1"/>
  <c r="J39" i="2" l="1"/>
  <c r="E40" i="2" s="1"/>
  <c r="D40" i="2" s="1"/>
  <c r="F40" i="2" s="1"/>
  <c r="J40" i="2" l="1"/>
  <c r="E41" i="2" s="1"/>
  <c r="B41" i="2"/>
  <c r="C41" i="2" l="1"/>
  <c r="D41" i="2" s="1"/>
  <c r="F41" i="2" s="1"/>
  <c r="J41" i="2" l="1"/>
  <c r="E42" i="2" s="1"/>
  <c r="B42" i="2"/>
  <c r="C42" i="2" l="1"/>
  <c r="D42" i="2" s="1"/>
  <c r="F42" i="2" s="1"/>
  <c r="J42" i="2" l="1"/>
  <c r="E43" i="2" s="1"/>
  <c r="B43" i="2"/>
  <c r="C43" i="2" l="1"/>
  <c r="D43" i="2" s="1"/>
  <c r="F43" i="2" s="1"/>
  <c r="J43" i="2" l="1"/>
  <c r="E44" i="2" s="1"/>
  <c r="B44" i="2"/>
  <c r="C44" i="2" l="1"/>
  <c r="D44" i="2" s="1"/>
  <c r="F44" i="2" s="1"/>
  <c r="J44" i="2" l="1"/>
  <c r="E45" i="2" s="1"/>
  <c r="B45" i="2"/>
  <c r="C45" i="2" l="1"/>
  <c r="D45" i="2" s="1"/>
  <c r="F45" i="2" s="1"/>
  <c r="J45" i="2" l="1"/>
  <c r="E46" i="2" s="1"/>
  <c r="B46" i="2"/>
  <c r="C46" i="2" l="1"/>
  <c r="D46" i="2" s="1"/>
  <c r="F46" i="2" s="1"/>
  <c r="J46" i="2" l="1"/>
  <c r="E47" i="2" s="1"/>
  <c r="B47" i="2"/>
  <c r="C47" i="2" s="1"/>
  <c r="D47" i="2" l="1"/>
  <c r="F47" i="2" s="1"/>
  <c r="B48" i="2" l="1"/>
  <c r="C48" i="2" s="1"/>
  <c r="J47" i="2"/>
  <c r="E48" i="2" s="1"/>
  <c r="D48" i="2" l="1"/>
  <c r="F48" i="2" s="1"/>
  <c r="J48" i="2" l="1"/>
  <c r="E49" i="2" s="1"/>
  <c r="B49" i="2"/>
  <c r="C49" i="2" s="1"/>
  <c r="D49" i="2" l="1"/>
  <c r="F49" i="2" s="1"/>
  <c r="B50" i="2" l="1"/>
  <c r="C50" i="2" s="1"/>
  <c r="J49" i="2"/>
  <c r="E50" i="2" s="1"/>
  <c r="D50" i="2" l="1"/>
  <c r="F50" i="2" s="1"/>
  <c r="J50" i="2" s="1"/>
  <c r="E51" i="2" s="1"/>
  <c r="B51" i="2"/>
  <c r="C51" i="2" s="1"/>
  <c r="D51" i="2" l="1"/>
  <c r="F51" i="2" s="1"/>
  <c r="J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tc={FE0839E8-24C0-4E22-81F1-AD8ECCC43ACB}</author>
  </authors>
  <commentList>
    <comment ref="V13" authorId="0" shapeId="0" xr:uid="{FE0839E8-24C0-4E22-81F1-AD8ECCC43ACB}">
      <text>
        <t>[Threaded comment]
Your version of Excel allows you to read this threaded comment; however, any edits to it will get removed if the file is opened in a newer version of Excel. Learn more: https://go.microsoft.com/fwlink/?linkid=870924
Comment:
    6625</t>
      </text>
    </comment>
  </commentList>
</comments>
</file>

<file path=xl/sharedStrings.xml><?xml version="1.0" encoding="utf-8"?>
<sst xmlns="http://schemas.openxmlformats.org/spreadsheetml/2006/main" count="109" uniqueCount="73">
  <si>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</si>
  <si>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</si>
  <si>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</si>
  <si>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</si>
  <si>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</si>
  <si>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</si>
  <si>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</si>
  <si>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</si>
  <si>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</si>
  <si>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</si>
  <si>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</si>
  <si>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</si>
  <si>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</si>
  <si>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</si>
  <si>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</si>
  <si>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</si>
  <si>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</si>
  <si>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</si>
  <si>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</si>
  <si>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</si>
  <si>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</si>
  <si>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</si>
  <si>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</si>
  <si>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</si>
  <si>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</si>
  <si>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</si>
  <si>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</si>
  <si>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</si>
  <si>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</si>
  <si>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</si>
  <si>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</si>
  <si>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</si>
  <si>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</si>
  <si>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</si>
  <si>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</si>
  <si>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</si>
  <si>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</si>
  <si>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</si>
  <si>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</si>
  <si>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</si>
  <si>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Retenciones</t>
  </si>
  <si>
    <t>Intereses de mora</t>
  </si>
  <si>
    <t>Valor pagado cliente</t>
  </si>
  <si>
    <t>DICIEMRBE</t>
  </si>
  <si>
    <t>VALOR EXTRACTO</t>
  </si>
  <si>
    <t>VAOR PAGADO</t>
  </si>
  <si>
    <t>DIFERENCIA</t>
  </si>
  <si>
    <t>FACTURA 3907</t>
  </si>
  <si>
    <t>FACTURA 4159</t>
  </si>
  <si>
    <t>VALOR RETENCIONES</t>
  </si>
  <si>
    <t>ENERO</t>
  </si>
  <si>
    <t>FACTURA 4473</t>
  </si>
  <si>
    <t>FEBRERO</t>
  </si>
  <si>
    <t>VALOR APLICAR</t>
  </si>
  <si>
    <t>FACTURA 4727</t>
  </si>
  <si>
    <t>MARZO</t>
  </si>
  <si>
    <t>VALOR PAGADO</t>
  </si>
  <si>
    <t>FACTURA 5024</t>
  </si>
  <si>
    <t>ABRIL</t>
  </si>
  <si>
    <t>FACTURA 5322</t>
  </si>
  <si>
    <t>MAYO</t>
  </si>
  <si>
    <t>FACTURA 5638</t>
  </si>
  <si>
    <t>JUNIO</t>
  </si>
  <si>
    <t>FACTURA 6002</t>
  </si>
  <si>
    <t>JULIO</t>
  </si>
  <si>
    <t>FACTURA 6305</t>
  </si>
  <si>
    <t>FACTURA 6624</t>
  </si>
  <si>
    <t>RETENCIONES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</si>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</sst>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164" fontId="1" fillId="0" borderId="0" xfId="1" applyNumberFormat="1" applyFont="1" applyFill="1" applyBorder="1"/>
    <xf numFmtId="43" fontId="7" fillId="3" borderId="4" xfId="1" applyFont="1" applyFill="1" applyBorder="1"/>
    <xf numFmtId="164" fontId="8" fillId="0" borderId="0" xfId="1" applyNumberFormat="1" applyFont="1" applyFill="1"/>
    <xf numFmtId="165" fontId="8" fillId="0" borderId="0" xfId="2" applyNumberFormat="1" applyFont="1" applyFill="1" applyProtection="1">
      <protection locked="0"/>
    </xf>
    <xf numFmtId="165" fontId="1" fillId="0" borderId="0" xfId="2" applyNumberFormat="1" applyFont="1" applyFill="1"/>
    <xf numFmtId="164" fontId="1" fillId="0" borderId="0" xfId="1" applyNumberFormat="1" applyFont="1" applyFill="1"/>
    <xf numFmtId="0" fontId="9" fillId="0" borderId="0" xfId="0" applyFont="1" applyAlignment="1">
      <alignment horizontal="center"/>
    </xf>
    <xf numFmtId="164" fontId="8" fillId="0" borderId="0" xfId="1" applyNumberFormat="1" applyFont="1" applyFill="1" applyBorder="1"/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4" fontId="0" fillId="3" borderId="3" xfId="1" applyNumberFormat="1" applyFont="1" applyFill="1" applyBorder="1"/>
    <xf numFmtId="43" fontId="0" fillId="3" borderId="3" xfId="1" applyFont="1" applyFill="1" applyBorder="1"/>
    <xf numFmtId="43" fontId="7" fillId="3" borderId="3" xfId="1" applyFont="1" applyFill="1" applyBorder="1"/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wrapText="1"/>
    </xf>
    <xf numFmtId="43" fontId="0" fillId="10" borderId="17" xfId="1" applyFont="1" applyFill="1" applyBorder="1"/>
    <xf numFmtId="43" fontId="0" fillId="10" borderId="18" xfId="1" applyFont="1" applyFill="1" applyBorder="1"/>
    <xf numFmtId="9" fontId="0" fillId="10" borderId="19" xfId="1" applyNumberFormat="1" applyFont="1" applyFill="1" applyBorder="1"/>
    <xf numFmtId="43" fontId="0" fillId="0" borderId="8" xfId="1" applyFont="1" applyBorder="1"/>
    <xf numFmtId="43" fontId="0" fillId="0" borderId="9" xfId="1" applyFont="1" applyBorder="1"/>
    <xf numFmtId="164" fontId="0" fillId="0" borderId="9" xfId="1" applyNumberFormat="1" applyFont="1" applyBorder="1"/>
    <xf numFmtId="43" fontId="0" fillId="0" borderId="10" xfId="1" applyFont="1" applyBorder="1"/>
    <xf numFmtId="43" fontId="0" fillId="0" borderId="11" xfId="1" applyFont="1" applyBorder="1"/>
    <xf numFmtId="164" fontId="0" fillId="0" borderId="12" xfId="1" applyNumberFormat="1" applyFont="1" applyBorder="1"/>
    <xf numFmtId="165" fontId="12" fillId="0" borderId="0" xfId="2" applyNumberFormat="1" applyFont="1" applyFill="1" applyProtection="1">
      <protection locked="0"/>
    </xf>
    <xf numFmtId="164" fontId="0" fillId="0" borderId="4" xfId="1" applyNumberFormat="1" applyFont="1" applyBorder="1"/>
    <xf numFmtId="164" fontId="0" fillId="0" borderId="11" xfId="1" applyNumberFormat="1" applyFont="1" applyBorder="1"/>
    <xf numFmtId="3" fontId="13" fillId="0" borderId="0" xfId="0" applyNumberFormat="1" applyFont="1"/>
    <xf numFmtId="3" fontId="0" fillId="0" borderId="0" xfId="0" applyNumberFormat="1"/>
    <xf numFmtId="43" fontId="7" fillId="0" borderId="4" xfId="1" applyFont="1" applyBorder="1"/>
    <xf numFmtId="164" fontId="0" fillId="0" borderId="20" xfId="1" applyNumberFormat="1" applyFont="1" applyBorder="1"/>
    <xf numFmtId="43" fontId="0" fillId="10" borderId="21" xfId="1" applyFont="1" applyFill="1" applyBorder="1"/>
    <xf numFmtId="43" fontId="0" fillId="10" borderId="22" xfId="1" applyFont="1" applyFill="1" applyBorder="1"/>
    <xf numFmtId="9" fontId="0" fillId="10" borderId="23" xfId="1" applyNumberFormat="1" applyFont="1" applyFill="1" applyBorder="1"/>
    <xf numFmtId="43" fontId="0" fillId="0" borderId="24" xfId="1" applyFont="1" applyBorder="1"/>
    <xf numFmtId="43" fontId="0" fillId="0" borderId="25" xfId="1" applyFont="1" applyBorder="1"/>
    <xf numFmtId="164" fontId="0" fillId="0" borderId="25" xfId="1" applyNumberFormat="1" applyFont="1" applyBorder="1"/>
    <xf numFmtId="0" fontId="0" fillId="0" borderId="26" xfId="0" applyBorder="1"/>
    <xf numFmtId="0" fontId="0" fillId="0" borderId="27" xfId="0" applyBorder="1"/>
    <xf numFmtId="164" fontId="0" fillId="0" borderId="28" xfId="0" applyNumberFormat="1" applyBorder="1"/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164" fontId="11" fillId="9" borderId="0" xfId="1" applyNumberFormat="1" applyFont="1" applyFill="1"/>
    <xf numFmtId="165" fontId="11" fillId="9" borderId="0" xfId="2" applyNumberFormat="1" applyFont="1" applyFill="1" applyProtection="1">
      <protection locked="0"/>
    </xf>
    <xf numFmtId="165" fontId="5" fillId="9" borderId="0" xfId="2" applyNumberFormat="1" applyFont="1" applyFill="1" applyProtection="1">
      <protection locked="0"/>
    </xf>
    <xf numFmtId="165" fontId="5" fillId="9" borderId="0" xfId="2" applyNumberFormat="1" applyFont="1" applyFill="1"/>
    <xf numFmtId="164" fontId="5" fillId="9" borderId="0" xfId="1" applyNumberFormat="1" applyFont="1" applyFill="1"/>
    <xf numFmtId="0" fontId="2" fillId="9" borderId="0" xfId="0" applyFont="1" applyFill="1" applyAlignment="1">
      <alignment horizontal="center"/>
    </xf>
    <xf numFmtId="0" fontId="5" fillId="9" borderId="0" xfId="0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70FA6261-886D-40F5-8CDD-B8F6C528736F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3" dT="2026-07-22T17:28:54.41" personId="{70FA6261-886D-40F5-8CDD-B8F6C528736F}" id="{FE0839E8-24C0-4E22-81F1-AD8ECCC43ACB}">
    <text>6625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H51"/>
  <sheetViews>
    <sheetView tabSelected="1" topLeftCell="L1" zoomScaleNormal="100" workbookViewId="0">
      <pane ySplit="3" topLeftCell="C4" activePane="bottomLeft" state="frozen"/>
      <selection pane="bottomLeft" activeCell="AB23" sqref="AB23"/>
    </sheetView>
  </sheetViews>
  <sheetFormatPr defaultColWidth="11.42578125" defaultRowHeight="14.45"/>
  <cols>
    <col min="1" max="1" width="6.85546875" customWidth="1"/>
    <col min="2" max="2" width="14.140625" bestFit="1" customWidth="1"/>
    <col min="3" max="3" width="12.140625" bestFit="1" customWidth="1"/>
    <col min="4" max="4" width="13" bestFit="1" customWidth="1"/>
    <col min="5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2" width="16.28515625" customWidth="1"/>
    <col min="23" max="23" width="15.85546875" bestFit="1" customWidth="1"/>
    <col min="24" max="25" width="13.140625" customWidth="1"/>
    <col min="26" max="27" width="14.42578125" customWidth="1"/>
    <col min="28" max="29" width="13.28515625" bestFit="1" customWidth="1"/>
    <col min="30" max="34" width="13.7109375" bestFit="1" customWidth="1"/>
  </cols>
  <sheetData>
    <row r="1" spans="1:34" ht="15" thickBot="1">
      <c r="A1" s="9" t="s">
        <v>16</v>
      </c>
      <c r="B1" s="12">
        <v>361558842</v>
      </c>
      <c r="C1" s="9" t="s">
        <v>17</v>
      </c>
      <c r="D1" s="11">
        <v>8.7599999999999997E-2</v>
      </c>
      <c r="E1" s="9" t="s">
        <v>18</v>
      </c>
      <c r="F1" s="14">
        <f>((D1+D2)/12)</f>
        <v>1.355E-2</v>
      </c>
      <c r="H1" s="20" t="s">
        <v>19</v>
      </c>
      <c r="J1" s="53">
        <v>45945</v>
      </c>
      <c r="O1" s="53"/>
    </row>
    <row r="2" spans="1:34" ht="15" thickBot="1">
      <c r="A2" s="9" t="s">
        <v>20</v>
      </c>
      <c r="B2" s="13">
        <v>48</v>
      </c>
      <c r="C2" s="9" t="s">
        <v>21</v>
      </c>
      <c r="D2" s="11">
        <v>7.4999999999999997E-2</v>
      </c>
      <c r="E2" s="9" t="s">
        <v>22</v>
      </c>
      <c r="F2" s="15">
        <f>+PMT(F1,B2,-B1,0)</f>
        <v>10294888.020975336</v>
      </c>
      <c r="G2" s="15"/>
      <c r="J2" s="55">
        <v>248</v>
      </c>
      <c r="O2" s="53"/>
      <c r="Q2" s="101" t="s">
        <v>23</v>
      </c>
      <c r="R2" s="102"/>
      <c r="S2" s="102"/>
      <c r="T2" s="102"/>
      <c r="U2" s="102"/>
      <c r="V2" s="102"/>
      <c r="W2" s="103"/>
    </row>
    <row r="3" spans="1:34" ht="27" thickBot="1">
      <c r="A3" s="66"/>
      <c r="B3" s="67" t="s">
        <v>24</v>
      </c>
      <c r="C3" s="67" t="s">
        <v>25</v>
      </c>
      <c r="D3" s="67" t="s">
        <v>26</v>
      </c>
      <c r="E3" s="67" t="s">
        <v>13</v>
      </c>
      <c r="F3" s="67" t="s">
        <v>27</v>
      </c>
      <c r="G3" s="67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6" t="s">
        <v>35</v>
      </c>
      <c r="Q3" s="72" t="s">
        <v>36</v>
      </c>
      <c r="R3" s="73" t="s">
        <v>37</v>
      </c>
      <c r="S3" s="74" t="s">
        <v>38</v>
      </c>
      <c r="T3" s="74" t="s">
        <v>39</v>
      </c>
      <c r="U3" s="74" t="s">
        <v>40</v>
      </c>
      <c r="V3" s="73" t="s">
        <v>41</v>
      </c>
      <c r="W3" s="75" t="s">
        <v>42</v>
      </c>
    </row>
    <row r="4" spans="1:34">
      <c r="A4" s="10">
        <f>+TasaImplicita!A12</f>
        <v>1</v>
      </c>
      <c r="B4" s="60">
        <f>+B1</f>
        <v>361558842</v>
      </c>
      <c r="C4" s="60">
        <f>+B4*F1</f>
        <v>4899122.3091000002</v>
      </c>
      <c r="D4" s="60">
        <f>+S4</f>
        <v>6048982</v>
      </c>
      <c r="E4" s="60">
        <f>+F2</f>
        <v>10294888.020975336</v>
      </c>
      <c r="F4" s="60">
        <f>+B4-D4</f>
        <v>355509860</v>
      </c>
      <c r="G4" s="61">
        <v>8.7590000000000001E-2</v>
      </c>
      <c r="H4" s="54">
        <f>+D2</f>
        <v>7.4999999999999997E-2</v>
      </c>
      <c r="I4" s="62">
        <f>((G4+H4)/12)</f>
        <v>1.3549166666666668E-2</v>
      </c>
      <c r="J4" s="63">
        <f>PMT(I4,K4,-F4,0)</f>
        <v>10275824.827928053</v>
      </c>
      <c r="K4" s="64">
        <f>+$B$2-A4</f>
        <v>47</v>
      </c>
      <c r="L4">
        <v>15</v>
      </c>
      <c r="M4">
        <v>11</v>
      </c>
      <c r="N4">
        <v>2025</v>
      </c>
      <c r="O4" s="21">
        <f t="shared" ref="O4:O9" si="0">+C4/30</f>
        <v>163304.07696999999</v>
      </c>
      <c r="P4" s="33">
        <f>+O4*15</f>
        <v>2449561.1545500001</v>
      </c>
      <c r="Q4" s="69">
        <v>45972</v>
      </c>
      <c r="R4" s="70">
        <v>4245906</v>
      </c>
      <c r="S4" s="70">
        <v>6048982</v>
      </c>
      <c r="T4" s="70">
        <f>B4-S4</f>
        <v>355509860</v>
      </c>
      <c r="U4" s="70"/>
      <c r="V4" s="71">
        <v>0</v>
      </c>
      <c r="W4" s="70">
        <f>+R4+S4+V4</f>
        <v>10294888</v>
      </c>
      <c r="AA4" s="22"/>
    </row>
    <row r="5" spans="1:34">
      <c r="A5" s="10">
        <f>IF(AND(A4&lt;$B$2)*(A4&lt;&gt;0),1+A4," ")</f>
        <v>2</v>
      </c>
      <c r="B5" s="60">
        <f>IF(A5=" "," ",+F4)</f>
        <v>355509860</v>
      </c>
      <c r="C5" s="60">
        <f>IF(A5=" "," ",+B5*I4)</f>
        <v>4816862.3447833341</v>
      </c>
      <c r="D5" s="60">
        <f>+S5</f>
        <v>5779359</v>
      </c>
      <c r="E5" s="60">
        <f>IF(A5=" "," ",+J4)</f>
        <v>10275824.827928053</v>
      </c>
      <c r="F5" s="60">
        <f t="shared" ref="F5:F26" si="1">+B5-D5</f>
        <v>349730501</v>
      </c>
      <c r="G5" s="61">
        <v>8.8429999999999995E-2</v>
      </c>
      <c r="H5" s="54">
        <f>IF(A5=" "," ",+H4)</f>
        <v>7.4999999999999997E-2</v>
      </c>
      <c r="I5" s="62">
        <f>IF(A5=" "," ",((G5+H5)/12))</f>
        <v>1.3619166666666667E-2</v>
      </c>
      <c r="J5" s="63">
        <f>PMT(I5,K5,-F5,0)</f>
        <v>10281417.001251334</v>
      </c>
      <c r="K5" s="64">
        <f>IF(A2=" "," ",+$B$2-A5)</f>
        <v>46</v>
      </c>
      <c r="L5">
        <f>IF(A5&lt;&gt;" ",+L4," ")</f>
        <v>15</v>
      </c>
      <c r="M5">
        <f>IF(AND(A5&lt;&gt;" ")*(M4=12),1,1+M4)</f>
        <v>12</v>
      </c>
      <c r="N5">
        <f>IF(AND(A5&lt;&gt;" ")*(M5=1),1+N4,N4)</f>
        <v>2025</v>
      </c>
      <c r="O5" s="21">
        <f t="shared" si="0"/>
        <v>160562.07815944447</v>
      </c>
      <c r="P5" s="33">
        <f>+O5*19</f>
        <v>3050679.485029445</v>
      </c>
      <c r="Q5" s="57">
        <v>46000</v>
      </c>
      <c r="R5" s="56">
        <v>4495738</v>
      </c>
      <c r="S5" s="56">
        <v>5779359</v>
      </c>
      <c r="T5" s="56">
        <f>+T4-S5</f>
        <v>349730501</v>
      </c>
      <c r="U5" s="56">
        <v>510761</v>
      </c>
      <c r="V5" s="59">
        <v>0</v>
      </c>
      <c r="W5" s="56">
        <f t="shared" ref="W5:W14" si="2">+R5+S5+V5-U5</f>
        <v>9764336</v>
      </c>
    </row>
    <row r="6" spans="1:34">
      <c r="A6" s="10">
        <f t="shared" ref="A6:A51" si="3">IF(AND(A5&lt;$B$2)*(A5&lt;&gt;0),1+A5," ")</f>
        <v>3</v>
      </c>
      <c r="B6" s="60">
        <f t="shared" ref="B6:B26" si="4">IF(A6=" "," ",+F5)</f>
        <v>349730501</v>
      </c>
      <c r="C6" s="60">
        <f t="shared" ref="C6:C26" si="5">IF(A6=" "," ",+B6*I5)</f>
        <v>4763037.9815358333</v>
      </c>
      <c r="D6" s="60">
        <f>+S6</f>
        <v>5677147</v>
      </c>
      <c r="E6" s="60">
        <f t="shared" ref="E6:E26" si="6">IF(A6=" "," ",+J5)</f>
        <v>10281417.001251334</v>
      </c>
      <c r="F6" s="60">
        <f t="shared" si="1"/>
        <v>344053354</v>
      </c>
      <c r="G6" s="85">
        <v>9.0249999999999997E-2</v>
      </c>
      <c r="H6" s="54">
        <f t="shared" ref="H6:H26" si="7">IF(A6=" "," ",+H5)</f>
        <v>7.4999999999999997E-2</v>
      </c>
      <c r="I6" s="62">
        <f t="shared" ref="I6:I26" si="8">IF(A6=" "," ",((G6+H6)/12))</f>
        <v>1.3770833333333335E-2</v>
      </c>
      <c r="J6" s="63">
        <f t="shared" ref="J6:J26" si="9">PMT(I6,K6,-F6,0)</f>
        <v>10308582.603550395</v>
      </c>
      <c r="K6" s="64">
        <f t="shared" ref="K6:K26" si="10">IF(A3=" "," ",+$B$2-A6)</f>
        <v>45</v>
      </c>
      <c r="L6">
        <f t="shared" ref="L6:L26" si="11">IF(A6&lt;&gt;" ",+L5," ")</f>
        <v>15</v>
      </c>
      <c r="M6">
        <f t="shared" ref="M6:M26" si="12">IF(AND(A6&lt;&gt;" ")*(M5=12),1,1+M5)</f>
        <v>1</v>
      </c>
      <c r="N6">
        <f>IF(AND(A6&lt;&gt;" ")*(M6=1),1+N5,N5)</f>
        <v>2026</v>
      </c>
      <c r="O6" s="21">
        <f t="shared" si="0"/>
        <v>158767.93271786111</v>
      </c>
      <c r="P6" s="33">
        <f>+O6*21</f>
        <v>3334126.5870750835</v>
      </c>
      <c r="Q6" s="57">
        <v>46030</v>
      </c>
      <c r="R6" s="56">
        <v>4604270</v>
      </c>
      <c r="S6" s="56">
        <v>5677147</v>
      </c>
      <c r="T6" s="56">
        <f>+T5-S6</f>
        <v>344053354</v>
      </c>
      <c r="U6" s="56">
        <v>334543</v>
      </c>
      <c r="V6" s="59">
        <v>0</v>
      </c>
      <c r="W6" s="56">
        <f t="shared" si="2"/>
        <v>9946874</v>
      </c>
      <c r="Y6" s="22"/>
    </row>
    <row r="7" spans="1:34">
      <c r="A7" s="10">
        <f t="shared" si="3"/>
        <v>4</v>
      </c>
      <c r="B7" s="60">
        <f t="shared" si="4"/>
        <v>344053354</v>
      </c>
      <c r="C7" s="60">
        <f t="shared" si="5"/>
        <v>4737901.3957083337</v>
      </c>
      <c r="D7" s="60">
        <f>+S7</f>
        <v>5524833</v>
      </c>
      <c r="E7" s="60">
        <f t="shared" si="6"/>
        <v>10308582.603550395</v>
      </c>
      <c r="F7" s="60">
        <f t="shared" si="1"/>
        <v>338528521</v>
      </c>
      <c r="G7" s="85">
        <v>9.6680000000000002E-2</v>
      </c>
      <c r="H7" s="54">
        <f t="shared" si="7"/>
        <v>7.4999999999999997E-2</v>
      </c>
      <c r="I7" s="62">
        <f t="shared" si="8"/>
        <v>1.4306666666666667E-2</v>
      </c>
      <c r="J7" s="63">
        <f t="shared" si="9"/>
        <v>10420980.243962361</v>
      </c>
      <c r="K7" s="64">
        <f t="shared" si="10"/>
        <v>44</v>
      </c>
      <c r="L7">
        <f t="shared" si="11"/>
        <v>15</v>
      </c>
      <c r="M7">
        <f t="shared" si="12"/>
        <v>2</v>
      </c>
      <c r="N7">
        <f t="shared" ref="N7:N26" si="13">IF(AND(A7&lt;&gt;" ")*(M7=1),1+N6,N6)</f>
        <v>2026</v>
      </c>
      <c r="O7" s="21">
        <f t="shared" si="0"/>
        <v>157930.04652361112</v>
      </c>
      <c r="P7" s="33">
        <f>+O7*22</f>
        <v>3474461.0235194447</v>
      </c>
      <c r="Q7" s="57">
        <v>46059</v>
      </c>
      <c r="R7" s="56">
        <v>4422041</v>
      </c>
      <c r="S7" s="56">
        <v>5524833</v>
      </c>
      <c r="T7" s="56">
        <f>+T6-S7</f>
        <v>338528521</v>
      </c>
      <c r="U7" s="56">
        <v>332122</v>
      </c>
      <c r="V7" s="59"/>
      <c r="W7" s="56">
        <f t="shared" si="2"/>
        <v>9614752</v>
      </c>
      <c r="Z7" s="4"/>
    </row>
    <row r="8" spans="1:34" ht="15">
      <c r="A8" s="10">
        <f t="shared" si="3"/>
        <v>5</v>
      </c>
      <c r="B8" s="60">
        <f t="shared" si="4"/>
        <v>338528521</v>
      </c>
      <c r="C8" s="60">
        <f t="shared" si="5"/>
        <v>4843214.7071066666</v>
      </c>
      <c r="D8" s="60">
        <f>+S9</f>
        <v>6062117</v>
      </c>
      <c r="E8" s="60">
        <f t="shared" si="6"/>
        <v>10420980.243962361</v>
      </c>
      <c r="F8" s="60">
        <f t="shared" si="1"/>
        <v>332466404</v>
      </c>
      <c r="G8" s="85">
        <v>0.10085</v>
      </c>
      <c r="H8" s="54">
        <f t="shared" si="7"/>
        <v>7.4999999999999997E-2</v>
      </c>
      <c r="I8" s="62">
        <f t="shared" si="8"/>
        <v>1.4654166666666668E-2</v>
      </c>
      <c r="J8" s="63">
        <f t="shared" si="9"/>
        <v>10476635.733223623</v>
      </c>
      <c r="K8" s="64">
        <f t="shared" si="10"/>
        <v>43</v>
      </c>
      <c r="L8">
        <f t="shared" si="11"/>
        <v>15</v>
      </c>
      <c r="M8">
        <f t="shared" si="12"/>
        <v>3</v>
      </c>
      <c r="N8">
        <f t="shared" si="13"/>
        <v>2026</v>
      </c>
      <c r="O8" s="21">
        <f t="shared" si="0"/>
        <v>161440.4902368889</v>
      </c>
      <c r="P8" s="33">
        <f>+O8*24</f>
        <v>3874571.7656853339</v>
      </c>
      <c r="Q8" s="57">
        <v>46070</v>
      </c>
      <c r="R8" s="56">
        <v>361709</v>
      </c>
      <c r="S8" s="56">
        <v>0</v>
      </c>
      <c r="T8" s="56">
        <f>+T7-S8</f>
        <v>338528521</v>
      </c>
      <c r="U8" s="56"/>
      <c r="V8" s="59"/>
      <c r="W8" s="56">
        <f t="shared" si="2"/>
        <v>361709</v>
      </c>
      <c r="Y8" s="41">
        <v>45931</v>
      </c>
      <c r="Z8" s="41">
        <v>45962</v>
      </c>
      <c r="AA8" s="41">
        <v>45992</v>
      </c>
      <c r="AB8" s="41">
        <v>46023</v>
      </c>
      <c r="AC8" s="41">
        <v>46054</v>
      </c>
      <c r="AD8" s="41">
        <v>46082</v>
      </c>
      <c r="AE8" s="41">
        <v>46113</v>
      </c>
      <c r="AF8" s="41">
        <v>46143</v>
      </c>
      <c r="AG8" s="41">
        <v>46174</v>
      </c>
      <c r="AH8" s="41">
        <v>46204</v>
      </c>
    </row>
    <row r="9" spans="1:34">
      <c r="A9" s="10">
        <f t="shared" si="3"/>
        <v>6</v>
      </c>
      <c r="B9" s="60">
        <f t="shared" si="4"/>
        <v>332466404</v>
      </c>
      <c r="C9" s="60">
        <f t="shared" si="5"/>
        <v>4872018.0952833341</v>
      </c>
      <c r="D9" s="60">
        <f>+S10</f>
        <v>3818211</v>
      </c>
      <c r="E9" s="60">
        <f t="shared" si="6"/>
        <v>10476635.733223623</v>
      </c>
      <c r="F9" s="60">
        <f t="shared" si="1"/>
        <v>328648193</v>
      </c>
      <c r="G9" s="54">
        <v>0.10717</v>
      </c>
      <c r="H9" s="54">
        <f t="shared" si="7"/>
        <v>7.4999999999999997E-2</v>
      </c>
      <c r="I9" s="62">
        <f t="shared" si="8"/>
        <v>1.5180833333333333E-2</v>
      </c>
      <c r="J9" s="63">
        <f t="shared" si="9"/>
        <v>10640136.181083681</v>
      </c>
      <c r="K9" s="64">
        <f t="shared" si="10"/>
        <v>42</v>
      </c>
      <c r="L9">
        <f t="shared" si="11"/>
        <v>15</v>
      </c>
      <c r="M9">
        <f t="shared" si="12"/>
        <v>4</v>
      </c>
      <c r="N9">
        <f t="shared" si="13"/>
        <v>2026</v>
      </c>
      <c r="O9" s="21">
        <f t="shared" si="0"/>
        <v>162400.60317611115</v>
      </c>
      <c r="P9" s="33">
        <f>+O9*27</f>
        <v>4384816.285755001</v>
      </c>
      <c r="Q9" s="57">
        <v>46084</v>
      </c>
      <c r="R9" s="56">
        <v>3997184</v>
      </c>
      <c r="S9" s="56">
        <v>6062117</v>
      </c>
      <c r="T9" s="56">
        <f>+T8-S9</f>
        <v>332466404</v>
      </c>
      <c r="U9" s="56">
        <v>337551</v>
      </c>
      <c r="V9" s="59"/>
      <c r="W9" s="56">
        <f t="shared" si="2"/>
        <v>9721750</v>
      </c>
      <c r="Y9" s="22">
        <f>+P4</f>
        <v>2449561.1545500001</v>
      </c>
      <c r="Z9" s="22">
        <f>+O4*11</f>
        <v>1796344.8466699999</v>
      </c>
      <c r="AA9" s="22">
        <f>+O5*9+3</f>
        <v>1445061.7034350003</v>
      </c>
      <c r="AB9" s="22">
        <f>+O6*8</f>
        <v>1270143.4617428889</v>
      </c>
      <c r="AC9" s="22">
        <f>+O7*6</f>
        <v>947580.27914166672</v>
      </c>
      <c r="AD9" s="22">
        <f>+O8*3-1</f>
        <v>484320.47071066673</v>
      </c>
      <c r="AE9" s="22">
        <f>+O9*14</f>
        <v>2273608.4444655562</v>
      </c>
      <c r="AF9" s="22">
        <f>+O10*7-3</f>
        <v>1164132.8034213055</v>
      </c>
      <c r="AG9" s="22">
        <f>+O11*4</f>
        <v>649030.0325666666</v>
      </c>
      <c r="AH9" s="22">
        <f>+O12*15+2</f>
        <v>2405314.2529625003</v>
      </c>
    </row>
    <row r="10" spans="1:34">
      <c r="A10" s="10">
        <f t="shared" si="3"/>
        <v>7</v>
      </c>
      <c r="B10" s="60">
        <f t="shared" si="4"/>
        <v>328648193</v>
      </c>
      <c r="C10" s="60">
        <f t="shared" si="5"/>
        <v>4989153.4432341661</v>
      </c>
      <c r="D10" s="60">
        <f>+S11</f>
        <v>6815119</v>
      </c>
      <c r="E10" s="60">
        <f t="shared" si="6"/>
        <v>10640136.181083681</v>
      </c>
      <c r="F10" s="60">
        <f t="shared" si="1"/>
        <v>321833074</v>
      </c>
      <c r="G10" s="85">
        <v>0.1065</v>
      </c>
      <c r="H10" s="54">
        <f t="shared" si="7"/>
        <v>7.4999999999999997E-2</v>
      </c>
      <c r="I10" s="62">
        <f t="shared" si="8"/>
        <v>1.5125E-2</v>
      </c>
      <c r="J10" s="63">
        <f t="shared" si="9"/>
        <v>10590768.019051583</v>
      </c>
      <c r="K10" s="64">
        <f t="shared" si="10"/>
        <v>41</v>
      </c>
      <c r="L10">
        <f t="shared" si="11"/>
        <v>15</v>
      </c>
      <c r="M10">
        <f t="shared" si="12"/>
        <v>5</v>
      </c>
      <c r="N10">
        <f t="shared" si="13"/>
        <v>2026</v>
      </c>
      <c r="O10" s="21">
        <f t="shared" ref="O10" si="14">+C10/30</f>
        <v>166305.1147744722</v>
      </c>
      <c r="P10" s="33">
        <f>+O10*16</f>
        <v>2660881.8363915551</v>
      </c>
      <c r="Q10" s="37">
        <v>46126</v>
      </c>
      <c r="R10" s="56">
        <v>6658425</v>
      </c>
      <c r="S10" s="56">
        <v>3818211</v>
      </c>
      <c r="T10" s="56">
        <f>+T9-S10</f>
        <v>328648193</v>
      </c>
      <c r="U10" s="56">
        <v>340840</v>
      </c>
      <c r="V10" s="59">
        <v>0</v>
      </c>
      <c r="W10" s="56">
        <f t="shared" si="2"/>
        <v>10135796</v>
      </c>
      <c r="Y10" s="34"/>
      <c r="Z10" s="35">
        <f>+P5</f>
        <v>3050679.485029445</v>
      </c>
      <c r="AA10" s="35">
        <f>+P6</f>
        <v>3334126.5870750835</v>
      </c>
      <c r="AB10" s="35">
        <f>+P7</f>
        <v>3474461.0235194447</v>
      </c>
      <c r="AC10" s="35">
        <f>+P8</f>
        <v>3874571.7656853339</v>
      </c>
      <c r="AD10" s="35">
        <f>+P9</f>
        <v>4384816.285755001</v>
      </c>
      <c r="AE10" s="35">
        <f>+P10</f>
        <v>2660881.8363915551</v>
      </c>
      <c r="AF10" s="35">
        <f>+P11</f>
        <v>3731922.687258333</v>
      </c>
      <c r="AG10" s="35">
        <f>+P12</f>
        <v>4169207.9051350001</v>
      </c>
      <c r="AH10" s="35">
        <f>+P13+P15</f>
        <v>982387.87759922224</v>
      </c>
    </row>
    <row r="11" spans="1:34">
      <c r="A11" s="10">
        <f t="shared" si="3"/>
        <v>8</v>
      </c>
      <c r="B11" s="60">
        <f t="shared" si="4"/>
        <v>321833074</v>
      </c>
      <c r="C11" s="60">
        <f t="shared" si="5"/>
        <v>4867725.2442499995</v>
      </c>
      <c r="D11" s="60">
        <f>+S12</f>
        <v>6209815</v>
      </c>
      <c r="E11" s="60">
        <f t="shared" si="6"/>
        <v>10590768.019051583</v>
      </c>
      <c r="F11" s="60">
        <f t="shared" si="1"/>
        <v>315623259</v>
      </c>
      <c r="G11" s="54">
        <v>0.1079</v>
      </c>
      <c r="H11" s="54">
        <f t="shared" si="7"/>
        <v>7.4999999999999997E-2</v>
      </c>
      <c r="I11" s="62">
        <f t="shared" si="8"/>
        <v>1.5241666666666667E-2</v>
      </c>
      <c r="J11" s="63">
        <f t="shared" si="9"/>
        <v>10596970.238152834</v>
      </c>
      <c r="K11" s="64">
        <f t="shared" si="10"/>
        <v>40</v>
      </c>
      <c r="L11">
        <f t="shared" si="11"/>
        <v>15</v>
      </c>
      <c r="M11">
        <f t="shared" si="12"/>
        <v>6</v>
      </c>
      <c r="N11">
        <f t="shared" si="13"/>
        <v>2026</v>
      </c>
      <c r="O11" s="21">
        <f t="shared" ref="O11" si="15">+C11/30</f>
        <v>162257.50814166665</v>
      </c>
      <c r="P11" s="33">
        <f>+O11*23</f>
        <v>3731922.687258333</v>
      </c>
      <c r="Q11" s="37">
        <v>46149</v>
      </c>
      <c r="R11" s="23">
        <v>3825018</v>
      </c>
      <c r="S11" s="23">
        <v>6815119</v>
      </c>
      <c r="T11" s="56">
        <f>+T10-S11</f>
        <v>321833074</v>
      </c>
      <c r="U11" s="23">
        <v>345415</v>
      </c>
      <c r="V11" s="23">
        <v>0</v>
      </c>
      <c r="W11" s="56">
        <f t="shared" si="2"/>
        <v>10294722</v>
      </c>
      <c r="Y11" s="22">
        <f t="shared" ref="Y11:AF11" si="16">SUM(Y9:Y10)</f>
        <v>2449561.1545500001</v>
      </c>
      <c r="Z11" s="22">
        <f t="shared" si="16"/>
        <v>4847024.3316994449</v>
      </c>
      <c r="AA11" s="22">
        <f t="shared" si="16"/>
        <v>4779188.2905100835</v>
      </c>
      <c r="AB11" s="22">
        <f t="shared" si="16"/>
        <v>4744604.4852623334</v>
      </c>
      <c r="AC11" s="22">
        <f t="shared" si="16"/>
        <v>4822152.0448270002</v>
      </c>
      <c r="AD11" s="22">
        <f t="shared" si="16"/>
        <v>4869136.7564656679</v>
      </c>
      <c r="AE11" s="22">
        <f t="shared" si="16"/>
        <v>4934490.2808571113</v>
      </c>
      <c r="AF11" s="22">
        <f t="shared" si="16"/>
        <v>4896055.4906796385</v>
      </c>
      <c r="AG11" s="22">
        <f>SUM(AG9:AG10)</f>
        <v>4818237.9377016667</v>
      </c>
      <c r="AH11" s="22">
        <f>+AH9+AH10</f>
        <v>3387702.1305617224</v>
      </c>
    </row>
    <row r="12" spans="1:34" ht="15">
      <c r="A12" s="10">
        <f t="shared" si="3"/>
        <v>9</v>
      </c>
      <c r="B12" s="60">
        <f t="shared" si="4"/>
        <v>315623259</v>
      </c>
      <c r="C12" s="60">
        <f t="shared" si="5"/>
        <v>4810624.5059250006</v>
      </c>
      <c r="D12" s="60">
        <v>4022450</v>
      </c>
      <c r="E12" s="60">
        <f t="shared" si="6"/>
        <v>10596970.238152834</v>
      </c>
      <c r="F12" s="60">
        <f t="shared" si="1"/>
        <v>311600809</v>
      </c>
      <c r="G12" s="54">
        <v>0.11415</v>
      </c>
      <c r="H12" s="54">
        <f t="shared" si="7"/>
        <v>7.4999999999999997E-2</v>
      </c>
      <c r="I12" s="62">
        <f t="shared" si="8"/>
        <v>1.5762499999999999E-2</v>
      </c>
      <c r="J12" s="63">
        <f t="shared" si="9"/>
        <v>10756489.06351457</v>
      </c>
      <c r="K12" s="64">
        <f t="shared" si="10"/>
        <v>39</v>
      </c>
      <c r="L12">
        <f t="shared" si="11"/>
        <v>15</v>
      </c>
      <c r="M12">
        <f t="shared" si="12"/>
        <v>7</v>
      </c>
      <c r="N12">
        <f t="shared" si="13"/>
        <v>2026</v>
      </c>
      <c r="O12" s="21">
        <f t="shared" ref="O12" si="17">+C12/30</f>
        <v>160354.15019750001</v>
      </c>
      <c r="P12" s="33">
        <f>+O12*26</f>
        <v>4169207.9051350001</v>
      </c>
      <c r="Q12" s="37">
        <v>46177</v>
      </c>
      <c r="R12" s="23">
        <v>4380953</v>
      </c>
      <c r="S12" s="23">
        <v>6209815</v>
      </c>
      <c r="T12" s="56">
        <f>+T11-S12</f>
        <v>315623259</v>
      </c>
      <c r="U12" s="23">
        <v>342724</v>
      </c>
      <c r="V12" s="23"/>
      <c r="W12" s="56">
        <f t="shared" si="2"/>
        <v>10248044</v>
      </c>
    </row>
    <row r="13" spans="1:34" ht="15">
      <c r="A13" s="10">
        <f t="shared" si="3"/>
        <v>10</v>
      </c>
      <c r="B13" s="60">
        <f t="shared" si="4"/>
        <v>311600809</v>
      </c>
      <c r="C13" s="60">
        <f>IF(A13=" "," ",+B13*I12)</f>
        <v>4911607.7518624999</v>
      </c>
      <c r="D13" s="60">
        <f>310963612</f>
        <v>310963612</v>
      </c>
      <c r="E13" s="60">
        <f t="shared" si="6"/>
        <v>10756489.06351457</v>
      </c>
      <c r="F13" s="60">
        <f t="shared" si="1"/>
        <v>637197</v>
      </c>
      <c r="G13" s="54">
        <v>0.11501</v>
      </c>
      <c r="H13" s="54">
        <f t="shared" si="7"/>
        <v>7.4999999999999997E-2</v>
      </c>
      <c r="I13" s="62">
        <f t="shared" si="8"/>
        <v>1.5834166666666667E-2</v>
      </c>
      <c r="J13" s="63">
        <f t="shared" si="9"/>
        <v>22444.474887626511</v>
      </c>
      <c r="K13" s="64">
        <f t="shared" si="10"/>
        <v>38</v>
      </c>
      <c r="L13">
        <f t="shared" si="11"/>
        <v>15</v>
      </c>
      <c r="M13">
        <f t="shared" si="12"/>
        <v>8</v>
      </c>
      <c r="N13">
        <f t="shared" si="13"/>
        <v>2026</v>
      </c>
      <c r="O13" s="21">
        <f>4911608/30</f>
        <v>163720.26666666666</v>
      </c>
      <c r="P13" s="33">
        <f>+O13*6</f>
        <v>982321.6</v>
      </c>
      <c r="Q13" s="37">
        <v>46224</v>
      </c>
      <c r="R13" s="23">
        <v>7556842</v>
      </c>
      <c r="S13" s="23">
        <v>314986062</v>
      </c>
      <c r="T13" s="56">
        <f t="shared" ref="T6:T15" si="18">+T12-S13</f>
        <v>637197</v>
      </c>
      <c r="U13" s="23"/>
      <c r="V13" s="90">
        <v>15944</v>
      </c>
      <c r="W13" s="56">
        <f t="shared" si="2"/>
        <v>322558848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 spans="1:34">
      <c r="A14" s="68">
        <f t="shared" si="3"/>
        <v>11</v>
      </c>
      <c r="B14" s="60">
        <f t="shared" si="4"/>
        <v>637197</v>
      </c>
      <c r="C14" s="60">
        <f t="shared" si="5"/>
        <v>10089.483497499999</v>
      </c>
      <c r="D14" s="60">
        <f>+S14</f>
        <v>574411</v>
      </c>
      <c r="E14" s="60">
        <f t="shared" si="6"/>
        <v>22444.474887626511</v>
      </c>
      <c r="F14" s="60">
        <f t="shared" si="1"/>
        <v>62786</v>
      </c>
      <c r="G14" s="61">
        <v>0.11501</v>
      </c>
      <c r="H14" s="54">
        <f t="shared" si="7"/>
        <v>7.4999999999999997E-2</v>
      </c>
      <c r="I14" s="62">
        <f t="shared" si="8"/>
        <v>1.5834166666666667E-2</v>
      </c>
      <c r="J14" s="63">
        <f t="shared" si="9"/>
        <v>2255.2881862563218</v>
      </c>
      <c r="K14" s="64">
        <f t="shared" si="10"/>
        <v>37</v>
      </c>
      <c r="L14">
        <f t="shared" si="11"/>
        <v>15</v>
      </c>
      <c r="M14">
        <f t="shared" si="12"/>
        <v>9</v>
      </c>
      <c r="N14">
        <f t="shared" si="13"/>
        <v>2026</v>
      </c>
      <c r="O14" s="21"/>
      <c r="P14" s="33">
        <f>+O14*6</f>
        <v>0</v>
      </c>
      <c r="Q14" s="37">
        <v>46224</v>
      </c>
      <c r="R14" s="23"/>
      <c r="S14" s="23">
        <v>574411</v>
      </c>
      <c r="T14" s="56">
        <f t="shared" si="18"/>
        <v>62786</v>
      </c>
      <c r="U14" s="23">
        <v>574411</v>
      </c>
      <c r="V14" s="23"/>
      <c r="W14" s="56">
        <f>+R14+S14+V14-U14</f>
        <v>0</v>
      </c>
      <c r="AG14" s="22"/>
    </row>
    <row r="15" spans="1:34" ht="15">
      <c r="A15" s="110">
        <f t="shared" si="3"/>
        <v>12</v>
      </c>
      <c r="B15" s="111">
        <f t="shared" si="4"/>
        <v>62786</v>
      </c>
      <c r="C15" s="111">
        <f t="shared" si="5"/>
        <v>994.16398833333335</v>
      </c>
      <c r="D15" s="111">
        <f>+S15</f>
        <v>62786</v>
      </c>
      <c r="E15" s="111">
        <f t="shared" si="6"/>
        <v>2255.2881862563218</v>
      </c>
      <c r="F15" s="111">
        <f t="shared" si="1"/>
        <v>0</v>
      </c>
      <c r="G15" s="112">
        <v>8.7599999999999997E-2</v>
      </c>
      <c r="H15" s="113">
        <f t="shared" si="7"/>
        <v>7.4999999999999997E-2</v>
      </c>
      <c r="I15" s="114">
        <f t="shared" si="8"/>
        <v>1.355E-2</v>
      </c>
      <c r="J15" s="115">
        <f t="shared" si="9"/>
        <v>0</v>
      </c>
      <c r="K15" s="116">
        <f t="shared" si="10"/>
        <v>36</v>
      </c>
      <c r="L15" s="117">
        <f t="shared" si="11"/>
        <v>15</v>
      </c>
      <c r="M15" s="117">
        <f t="shared" si="12"/>
        <v>10</v>
      </c>
      <c r="N15" s="117">
        <f t="shared" si="13"/>
        <v>2026</v>
      </c>
      <c r="O15" s="21">
        <f>+C15/30</f>
        <v>33.138799611111111</v>
      </c>
      <c r="P15" s="33">
        <f>+O15*2</f>
        <v>66.277599222222221</v>
      </c>
      <c r="Q15" s="37">
        <v>46226</v>
      </c>
      <c r="R15" s="23">
        <v>66</v>
      </c>
      <c r="S15" s="23">
        <v>62786</v>
      </c>
      <c r="T15" s="56">
        <f t="shared" si="18"/>
        <v>0</v>
      </c>
      <c r="U15" s="23"/>
      <c r="V15" s="23"/>
      <c r="W15" s="56">
        <f>+R15+S15+V15-U15</f>
        <v>62852</v>
      </c>
      <c r="Z15" s="22"/>
      <c r="AC15" s="88"/>
      <c r="AD15" s="22"/>
      <c r="AE15" s="22"/>
    </row>
    <row r="16" spans="1:34">
      <c r="A16" s="10">
        <f t="shared" si="3"/>
        <v>13</v>
      </c>
      <c r="B16" s="60">
        <f t="shared" si="4"/>
        <v>0</v>
      </c>
      <c r="C16" s="60">
        <f t="shared" si="5"/>
        <v>0</v>
      </c>
      <c r="D16" s="60">
        <f t="shared" ref="D16:D26" si="19">+E16-C16</f>
        <v>0</v>
      </c>
      <c r="E16" s="60">
        <f t="shared" si="6"/>
        <v>0</v>
      </c>
      <c r="F16" s="60">
        <f t="shared" si="1"/>
        <v>0</v>
      </c>
      <c r="G16" s="61">
        <v>8.7599999999999997E-2</v>
      </c>
      <c r="H16" s="54">
        <f t="shared" si="7"/>
        <v>7.4999999999999997E-2</v>
      </c>
      <c r="I16" s="62">
        <f t="shared" si="8"/>
        <v>1.355E-2</v>
      </c>
      <c r="J16" s="63">
        <f t="shared" si="9"/>
        <v>0</v>
      </c>
      <c r="K16" s="64">
        <f t="shared" si="10"/>
        <v>35</v>
      </c>
      <c r="L16">
        <f t="shared" si="11"/>
        <v>15</v>
      </c>
      <c r="M16">
        <f t="shared" si="12"/>
        <v>11</v>
      </c>
      <c r="N16">
        <f t="shared" si="13"/>
        <v>2026</v>
      </c>
      <c r="P16" s="33"/>
      <c r="Q16" s="38"/>
      <c r="R16" s="40"/>
      <c r="S16" s="38"/>
      <c r="T16" s="38"/>
      <c r="U16" s="38"/>
      <c r="V16" s="38"/>
      <c r="W16" s="38"/>
      <c r="AB16" s="22"/>
      <c r="AC16" s="89"/>
      <c r="AD16" s="22"/>
      <c r="AF16" s="22"/>
      <c r="AH16" s="22"/>
    </row>
    <row r="17" spans="1:29">
      <c r="A17" s="10">
        <f t="shared" si="3"/>
        <v>14</v>
      </c>
      <c r="B17" s="60">
        <f t="shared" si="4"/>
        <v>0</v>
      </c>
      <c r="C17" s="60">
        <f t="shared" si="5"/>
        <v>0</v>
      </c>
      <c r="D17" s="60">
        <f t="shared" si="19"/>
        <v>0</v>
      </c>
      <c r="E17" s="60">
        <f t="shared" si="6"/>
        <v>0</v>
      </c>
      <c r="F17" s="60">
        <f t="shared" si="1"/>
        <v>0</v>
      </c>
      <c r="G17" s="61">
        <v>8.7599999999999997E-2</v>
      </c>
      <c r="H17" s="54">
        <f t="shared" si="7"/>
        <v>7.4999999999999997E-2</v>
      </c>
      <c r="I17" s="62">
        <f t="shared" si="8"/>
        <v>1.355E-2</v>
      </c>
      <c r="J17" s="63">
        <f t="shared" si="9"/>
        <v>0</v>
      </c>
      <c r="K17" s="64">
        <f t="shared" si="10"/>
        <v>34</v>
      </c>
      <c r="L17">
        <f t="shared" si="11"/>
        <v>15</v>
      </c>
      <c r="M17">
        <f t="shared" si="12"/>
        <v>12</v>
      </c>
      <c r="N17">
        <f t="shared" si="13"/>
        <v>2026</v>
      </c>
      <c r="O17" s="22"/>
      <c r="P17" s="33"/>
      <c r="Q17" s="38"/>
      <c r="R17" s="40"/>
      <c r="S17" s="38"/>
      <c r="T17" s="38"/>
      <c r="U17" s="38"/>
      <c r="V17" s="38"/>
      <c r="W17" s="38"/>
      <c r="AA17" s="22"/>
      <c r="AC17" s="22"/>
    </row>
    <row r="18" spans="1:29">
      <c r="A18" s="10">
        <f t="shared" si="3"/>
        <v>15</v>
      </c>
      <c r="B18" s="65">
        <f t="shared" si="4"/>
        <v>0</v>
      </c>
      <c r="C18" s="65">
        <f t="shared" si="5"/>
        <v>0</v>
      </c>
      <c r="D18" s="60">
        <f t="shared" si="19"/>
        <v>0</v>
      </c>
      <c r="E18" s="60">
        <f t="shared" si="6"/>
        <v>0</v>
      </c>
      <c r="F18" s="65">
        <f t="shared" si="1"/>
        <v>0</v>
      </c>
      <c r="G18" s="61">
        <v>8.7599999999999997E-2</v>
      </c>
      <c r="H18" s="54">
        <f t="shared" si="7"/>
        <v>7.4999999999999997E-2</v>
      </c>
      <c r="I18" s="62">
        <f t="shared" si="8"/>
        <v>1.355E-2</v>
      </c>
      <c r="J18" s="63">
        <f t="shared" si="9"/>
        <v>0</v>
      </c>
      <c r="K18" s="64">
        <f t="shared" si="10"/>
        <v>33</v>
      </c>
      <c r="L18">
        <f t="shared" si="11"/>
        <v>15</v>
      </c>
      <c r="M18">
        <f t="shared" si="12"/>
        <v>1</v>
      </c>
      <c r="N18">
        <f t="shared" si="13"/>
        <v>2027</v>
      </c>
      <c r="P18" s="33"/>
      <c r="R18" s="4"/>
      <c r="Z18" s="21"/>
    </row>
    <row r="19" spans="1:29">
      <c r="A19" s="10">
        <f t="shared" si="3"/>
        <v>16</v>
      </c>
      <c r="B19" s="65">
        <f t="shared" si="4"/>
        <v>0</v>
      </c>
      <c r="C19" s="65">
        <f t="shared" si="5"/>
        <v>0</v>
      </c>
      <c r="D19" s="60">
        <f t="shared" si="19"/>
        <v>0</v>
      </c>
      <c r="E19" s="60">
        <f t="shared" si="6"/>
        <v>0</v>
      </c>
      <c r="F19" s="65">
        <f t="shared" si="1"/>
        <v>0</v>
      </c>
      <c r="G19" s="61">
        <v>8.7599999999999997E-2</v>
      </c>
      <c r="H19" s="54">
        <f t="shared" si="7"/>
        <v>7.4999999999999997E-2</v>
      </c>
      <c r="I19" s="62">
        <f t="shared" si="8"/>
        <v>1.355E-2</v>
      </c>
      <c r="J19" s="63">
        <f t="shared" si="9"/>
        <v>0</v>
      </c>
      <c r="K19" s="64">
        <f t="shared" si="10"/>
        <v>32</v>
      </c>
      <c r="L19">
        <f t="shared" si="11"/>
        <v>15</v>
      </c>
      <c r="M19">
        <f t="shared" si="12"/>
        <v>2</v>
      </c>
      <c r="N19">
        <f t="shared" si="13"/>
        <v>2027</v>
      </c>
      <c r="P19" s="33"/>
      <c r="Q19" s="4"/>
      <c r="R19" s="4"/>
    </row>
    <row r="20" spans="1:29">
      <c r="A20" s="10">
        <f t="shared" si="3"/>
        <v>17</v>
      </c>
      <c r="B20" s="58">
        <f t="shared" si="4"/>
        <v>0</v>
      </c>
      <c r="C20" s="58">
        <f t="shared" si="5"/>
        <v>0</v>
      </c>
      <c r="D20" s="60">
        <f t="shared" si="19"/>
        <v>0</v>
      </c>
      <c r="E20" s="60">
        <f t="shared" si="6"/>
        <v>0</v>
      </c>
      <c r="F20" s="58">
        <f t="shared" si="1"/>
        <v>0</v>
      </c>
      <c r="G20" s="61">
        <v>8.7599999999999997E-2</v>
      </c>
      <c r="H20" s="54">
        <f t="shared" si="7"/>
        <v>7.4999999999999997E-2</v>
      </c>
      <c r="I20" s="62">
        <f t="shared" si="8"/>
        <v>1.355E-2</v>
      </c>
      <c r="J20" s="63">
        <f t="shared" si="9"/>
        <v>0</v>
      </c>
      <c r="K20" s="64">
        <f t="shared" si="10"/>
        <v>31</v>
      </c>
      <c r="L20">
        <f t="shared" si="11"/>
        <v>15</v>
      </c>
      <c r="M20">
        <f t="shared" si="12"/>
        <v>3</v>
      </c>
      <c r="N20">
        <f t="shared" si="13"/>
        <v>2027</v>
      </c>
      <c r="P20" s="22"/>
    </row>
    <row r="21" spans="1:29">
      <c r="A21" s="10">
        <f t="shared" si="3"/>
        <v>18</v>
      </c>
      <c r="B21" s="58">
        <f t="shared" si="4"/>
        <v>0</v>
      </c>
      <c r="C21" s="58">
        <f t="shared" si="5"/>
        <v>0</v>
      </c>
      <c r="D21" s="60">
        <f t="shared" si="19"/>
        <v>0</v>
      </c>
      <c r="E21" s="60">
        <f t="shared" si="6"/>
        <v>0</v>
      </c>
      <c r="F21" s="58">
        <f t="shared" si="1"/>
        <v>0</v>
      </c>
      <c r="G21" s="61">
        <v>8.7599999999999997E-2</v>
      </c>
      <c r="H21" s="54">
        <f t="shared" si="7"/>
        <v>7.4999999999999997E-2</v>
      </c>
      <c r="I21" s="62">
        <f t="shared" si="8"/>
        <v>1.355E-2</v>
      </c>
      <c r="J21" s="63">
        <f t="shared" si="9"/>
        <v>0</v>
      </c>
      <c r="K21" s="64">
        <f t="shared" si="10"/>
        <v>30</v>
      </c>
      <c r="L21">
        <f t="shared" si="11"/>
        <v>15</v>
      </c>
      <c r="M21">
        <f t="shared" si="12"/>
        <v>4</v>
      </c>
      <c r="N21">
        <f t="shared" si="13"/>
        <v>2027</v>
      </c>
    </row>
    <row r="22" spans="1:29">
      <c r="A22" s="10">
        <f t="shared" si="3"/>
        <v>19</v>
      </c>
      <c r="B22" s="58">
        <f t="shared" si="4"/>
        <v>0</v>
      </c>
      <c r="C22" s="58">
        <f t="shared" si="5"/>
        <v>0</v>
      </c>
      <c r="D22" s="60">
        <f t="shared" si="19"/>
        <v>0</v>
      </c>
      <c r="E22" s="60">
        <f t="shared" si="6"/>
        <v>0</v>
      </c>
      <c r="F22" s="58">
        <f t="shared" si="1"/>
        <v>0</v>
      </c>
      <c r="G22" s="61">
        <v>8.7599999999999997E-2</v>
      </c>
      <c r="H22" s="54">
        <f t="shared" si="7"/>
        <v>7.4999999999999997E-2</v>
      </c>
      <c r="I22" s="62">
        <f t="shared" si="8"/>
        <v>1.355E-2</v>
      </c>
      <c r="J22" s="63">
        <f t="shared" si="9"/>
        <v>0</v>
      </c>
      <c r="K22" s="64">
        <f t="shared" si="10"/>
        <v>29</v>
      </c>
      <c r="L22">
        <f t="shared" si="11"/>
        <v>15</v>
      </c>
      <c r="M22">
        <f t="shared" si="12"/>
        <v>5</v>
      </c>
      <c r="N22">
        <f t="shared" si="13"/>
        <v>2027</v>
      </c>
    </row>
    <row r="23" spans="1:29">
      <c r="A23" s="10">
        <f t="shared" si="3"/>
        <v>20</v>
      </c>
      <c r="B23" s="58">
        <f t="shared" si="4"/>
        <v>0</v>
      </c>
      <c r="C23" s="58">
        <f t="shared" si="5"/>
        <v>0</v>
      </c>
      <c r="D23" s="60">
        <f t="shared" si="19"/>
        <v>0</v>
      </c>
      <c r="E23" s="60">
        <f t="shared" si="6"/>
        <v>0</v>
      </c>
      <c r="F23" s="58">
        <f t="shared" si="1"/>
        <v>0</v>
      </c>
      <c r="G23" s="61">
        <v>8.7599999999999997E-2</v>
      </c>
      <c r="H23" s="54">
        <f t="shared" si="7"/>
        <v>7.4999999999999997E-2</v>
      </c>
      <c r="I23" s="62">
        <f t="shared" si="8"/>
        <v>1.355E-2</v>
      </c>
      <c r="J23" s="63">
        <f t="shared" si="9"/>
        <v>0</v>
      </c>
      <c r="K23" s="64">
        <f t="shared" si="10"/>
        <v>28</v>
      </c>
      <c r="L23">
        <f t="shared" si="11"/>
        <v>15</v>
      </c>
      <c r="M23">
        <f t="shared" si="12"/>
        <v>6</v>
      </c>
      <c r="N23">
        <f t="shared" si="13"/>
        <v>2027</v>
      </c>
    </row>
    <row r="24" spans="1:29">
      <c r="A24" s="10">
        <f t="shared" si="3"/>
        <v>21</v>
      </c>
      <c r="B24" s="58">
        <f t="shared" si="4"/>
        <v>0</v>
      </c>
      <c r="C24" s="58">
        <f t="shared" si="5"/>
        <v>0</v>
      </c>
      <c r="D24" s="60">
        <f t="shared" si="19"/>
        <v>0</v>
      </c>
      <c r="E24" s="60">
        <f t="shared" si="6"/>
        <v>0</v>
      </c>
      <c r="F24" s="58">
        <f t="shared" si="1"/>
        <v>0</v>
      </c>
      <c r="G24" s="61">
        <v>8.7599999999999997E-2</v>
      </c>
      <c r="H24" s="54">
        <f t="shared" si="7"/>
        <v>7.4999999999999997E-2</v>
      </c>
      <c r="I24" s="62">
        <f t="shared" si="8"/>
        <v>1.355E-2</v>
      </c>
      <c r="J24" s="63">
        <f t="shared" si="9"/>
        <v>0</v>
      </c>
      <c r="K24" s="64">
        <f t="shared" si="10"/>
        <v>27</v>
      </c>
      <c r="L24">
        <f t="shared" si="11"/>
        <v>15</v>
      </c>
      <c r="M24">
        <f t="shared" si="12"/>
        <v>7</v>
      </c>
      <c r="N24">
        <f t="shared" si="13"/>
        <v>2027</v>
      </c>
    </row>
    <row r="25" spans="1:29">
      <c r="A25" s="10">
        <f t="shared" si="3"/>
        <v>22</v>
      </c>
      <c r="B25" s="58">
        <f t="shared" si="4"/>
        <v>0</v>
      </c>
      <c r="C25" s="58">
        <f t="shared" si="5"/>
        <v>0</v>
      </c>
      <c r="D25" s="60">
        <f t="shared" si="19"/>
        <v>0</v>
      </c>
      <c r="E25" s="60">
        <f t="shared" si="6"/>
        <v>0</v>
      </c>
      <c r="F25" s="58">
        <f t="shared" si="1"/>
        <v>0</v>
      </c>
      <c r="G25" s="61">
        <v>8.7599999999999997E-2</v>
      </c>
      <c r="H25" s="54">
        <f t="shared" si="7"/>
        <v>7.4999999999999997E-2</v>
      </c>
      <c r="I25" s="62">
        <f t="shared" si="8"/>
        <v>1.355E-2</v>
      </c>
      <c r="J25" s="63">
        <f t="shared" si="9"/>
        <v>0</v>
      </c>
      <c r="K25" s="64">
        <f t="shared" si="10"/>
        <v>26</v>
      </c>
      <c r="L25">
        <f t="shared" si="11"/>
        <v>15</v>
      </c>
      <c r="M25">
        <f t="shared" si="12"/>
        <v>8</v>
      </c>
      <c r="N25">
        <f t="shared" si="13"/>
        <v>2027</v>
      </c>
    </row>
    <row r="26" spans="1:29">
      <c r="A26" s="10">
        <f t="shared" si="3"/>
        <v>23</v>
      </c>
      <c r="B26" s="58">
        <f t="shared" si="4"/>
        <v>0</v>
      </c>
      <c r="C26" s="58">
        <f t="shared" si="5"/>
        <v>0</v>
      </c>
      <c r="D26" s="60">
        <f t="shared" si="19"/>
        <v>0</v>
      </c>
      <c r="E26" s="60">
        <f t="shared" si="6"/>
        <v>0</v>
      </c>
      <c r="F26" s="58">
        <f t="shared" si="1"/>
        <v>0</v>
      </c>
      <c r="G26" s="61">
        <v>8.7599999999999997E-2</v>
      </c>
      <c r="H26" s="54">
        <f t="shared" si="7"/>
        <v>7.4999999999999997E-2</v>
      </c>
      <c r="I26" s="62">
        <f t="shared" si="8"/>
        <v>1.355E-2</v>
      </c>
      <c r="J26" s="63">
        <f t="shared" si="9"/>
        <v>0</v>
      </c>
      <c r="K26" s="64">
        <f t="shared" si="10"/>
        <v>25</v>
      </c>
      <c r="L26">
        <f t="shared" si="11"/>
        <v>15</v>
      </c>
      <c r="M26">
        <f t="shared" si="12"/>
        <v>9</v>
      </c>
      <c r="N26">
        <f t="shared" si="13"/>
        <v>2027</v>
      </c>
    </row>
    <row r="27" spans="1:29">
      <c r="A27" s="10">
        <f t="shared" si="3"/>
        <v>24</v>
      </c>
      <c r="B27" s="58">
        <f t="shared" ref="B27:B36" si="20">IF(A27=" "," ",+F26)</f>
        <v>0</v>
      </c>
      <c r="C27" s="58">
        <f t="shared" ref="C27:C36" si="21">IF(A27=" "," ",+B27*I26)</f>
        <v>0</v>
      </c>
      <c r="D27" s="60">
        <f t="shared" ref="D27:D36" si="22">+E27-C27</f>
        <v>0</v>
      </c>
      <c r="E27" s="60">
        <f t="shared" ref="E27:E36" si="23">IF(A27=" "," ",+J26)</f>
        <v>0</v>
      </c>
      <c r="F27" s="58">
        <f t="shared" ref="F27:F36" si="24">+B27-D27</f>
        <v>0</v>
      </c>
      <c r="G27" s="61">
        <v>8.7599999999999997E-2</v>
      </c>
      <c r="H27" s="54">
        <f t="shared" ref="H27:H36" si="25">IF(A27=" "," ",+H26)</f>
        <v>7.4999999999999997E-2</v>
      </c>
      <c r="I27" s="62">
        <f t="shared" ref="I27:I36" si="26">IF(A27=" "," ",((G27+H27)/12))</f>
        <v>1.355E-2</v>
      </c>
      <c r="J27" s="63">
        <f t="shared" ref="J27:J36" si="27">PMT(I27,K27,-F27,0)</f>
        <v>0</v>
      </c>
      <c r="K27" s="64">
        <f t="shared" ref="K27:K36" si="28">IF(A24=" "," ",+$B$2-A27)</f>
        <v>24</v>
      </c>
      <c r="L27">
        <f t="shared" ref="L27:L36" si="29">IF(A27&lt;&gt;" ",+L26," ")</f>
        <v>15</v>
      </c>
      <c r="M27">
        <f t="shared" ref="M27:M36" si="30">IF(AND(A27&lt;&gt;" ")*(M26=12),1,1+M26)</f>
        <v>10</v>
      </c>
      <c r="N27">
        <f t="shared" ref="N27:N36" si="31">IF(AND(A27&lt;&gt;" ")*(M27=1),1+N26,N26)</f>
        <v>2027</v>
      </c>
    </row>
    <row r="28" spans="1:29">
      <c r="A28" s="10">
        <f t="shared" si="3"/>
        <v>25</v>
      </c>
      <c r="B28" s="58">
        <f t="shared" si="20"/>
        <v>0</v>
      </c>
      <c r="C28" s="58">
        <f t="shared" si="21"/>
        <v>0</v>
      </c>
      <c r="D28" s="60">
        <f t="shared" si="22"/>
        <v>0</v>
      </c>
      <c r="E28" s="60">
        <f t="shared" si="23"/>
        <v>0</v>
      </c>
      <c r="F28" s="58">
        <f t="shared" si="24"/>
        <v>0</v>
      </c>
      <c r="G28" s="61">
        <v>8.7599999999999997E-2</v>
      </c>
      <c r="H28" s="54">
        <f t="shared" si="25"/>
        <v>7.4999999999999997E-2</v>
      </c>
      <c r="I28" s="62">
        <f t="shared" si="26"/>
        <v>1.355E-2</v>
      </c>
      <c r="J28" s="63">
        <f t="shared" si="27"/>
        <v>0</v>
      </c>
      <c r="K28" s="64">
        <f t="shared" si="28"/>
        <v>23</v>
      </c>
      <c r="L28">
        <f t="shared" si="29"/>
        <v>15</v>
      </c>
      <c r="M28">
        <f t="shared" si="30"/>
        <v>11</v>
      </c>
      <c r="N28">
        <f t="shared" si="31"/>
        <v>2027</v>
      </c>
    </row>
    <row r="29" spans="1:29">
      <c r="A29" s="10">
        <f t="shared" si="3"/>
        <v>26</v>
      </c>
      <c r="B29" s="58">
        <f t="shared" si="20"/>
        <v>0</v>
      </c>
      <c r="C29" s="58">
        <f t="shared" si="21"/>
        <v>0</v>
      </c>
      <c r="D29" s="60">
        <f t="shared" si="22"/>
        <v>0</v>
      </c>
      <c r="E29" s="60">
        <f t="shared" si="23"/>
        <v>0</v>
      </c>
      <c r="F29" s="58">
        <f t="shared" si="24"/>
        <v>0</v>
      </c>
      <c r="G29" s="61">
        <v>8.7599999999999997E-2</v>
      </c>
      <c r="H29" s="54">
        <f t="shared" si="25"/>
        <v>7.4999999999999997E-2</v>
      </c>
      <c r="I29" s="62">
        <f t="shared" si="26"/>
        <v>1.355E-2</v>
      </c>
      <c r="J29" s="63">
        <f t="shared" si="27"/>
        <v>0</v>
      </c>
      <c r="K29" s="64">
        <f t="shared" si="28"/>
        <v>22</v>
      </c>
      <c r="L29">
        <f t="shared" si="29"/>
        <v>15</v>
      </c>
      <c r="M29">
        <f t="shared" si="30"/>
        <v>12</v>
      </c>
      <c r="N29">
        <f t="shared" si="31"/>
        <v>2027</v>
      </c>
    </row>
    <row r="30" spans="1:29">
      <c r="A30" s="10">
        <f t="shared" si="3"/>
        <v>27</v>
      </c>
      <c r="B30" s="58">
        <f t="shared" si="20"/>
        <v>0</v>
      </c>
      <c r="C30" s="58">
        <f t="shared" si="21"/>
        <v>0</v>
      </c>
      <c r="D30" s="60">
        <f t="shared" si="22"/>
        <v>0</v>
      </c>
      <c r="E30" s="60">
        <f t="shared" si="23"/>
        <v>0</v>
      </c>
      <c r="F30" s="58">
        <f t="shared" si="24"/>
        <v>0</v>
      </c>
      <c r="G30" s="61">
        <v>8.7599999999999997E-2</v>
      </c>
      <c r="H30" s="54">
        <f t="shared" si="25"/>
        <v>7.4999999999999997E-2</v>
      </c>
      <c r="I30" s="62">
        <f t="shared" si="26"/>
        <v>1.355E-2</v>
      </c>
      <c r="J30" s="63">
        <f t="shared" si="27"/>
        <v>0</v>
      </c>
      <c r="K30" s="64">
        <f t="shared" si="28"/>
        <v>21</v>
      </c>
      <c r="L30">
        <f t="shared" si="29"/>
        <v>15</v>
      </c>
      <c r="M30">
        <f t="shared" si="30"/>
        <v>1</v>
      </c>
      <c r="N30">
        <f t="shared" si="31"/>
        <v>2028</v>
      </c>
    </row>
    <row r="31" spans="1:29">
      <c r="A31" s="10">
        <f t="shared" si="3"/>
        <v>28</v>
      </c>
      <c r="B31" s="58">
        <f t="shared" si="20"/>
        <v>0</v>
      </c>
      <c r="C31" s="58">
        <f t="shared" si="21"/>
        <v>0</v>
      </c>
      <c r="D31" s="60">
        <f t="shared" si="22"/>
        <v>0</v>
      </c>
      <c r="E31" s="60">
        <f t="shared" si="23"/>
        <v>0</v>
      </c>
      <c r="F31" s="58">
        <f t="shared" si="24"/>
        <v>0</v>
      </c>
      <c r="G31" s="61">
        <v>8.7599999999999997E-2</v>
      </c>
      <c r="H31" s="54">
        <f t="shared" si="25"/>
        <v>7.4999999999999997E-2</v>
      </c>
      <c r="I31" s="62">
        <f t="shared" si="26"/>
        <v>1.355E-2</v>
      </c>
      <c r="J31" s="63">
        <f t="shared" si="27"/>
        <v>0</v>
      </c>
      <c r="K31" s="64">
        <f t="shared" si="28"/>
        <v>20</v>
      </c>
      <c r="L31">
        <f t="shared" si="29"/>
        <v>15</v>
      </c>
      <c r="M31">
        <f t="shared" si="30"/>
        <v>2</v>
      </c>
      <c r="N31">
        <f t="shared" si="31"/>
        <v>2028</v>
      </c>
    </row>
    <row r="32" spans="1:29">
      <c r="A32" s="10">
        <f t="shared" si="3"/>
        <v>29</v>
      </c>
      <c r="B32" s="58">
        <f t="shared" si="20"/>
        <v>0</v>
      </c>
      <c r="C32" s="58">
        <f t="shared" si="21"/>
        <v>0</v>
      </c>
      <c r="D32" s="60">
        <f t="shared" si="22"/>
        <v>0</v>
      </c>
      <c r="E32" s="60">
        <f t="shared" si="23"/>
        <v>0</v>
      </c>
      <c r="F32" s="58">
        <f t="shared" si="24"/>
        <v>0</v>
      </c>
      <c r="G32" s="61">
        <v>8.7599999999999997E-2</v>
      </c>
      <c r="H32" s="54">
        <f t="shared" si="25"/>
        <v>7.4999999999999997E-2</v>
      </c>
      <c r="I32" s="62">
        <f t="shared" si="26"/>
        <v>1.355E-2</v>
      </c>
      <c r="J32" s="63">
        <f t="shared" si="27"/>
        <v>0</v>
      </c>
      <c r="K32" s="64">
        <f t="shared" si="28"/>
        <v>19</v>
      </c>
      <c r="L32">
        <f t="shared" si="29"/>
        <v>15</v>
      </c>
      <c r="M32">
        <f t="shared" si="30"/>
        <v>3</v>
      </c>
      <c r="N32">
        <f t="shared" si="31"/>
        <v>2028</v>
      </c>
    </row>
    <row r="33" spans="1:14">
      <c r="A33" s="10">
        <f t="shared" si="3"/>
        <v>30</v>
      </c>
      <c r="B33" s="58">
        <f t="shared" si="20"/>
        <v>0</v>
      </c>
      <c r="C33" s="58">
        <f t="shared" si="21"/>
        <v>0</v>
      </c>
      <c r="D33" s="60">
        <f t="shared" si="22"/>
        <v>0</v>
      </c>
      <c r="E33" s="60">
        <f t="shared" si="23"/>
        <v>0</v>
      </c>
      <c r="F33" s="58">
        <f t="shared" si="24"/>
        <v>0</v>
      </c>
      <c r="G33" s="61">
        <v>8.7599999999999997E-2</v>
      </c>
      <c r="H33" s="54">
        <f t="shared" si="25"/>
        <v>7.4999999999999997E-2</v>
      </c>
      <c r="I33" s="62">
        <f t="shared" si="26"/>
        <v>1.355E-2</v>
      </c>
      <c r="J33" s="63">
        <f t="shared" si="27"/>
        <v>0</v>
      </c>
      <c r="K33" s="64">
        <f t="shared" si="28"/>
        <v>18</v>
      </c>
      <c r="L33">
        <f t="shared" si="29"/>
        <v>15</v>
      </c>
      <c r="M33">
        <f t="shared" si="30"/>
        <v>4</v>
      </c>
      <c r="N33">
        <f t="shared" si="31"/>
        <v>2028</v>
      </c>
    </row>
    <row r="34" spans="1:14">
      <c r="A34" s="10">
        <f t="shared" si="3"/>
        <v>31</v>
      </c>
      <c r="B34" s="58">
        <f t="shared" si="20"/>
        <v>0</v>
      </c>
      <c r="C34" s="58">
        <f t="shared" si="21"/>
        <v>0</v>
      </c>
      <c r="D34" s="60">
        <f t="shared" si="22"/>
        <v>0</v>
      </c>
      <c r="E34" s="60">
        <f t="shared" si="23"/>
        <v>0</v>
      </c>
      <c r="F34" s="58">
        <f t="shared" si="24"/>
        <v>0</v>
      </c>
      <c r="G34" s="61">
        <v>8.7599999999999997E-2</v>
      </c>
      <c r="H34" s="54">
        <f t="shared" si="25"/>
        <v>7.4999999999999997E-2</v>
      </c>
      <c r="I34" s="62">
        <f t="shared" si="26"/>
        <v>1.355E-2</v>
      </c>
      <c r="J34" s="63">
        <f t="shared" si="27"/>
        <v>0</v>
      </c>
      <c r="K34" s="64">
        <f t="shared" si="28"/>
        <v>17</v>
      </c>
      <c r="L34">
        <f t="shared" si="29"/>
        <v>15</v>
      </c>
      <c r="M34">
        <f t="shared" si="30"/>
        <v>5</v>
      </c>
      <c r="N34">
        <f t="shared" si="31"/>
        <v>2028</v>
      </c>
    </row>
    <row r="35" spans="1:14">
      <c r="A35" s="10">
        <f t="shared" si="3"/>
        <v>32</v>
      </c>
      <c r="B35" s="58">
        <f t="shared" si="20"/>
        <v>0</v>
      </c>
      <c r="C35" s="58">
        <f t="shared" si="21"/>
        <v>0</v>
      </c>
      <c r="D35" s="60">
        <f t="shared" si="22"/>
        <v>0</v>
      </c>
      <c r="E35" s="60">
        <f t="shared" si="23"/>
        <v>0</v>
      </c>
      <c r="F35" s="58">
        <f t="shared" si="24"/>
        <v>0</v>
      </c>
      <c r="G35" s="61">
        <v>8.7599999999999997E-2</v>
      </c>
      <c r="H35" s="54">
        <f t="shared" si="25"/>
        <v>7.4999999999999997E-2</v>
      </c>
      <c r="I35" s="62">
        <f t="shared" si="26"/>
        <v>1.355E-2</v>
      </c>
      <c r="J35" s="63">
        <f t="shared" si="27"/>
        <v>0</v>
      </c>
      <c r="K35" s="64">
        <f t="shared" si="28"/>
        <v>16</v>
      </c>
      <c r="L35">
        <f t="shared" si="29"/>
        <v>15</v>
      </c>
      <c r="M35">
        <f t="shared" si="30"/>
        <v>6</v>
      </c>
      <c r="N35">
        <f t="shared" si="31"/>
        <v>2028</v>
      </c>
    </row>
    <row r="36" spans="1:14">
      <c r="A36" s="10">
        <f t="shared" si="3"/>
        <v>33</v>
      </c>
      <c r="B36" s="58">
        <f t="shared" si="20"/>
        <v>0</v>
      </c>
      <c r="C36" s="58">
        <f t="shared" si="21"/>
        <v>0</v>
      </c>
      <c r="D36" s="60">
        <f t="shared" si="22"/>
        <v>0</v>
      </c>
      <c r="E36" s="60">
        <f t="shared" si="23"/>
        <v>0</v>
      </c>
      <c r="F36" s="58">
        <f t="shared" si="24"/>
        <v>0</v>
      </c>
      <c r="G36" s="61">
        <v>8.7599999999999997E-2</v>
      </c>
      <c r="H36" s="54">
        <f t="shared" si="25"/>
        <v>7.4999999999999997E-2</v>
      </c>
      <c r="I36" s="62">
        <f t="shared" si="26"/>
        <v>1.355E-2</v>
      </c>
      <c r="J36" s="63">
        <f t="shared" si="27"/>
        <v>0</v>
      </c>
      <c r="K36" s="64">
        <f t="shared" si="28"/>
        <v>15</v>
      </c>
      <c r="L36">
        <f t="shared" si="29"/>
        <v>15</v>
      </c>
      <c r="M36">
        <f t="shared" si="30"/>
        <v>7</v>
      </c>
      <c r="N36">
        <f t="shared" si="31"/>
        <v>2028</v>
      </c>
    </row>
    <row r="37" spans="1:14">
      <c r="A37" s="10">
        <f t="shared" si="3"/>
        <v>34</v>
      </c>
      <c r="B37" s="58">
        <f t="shared" ref="B37:B39" si="32">IF(A37=" "," ",+F36)</f>
        <v>0</v>
      </c>
      <c r="C37" s="58">
        <f t="shared" ref="C37:C39" si="33">IF(A37=" "," ",+B37*I36)</f>
        <v>0</v>
      </c>
      <c r="D37" s="60">
        <f t="shared" ref="D37:D39" si="34">+E37-C37</f>
        <v>0</v>
      </c>
      <c r="E37" s="60">
        <f t="shared" ref="E37:E39" si="35">IF(A37=" "," ",+J36)</f>
        <v>0</v>
      </c>
      <c r="F37" s="58">
        <f t="shared" ref="F37:F39" si="36">+B37-D37</f>
        <v>0</v>
      </c>
      <c r="G37" s="61">
        <v>8.7599999999999997E-2</v>
      </c>
      <c r="H37" s="54">
        <f t="shared" ref="H37:H39" si="37">IF(A37=" "," ",+H36)</f>
        <v>7.4999999999999997E-2</v>
      </c>
      <c r="I37" s="62">
        <f t="shared" ref="I37:I39" si="38">IF(A37=" "," ",((G37+H37)/12))</f>
        <v>1.355E-2</v>
      </c>
      <c r="J37" s="63">
        <f t="shared" ref="J37:J39" si="39">PMT(I37,K37,-F37,0)</f>
        <v>0</v>
      </c>
      <c r="K37" s="64">
        <f t="shared" ref="K37:K39" si="40">IF(A34=" "," ",+$B$2-A37)</f>
        <v>14</v>
      </c>
      <c r="L37">
        <f t="shared" ref="L37:L39" si="41">IF(A37&lt;&gt;" ",+L36," ")</f>
        <v>15</v>
      </c>
      <c r="M37">
        <f t="shared" ref="M37:M39" si="42">IF(AND(A37&lt;&gt;" ")*(M36=12),1,1+M36)</f>
        <v>8</v>
      </c>
      <c r="N37">
        <f t="shared" ref="N37:N39" si="43">IF(AND(A37&lt;&gt;" ")*(M37=1),1+N36,N36)</f>
        <v>2028</v>
      </c>
    </row>
    <row r="38" spans="1:14">
      <c r="A38" s="10">
        <f t="shared" si="3"/>
        <v>35</v>
      </c>
      <c r="B38" s="58">
        <f t="shared" si="32"/>
        <v>0</v>
      </c>
      <c r="C38" s="58">
        <f t="shared" si="33"/>
        <v>0</v>
      </c>
      <c r="D38" s="60">
        <f t="shared" si="34"/>
        <v>0</v>
      </c>
      <c r="E38" s="60">
        <f t="shared" si="35"/>
        <v>0</v>
      </c>
      <c r="F38" s="58">
        <f t="shared" si="36"/>
        <v>0</v>
      </c>
      <c r="G38" s="61">
        <v>8.7599999999999997E-2</v>
      </c>
      <c r="H38" s="54">
        <f t="shared" si="37"/>
        <v>7.4999999999999997E-2</v>
      </c>
      <c r="I38" s="62">
        <f t="shared" si="38"/>
        <v>1.355E-2</v>
      </c>
      <c r="J38" s="63">
        <f t="shared" si="39"/>
        <v>0</v>
      </c>
      <c r="K38" s="64">
        <f t="shared" si="40"/>
        <v>13</v>
      </c>
      <c r="L38">
        <f t="shared" si="41"/>
        <v>15</v>
      </c>
      <c r="M38">
        <f t="shared" si="42"/>
        <v>9</v>
      </c>
      <c r="N38">
        <f t="shared" si="43"/>
        <v>2028</v>
      </c>
    </row>
    <row r="39" spans="1:14">
      <c r="A39" s="10">
        <f t="shared" si="3"/>
        <v>36</v>
      </c>
      <c r="B39" s="58">
        <f t="shared" si="32"/>
        <v>0</v>
      </c>
      <c r="C39" s="58">
        <f t="shared" si="33"/>
        <v>0</v>
      </c>
      <c r="D39" s="60">
        <f t="shared" si="34"/>
        <v>0</v>
      </c>
      <c r="E39" s="60">
        <f t="shared" si="35"/>
        <v>0</v>
      </c>
      <c r="F39" s="58">
        <f t="shared" si="36"/>
        <v>0</v>
      </c>
      <c r="G39" s="61">
        <v>8.7599999999999997E-2</v>
      </c>
      <c r="H39" s="54">
        <f t="shared" si="37"/>
        <v>7.4999999999999997E-2</v>
      </c>
      <c r="I39" s="62">
        <f t="shared" si="38"/>
        <v>1.355E-2</v>
      </c>
      <c r="J39" s="63">
        <f t="shared" si="39"/>
        <v>0</v>
      </c>
      <c r="K39" s="64">
        <f t="shared" si="40"/>
        <v>12</v>
      </c>
      <c r="L39">
        <f t="shared" si="41"/>
        <v>15</v>
      </c>
      <c r="M39">
        <f t="shared" si="42"/>
        <v>10</v>
      </c>
      <c r="N39">
        <f t="shared" si="43"/>
        <v>2028</v>
      </c>
    </row>
    <row r="40" spans="1:14">
      <c r="A40" s="10">
        <f t="shared" si="3"/>
        <v>37</v>
      </c>
      <c r="B40" s="58">
        <f t="shared" ref="B40:B48" si="44">IF(A40=" "," ",+F39)</f>
        <v>0</v>
      </c>
      <c r="C40" s="58">
        <f t="shared" ref="C40:C48" si="45">IF(A40=" "," ",+B40*I39)</f>
        <v>0</v>
      </c>
      <c r="D40" s="60">
        <f t="shared" ref="D40:D48" si="46">+E40-C40</f>
        <v>0</v>
      </c>
      <c r="E40" s="60">
        <f t="shared" ref="E40:E48" si="47">IF(A40=" "," ",+J39)</f>
        <v>0</v>
      </c>
      <c r="F40" s="58">
        <f t="shared" ref="F40:F48" si="48">+B40-D40</f>
        <v>0</v>
      </c>
      <c r="G40" s="61">
        <v>8.7599999999999997E-2</v>
      </c>
      <c r="H40" s="54">
        <f t="shared" ref="H40:H48" si="49">IF(A40=" "," ",+H39)</f>
        <v>7.4999999999999997E-2</v>
      </c>
      <c r="I40" s="62">
        <f t="shared" ref="I40:I48" si="50">IF(A40=" "," ",((G40+H40)/12))</f>
        <v>1.355E-2</v>
      </c>
      <c r="J40" s="63">
        <f t="shared" ref="J40:J48" si="51">PMT(I40,K40,-F40,0)</f>
        <v>0</v>
      </c>
      <c r="K40" s="64">
        <f t="shared" ref="K40:K48" si="52">IF(A37=" "," ",+$B$2-A40)</f>
        <v>11</v>
      </c>
      <c r="L40">
        <f t="shared" ref="L40:L48" si="53">IF(A40&lt;&gt;" ",+L39," ")</f>
        <v>15</v>
      </c>
      <c r="M40">
        <f t="shared" ref="M40:M48" si="54">IF(AND(A40&lt;&gt;" ")*(M39=12),1,1+M39)</f>
        <v>11</v>
      </c>
      <c r="N40">
        <f t="shared" ref="N40:N48" si="55">IF(AND(A40&lt;&gt;" ")*(M40=1),1+N39,N39)</f>
        <v>2028</v>
      </c>
    </row>
    <row r="41" spans="1:14">
      <c r="A41" s="10">
        <f t="shared" si="3"/>
        <v>38</v>
      </c>
      <c r="B41" s="58">
        <f t="shared" si="44"/>
        <v>0</v>
      </c>
      <c r="C41" s="58">
        <f t="shared" si="45"/>
        <v>0</v>
      </c>
      <c r="D41" s="60">
        <f t="shared" si="46"/>
        <v>0</v>
      </c>
      <c r="E41" s="60">
        <f t="shared" si="47"/>
        <v>0</v>
      </c>
      <c r="F41" s="58">
        <f t="shared" si="48"/>
        <v>0</v>
      </c>
      <c r="G41" s="61">
        <v>8.7599999999999997E-2</v>
      </c>
      <c r="H41" s="54">
        <f t="shared" si="49"/>
        <v>7.4999999999999997E-2</v>
      </c>
      <c r="I41" s="62">
        <f t="shared" si="50"/>
        <v>1.355E-2</v>
      </c>
      <c r="J41" s="63">
        <f t="shared" si="51"/>
        <v>0</v>
      </c>
      <c r="K41" s="64">
        <f t="shared" si="52"/>
        <v>10</v>
      </c>
      <c r="L41">
        <f t="shared" si="53"/>
        <v>15</v>
      </c>
      <c r="M41">
        <f t="shared" si="54"/>
        <v>12</v>
      </c>
      <c r="N41">
        <f t="shared" si="55"/>
        <v>2028</v>
      </c>
    </row>
    <row r="42" spans="1:14">
      <c r="A42" s="10">
        <f t="shared" si="3"/>
        <v>39</v>
      </c>
      <c r="B42" s="58">
        <f t="shared" si="44"/>
        <v>0</v>
      </c>
      <c r="C42" s="58">
        <f t="shared" si="45"/>
        <v>0</v>
      </c>
      <c r="D42" s="60">
        <f t="shared" si="46"/>
        <v>0</v>
      </c>
      <c r="E42" s="60">
        <f t="shared" si="47"/>
        <v>0</v>
      </c>
      <c r="F42" s="58">
        <f t="shared" si="48"/>
        <v>0</v>
      </c>
      <c r="G42" s="61">
        <v>8.7599999999999997E-2</v>
      </c>
      <c r="H42" s="54">
        <f t="shared" si="49"/>
        <v>7.4999999999999997E-2</v>
      </c>
      <c r="I42" s="62">
        <f t="shared" si="50"/>
        <v>1.355E-2</v>
      </c>
      <c r="J42" s="63">
        <f t="shared" si="51"/>
        <v>0</v>
      </c>
      <c r="K42" s="64">
        <f t="shared" si="52"/>
        <v>9</v>
      </c>
      <c r="L42">
        <f t="shared" si="53"/>
        <v>15</v>
      </c>
      <c r="M42">
        <f t="shared" si="54"/>
        <v>1</v>
      </c>
      <c r="N42">
        <f t="shared" si="55"/>
        <v>2029</v>
      </c>
    </row>
    <row r="43" spans="1:14">
      <c r="A43" s="10">
        <f t="shared" si="3"/>
        <v>40</v>
      </c>
      <c r="B43" s="58">
        <f t="shared" si="44"/>
        <v>0</v>
      </c>
      <c r="C43" s="58">
        <f t="shared" si="45"/>
        <v>0</v>
      </c>
      <c r="D43" s="60">
        <f t="shared" si="46"/>
        <v>0</v>
      </c>
      <c r="E43" s="60">
        <f t="shared" si="47"/>
        <v>0</v>
      </c>
      <c r="F43" s="58">
        <f t="shared" si="48"/>
        <v>0</v>
      </c>
      <c r="G43" s="61">
        <v>8.7599999999999997E-2</v>
      </c>
      <c r="H43" s="54">
        <f t="shared" si="49"/>
        <v>7.4999999999999997E-2</v>
      </c>
      <c r="I43" s="62">
        <f t="shared" si="50"/>
        <v>1.355E-2</v>
      </c>
      <c r="J43" s="63">
        <f t="shared" si="51"/>
        <v>0</v>
      </c>
      <c r="K43" s="64">
        <f t="shared" si="52"/>
        <v>8</v>
      </c>
      <c r="L43">
        <f t="shared" si="53"/>
        <v>15</v>
      </c>
      <c r="M43">
        <f t="shared" si="54"/>
        <v>2</v>
      </c>
      <c r="N43">
        <f t="shared" si="55"/>
        <v>2029</v>
      </c>
    </row>
    <row r="44" spans="1:14">
      <c r="A44" s="10">
        <f t="shared" si="3"/>
        <v>41</v>
      </c>
      <c r="B44" s="58">
        <f t="shared" si="44"/>
        <v>0</v>
      </c>
      <c r="C44" s="58">
        <f t="shared" si="45"/>
        <v>0</v>
      </c>
      <c r="D44" s="60">
        <f t="shared" si="46"/>
        <v>0</v>
      </c>
      <c r="E44" s="60">
        <f t="shared" si="47"/>
        <v>0</v>
      </c>
      <c r="F44" s="58">
        <f t="shared" si="48"/>
        <v>0</v>
      </c>
      <c r="G44" s="61">
        <v>8.7599999999999997E-2</v>
      </c>
      <c r="H44" s="54">
        <f t="shared" si="49"/>
        <v>7.4999999999999997E-2</v>
      </c>
      <c r="I44" s="62">
        <f t="shared" si="50"/>
        <v>1.355E-2</v>
      </c>
      <c r="J44" s="63">
        <f t="shared" si="51"/>
        <v>0</v>
      </c>
      <c r="K44" s="64">
        <f t="shared" si="52"/>
        <v>7</v>
      </c>
      <c r="L44">
        <f t="shared" si="53"/>
        <v>15</v>
      </c>
      <c r="M44">
        <f t="shared" si="54"/>
        <v>3</v>
      </c>
      <c r="N44">
        <f t="shared" si="55"/>
        <v>2029</v>
      </c>
    </row>
    <row r="45" spans="1:14">
      <c r="A45" s="10">
        <f t="shared" si="3"/>
        <v>42</v>
      </c>
      <c r="B45" s="58">
        <f t="shared" si="44"/>
        <v>0</v>
      </c>
      <c r="C45" s="58">
        <f t="shared" si="45"/>
        <v>0</v>
      </c>
      <c r="D45" s="60">
        <f t="shared" si="46"/>
        <v>0</v>
      </c>
      <c r="E45" s="60">
        <f t="shared" si="47"/>
        <v>0</v>
      </c>
      <c r="F45" s="58">
        <f t="shared" si="48"/>
        <v>0</v>
      </c>
      <c r="G45" s="61">
        <v>8.7599999999999997E-2</v>
      </c>
      <c r="H45" s="54">
        <f t="shared" si="49"/>
        <v>7.4999999999999997E-2</v>
      </c>
      <c r="I45" s="62">
        <f t="shared" si="50"/>
        <v>1.355E-2</v>
      </c>
      <c r="J45" s="63">
        <f t="shared" si="51"/>
        <v>0</v>
      </c>
      <c r="K45" s="64">
        <f t="shared" si="52"/>
        <v>6</v>
      </c>
      <c r="L45">
        <f t="shared" si="53"/>
        <v>15</v>
      </c>
      <c r="M45">
        <f t="shared" si="54"/>
        <v>4</v>
      </c>
      <c r="N45">
        <f t="shared" si="55"/>
        <v>2029</v>
      </c>
    </row>
    <row r="46" spans="1:14">
      <c r="A46" s="10">
        <f t="shared" si="3"/>
        <v>43</v>
      </c>
      <c r="B46" s="58">
        <f t="shared" si="44"/>
        <v>0</v>
      </c>
      <c r="C46" s="58">
        <f t="shared" si="45"/>
        <v>0</v>
      </c>
      <c r="D46" s="60">
        <f t="shared" si="46"/>
        <v>0</v>
      </c>
      <c r="E46" s="60">
        <f t="shared" si="47"/>
        <v>0</v>
      </c>
      <c r="F46" s="58">
        <f t="shared" si="48"/>
        <v>0</v>
      </c>
      <c r="G46" s="61">
        <v>8.7599999999999997E-2</v>
      </c>
      <c r="H46" s="54">
        <f t="shared" si="49"/>
        <v>7.4999999999999997E-2</v>
      </c>
      <c r="I46" s="62">
        <f t="shared" si="50"/>
        <v>1.355E-2</v>
      </c>
      <c r="J46" s="63">
        <f t="shared" si="51"/>
        <v>0</v>
      </c>
      <c r="K46" s="64">
        <f t="shared" si="52"/>
        <v>5</v>
      </c>
      <c r="L46">
        <f t="shared" si="53"/>
        <v>15</v>
      </c>
      <c r="M46">
        <f t="shared" si="54"/>
        <v>5</v>
      </c>
      <c r="N46">
        <f t="shared" si="55"/>
        <v>2029</v>
      </c>
    </row>
    <row r="47" spans="1:14">
      <c r="A47" s="10">
        <f t="shared" si="3"/>
        <v>44</v>
      </c>
      <c r="B47" s="58">
        <f t="shared" si="44"/>
        <v>0</v>
      </c>
      <c r="C47" s="58">
        <f t="shared" si="45"/>
        <v>0</v>
      </c>
      <c r="D47" s="60">
        <f t="shared" si="46"/>
        <v>0</v>
      </c>
      <c r="E47" s="60">
        <f t="shared" si="47"/>
        <v>0</v>
      </c>
      <c r="F47" s="58">
        <f t="shared" si="48"/>
        <v>0</v>
      </c>
      <c r="G47" s="61">
        <v>8.7599999999999997E-2</v>
      </c>
      <c r="H47" s="54">
        <f t="shared" si="49"/>
        <v>7.4999999999999997E-2</v>
      </c>
      <c r="I47" s="62">
        <f t="shared" si="50"/>
        <v>1.355E-2</v>
      </c>
      <c r="J47" s="63">
        <f t="shared" si="51"/>
        <v>0</v>
      </c>
      <c r="K47" s="64">
        <f t="shared" si="52"/>
        <v>4</v>
      </c>
      <c r="L47">
        <f t="shared" si="53"/>
        <v>15</v>
      </c>
      <c r="M47">
        <f t="shared" si="54"/>
        <v>6</v>
      </c>
      <c r="N47">
        <f t="shared" si="55"/>
        <v>2029</v>
      </c>
    </row>
    <row r="48" spans="1:14">
      <c r="A48" s="10">
        <f t="shared" si="3"/>
        <v>45</v>
      </c>
      <c r="B48" s="58">
        <f t="shared" si="44"/>
        <v>0</v>
      </c>
      <c r="C48" s="58">
        <f t="shared" si="45"/>
        <v>0</v>
      </c>
      <c r="D48" s="60">
        <f t="shared" si="46"/>
        <v>0</v>
      </c>
      <c r="E48" s="60">
        <f t="shared" si="47"/>
        <v>0</v>
      </c>
      <c r="F48" s="58">
        <f t="shared" si="48"/>
        <v>0</v>
      </c>
      <c r="G48" s="61">
        <v>8.7599999999999997E-2</v>
      </c>
      <c r="H48" s="54">
        <f t="shared" si="49"/>
        <v>7.4999999999999997E-2</v>
      </c>
      <c r="I48" s="62">
        <f t="shared" si="50"/>
        <v>1.355E-2</v>
      </c>
      <c r="J48" s="63">
        <f t="shared" si="51"/>
        <v>0</v>
      </c>
      <c r="K48" s="64">
        <f t="shared" si="52"/>
        <v>3</v>
      </c>
      <c r="L48">
        <f t="shared" si="53"/>
        <v>15</v>
      </c>
      <c r="M48">
        <f t="shared" si="54"/>
        <v>7</v>
      </c>
      <c r="N48">
        <f t="shared" si="55"/>
        <v>2029</v>
      </c>
    </row>
    <row r="49" spans="1:14">
      <c r="A49" s="10">
        <f t="shared" si="3"/>
        <v>46</v>
      </c>
      <c r="B49" s="58">
        <f t="shared" ref="B49:B51" si="56">IF(A49=" "," ",+F48)</f>
        <v>0</v>
      </c>
      <c r="C49" s="58">
        <f t="shared" ref="C49:C51" si="57">IF(A49=" "," ",+B49*I48)</f>
        <v>0</v>
      </c>
      <c r="D49" s="60">
        <f t="shared" ref="D49:D51" si="58">+E49-C49</f>
        <v>0</v>
      </c>
      <c r="E49" s="60">
        <f t="shared" ref="E49:E51" si="59">IF(A49=" "," ",+J48)</f>
        <v>0</v>
      </c>
      <c r="F49" s="58">
        <f t="shared" ref="F49:F51" si="60">+B49-D49</f>
        <v>0</v>
      </c>
      <c r="G49" s="61">
        <v>8.7599999999999997E-2</v>
      </c>
      <c r="H49" s="54">
        <f t="shared" ref="H49:H51" si="61">IF(A49=" "," ",+H48)</f>
        <v>7.4999999999999997E-2</v>
      </c>
      <c r="I49" s="62">
        <f t="shared" ref="I49:I51" si="62">IF(A49=" "," ",((G49+H49)/12))</f>
        <v>1.355E-2</v>
      </c>
      <c r="J49" s="63">
        <f t="shared" ref="J49:J51" si="63">PMT(I49,K49,-F49,0)</f>
        <v>0</v>
      </c>
      <c r="K49" s="64">
        <f t="shared" ref="K49:K51" si="64">IF(A46=" "," ",+$B$2-A49)</f>
        <v>2</v>
      </c>
      <c r="L49">
        <f t="shared" ref="L49:L51" si="65">IF(A49&lt;&gt;" ",+L48," ")</f>
        <v>15</v>
      </c>
      <c r="M49">
        <f t="shared" ref="M49:M51" si="66">IF(AND(A49&lt;&gt;" ")*(M48=12),1,1+M48)</f>
        <v>8</v>
      </c>
      <c r="N49">
        <f t="shared" ref="N49:N51" si="67">IF(AND(A49&lt;&gt;" ")*(M49=1),1+N48,N48)</f>
        <v>2029</v>
      </c>
    </row>
    <row r="50" spans="1:14">
      <c r="A50" s="10">
        <f t="shared" si="3"/>
        <v>47</v>
      </c>
      <c r="B50" s="58">
        <f t="shared" si="56"/>
        <v>0</v>
      </c>
      <c r="C50" s="58">
        <f t="shared" si="57"/>
        <v>0</v>
      </c>
      <c r="D50" s="60">
        <f t="shared" si="58"/>
        <v>0</v>
      </c>
      <c r="E50" s="60">
        <f t="shared" si="59"/>
        <v>0</v>
      </c>
      <c r="F50" s="58">
        <f t="shared" si="60"/>
        <v>0</v>
      </c>
      <c r="G50" s="61">
        <v>8.7599999999999997E-2</v>
      </c>
      <c r="H50" s="54">
        <f t="shared" si="61"/>
        <v>7.4999999999999997E-2</v>
      </c>
      <c r="I50" s="62">
        <f t="shared" si="62"/>
        <v>1.355E-2</v>
      </c>
      <c r="J50" s="63">
        <f t="shared" si="63"/>
        <v>0</v>
      </c>
      <c r="K50" s="64">
        <f t="shared" si="64"/>
        <v>1</v>
      </c>
      <c r="L50">
        <f t="shared" si="65"/>
        <v>15</v>
      </c>
      <c r="M50">
        <f t="shared" si="66"/>
        <v>9</v>
      </c>
      <c r="N50">
        <f t="shared" si="67"/>
        <v>2029</v>
      </c>
    </row>
    <row r="51" spans="1:14">
      <c r="A51" s="10">
        <f t="shared" si="3"/>
        <v>48</v>
      </c>
      <c r="B51" s="58">
        <f t="shared" si="56"/>
        <v>0</v>
      </c>
      <c r="C51" s="58">
        <f t="shared" si="57"/>
        <v>0</v>
      </c>
      <c r="D51" s="60">
        <f t="shared" si="58"/>
        <v>0</v>
      </c>
      <c r="E51" s="60">
        <f t="shared" si="59"/>
        <v>0</v>
      </c>
      <c r="F51" s="58">
        <f t="shared" si="60"/>
        <v>0</v>
      </c>
      <c r="G51" s="61">
        <v>8.7599999999999997E-2</v>
      </c>
      <c r="H51" s="54">
        <f t="shared" si="61"/>
        <v>7.4999999999999997E-2</v>
      </c>
      <c r="I51" s="62">
        <f t="shared" si="62"/>
        <v>1.355E-2</v>
      </c>
      <c r="J51" s="63" t="e">
        <f t="shared" si="63"/>
        <v>#NUM!</v>
      </c>
      <c r="K51" s="64">
        <f t="shared" si="64"/>
        <v>0</v>
      </c>
      <c r="L51">
        <f t="shared" si="65"/>
        <v>15</v>
      </c>
      <c r="M51">
        <f t="shared" si="66"/>
        <v>10</v>
      </c>
      <c r="N51">
        <f t="shared" si="67"/>
        <v>2029</v>
      </c>
    </row>
  </sheetData>
  <mergeCells count="1">
    <mergeCell ref="Q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2BB9-646D-4D33-8373-2D05BFEF11C6}">
  <dimension ref="B1:E53"/>
  <sheetViews>
    <sheetView topLeftCell="A26" workbookViewId="0">
      <selection activeCell="M55" sqref="M55"/>
    </sheetView>
  </sheetViews>
  <sheetFormatPr defaultColWidth="11.42578125" defaultRowHeight="14.45"/>
  <cols>
    <col min="1" max="1" width="3.5703125" customWidth="1"/>
    <col min="2" max="2" width="20.28515625" bestFit="1" customWidth="1"/>
    <col min="3" max="3" width="13.5703125" bestFit="1" customWidth="1"/>
    <col min="4" max="4" width="11.140625" bestFit="1" customWidth="1"/>
  </cols>
  <sheetData>
    <row r="1" spans="2:5" ht="15" thickBot="1">
      <c r="B1" s="21"/>
      <c r="C1" s="21"/>
      <c r="D1" s="21"/>
      <c r="E1" s="21"/>
    </row>
    <row r="2" spans="2:5">
      <c r="B2" s="76" t="s">
        <v>43</v>
      </c>
      <c r="C2" s="77"/>
      <c r="D2" s="78">
        <v>7.0000000000000007E-2</v>
      </c>
      <c r="E2" s="21"/>
    </row>
    <row r="3" spans="2:5">
      <c r="B3" s="79" t="s">
        <v>44</v>
      </c>
      <c r="C3" s="23">
        <v>10275097</v>
      </c>
      <c r="D3" s="80"/>
      <c r="E3" s="21"/>
    </row>
    <row r="4" spans="2:5">
      <c r="B4" s="79" t="s">
        <v>45</v>
      </c>
      <c r="C4" s="23">
        <v>9764336</v>
      </c>
      <c r="D4" s="80"/>
      <c r="E4" s="21"/>
    </row>
    <row r="5" spans="2:5">
      <c r="B5" s="79" t="s">
        <v>46</v>
      </c>
      <c r="C5" s="23">
        <f>+C3-C4</f>
        <v>510761</v>
      </c>
      <c r="D5" s="80"/>
      <c r="E5" s="21"/>
    </row>
    <row r="6" spans="2:5">
      <c r="B6" s="79" t="s">
        <v>47</v>
      </c>
      <c r="C6" s="23">
        <v>2449561</v>
      </c>
      <c r="D6" s="81">
        <f>+C6*7%</f>
        <v>171469.27000000002</v>
      </c>
      <c r="E6" s="21"/>
    </row>
    <row r="7" spans="2:5">
      <c r="B7" s="79" t="s">
        <v>48</v>
      </c>
      <c r="C7" s="23">
        <v>4847022</v>
      </c>
      <c r="D7" s="81">
        <f>+C7*7%</f>
        <v>339291.54000000004</v>
      </c>
      <c r="E7" s="21"/>
    </row>
    <row r="8" spans="2:5" ht="15" thickBot="1">
      <c r="B8" s="82" t="s">
        <v>49</v>
      </c>
      <c r="C8" s="83"/>
      <c r="D8" s="84">
        <f>+D6+D7</f>
        <v>510760.81000000006</v>
      </c>
      <c r="E8" s="21"/>
    </row>
    <row r="9" spans="2:5" ht="15" thickBot="1">
      <c r="B9" s="21"/>
      <c r="C9" s="21"/>
      <c r="D9" s="21"/>
      <c r="E9" s="21"/>
    </row>
    <row r="10" spans="2:5">
      <c r="B10" s="76" t="s">
        <v>50</v>
      </c>
      <c r="C10" s="77"/>
      <c r="D10" s="78">
        <v>7.0000000000000007E-2</v>
      </c>
      <c r="E10" s="21"/>
    </row>
    <row r="11" spans="2:5">
      <c r="B11" s="79" t="s">
        <v>44</v>
      </c>
      <c r="C11" s="23">
        <v>10281417</v>
      </c>
      <c r="D11" s="80"/>
      <c r="E11" s="21"/>
    </row>
    <row r="12" spans="2:5">
      <c r="B12" s="79" t="s">
        <v>45</v>
      </c>
      <c r="C12" s="23">
        <v>9946874</v>
      </c>
      <c r="D12" s="80"/>
    </row>
    <row r="13" spans="2:5">
      <c r="B13" s="79" t="s">
        <v>46</v>
      </c>
      <c r="C13" s="23">
        <f>+C11-C12</f>
        <v>334543</v>
      </c>
      <c r="D13" s="80"/>
    </row>
    <row r="14" spans="2:5" ht="15" thickBot="1">
      <c r="B14" s="82" t="s">
        <v>51</v>
      </c>
      <c r="C14" s="83">
        <v>4779188</v>
      </c>
      <c r="D14" s="84">
        <f>+C14*7%</f>
        <v>334543.16000000003</v>
      </c>
    </row>
    <row r="15" spans="2:5" ht="15" thickBot="1"/>
    <row r="16" spans="2:5">
      <c r="B16" s="76" t="s">
        <v>52</v>
      </c>
      <c r="C16" s="77"/>
      <c r="D16" s="78">
        <v>7.0000000000000007E-2</v>
      </c>
    </row>
    <row r="17" spans="2:4">
      <c r="B17" s="79" t="s">
        <v>53</v>
      </c>
      <c r="C17" s="23">
        <f>+C18+D20</f>
        <v>9946874.2799999993</v>
      </c>
      <c r="D17" s="80"/>
    </row>
    <row r="18" spans="2:4">
      <c r="B18" s="79" t="s">
        <v>45</v>
      </c>
      <c r="C18" s="23">
        <v>9614752</v>
      </c>
      <c r="D18" s="80"/>
    </row>
    <row r="19" spans="2:4">
      <c r="B19" s="79" t="s">
        <v>46</v>
      </c>
      <c r="C19" s="23">
        <f>+C17-C18</f>
        <v>332122.27999999933</v>
      </c>
      <c r="D19" s="80"/>
    </row>
    <row r="20" spans="2:4" ht="15" thickBot="1">
      <c r="B20" s="82" t="s">
        <v>54</v>
      </c>
      <c r="C20" s="83">
        <v>4744604</v>
      </c>
      <c r="D20" s="84">
        <f>+C20*7%</f>
        <v>332122.28000000003</v>
      </c>
    </row>
    <row r="21" spans="2:4" ht="15" thickBot="1"/>
    <row r="22" spans="2:4">
      <c r="B22" s="76" t="s">
        <v>55</v>
      </c>
      <c r="C22" s="77"/>
      <c r="D22" s="78">
        <v>7.0000000000000007E-2</v>
      </c>
    </row>
    <row r="23" spans="2:4">
      <c r="B23" s="79" t="s">
        <v>53</v>
      </c>
      <c r="C23" s="86">
        <f>+C24+D26</f>
        <v>10059300.640000001</v>
      </c>
      <c r="D23" s="80"/>
    </row>
    <row r="24" spans="2:4">
      <c r="B24" s="79" t="s">
        <v>56</v>
      </c>
      <c r="C24" s="86">
        <v>9721750</v>
      </c>
      <c r="D24" s="80"/>
    </row>
    <row r="25" spans="2:4">
      <c r="B25" s="79" t="s">
        <v>46</v>
      </c>
      <c r="C25" s="86">
        <f>+C23-C24</f>
        <v>337550.6400000006</v>
      </c>
      <c r="D25" s="80"/>
    </row>
    <row r="26" spans="2:4" ht="15" thickBot="1">
      <c r="B26" s="82" t="s">
        <v>57</v>
      </c>
      <c r="C26" s="87">
        <v>4822152</v>
      </c>
      <c r="D26" s="84">
        <f>+C26*7%</f>
        <v>337550.64</v>
      </c>
    </row>
    <row r="27" spans="2:4" ht="15" thickBot="1"/>
    <row r="28" spans="2:4">
      <c r="B28" s="76" t="s">
        <v>58</v>
      </c>
      <c r="C28" s="77"/>
      <c r="D28" s="78">
        <v>7.0000000000000007E-2</v>
      </c>
    </row>
    <row r="29" spans="2:4">
      <c r="B29" s="79" t="s">
        <v>53</v>
      </c>
      <c r="C29" s="86">
        <v>10476636</v>
      </c>
      <c r="D29" s="80"/>
    </row>
    <row r="30" spans="2:4">
      <c r="B30" s="79" t="s">
        <v>56</v>
      </c>
      <c r="C30" s="86">
        <v>10135796</v>
      </c>
      <c r="D30" s="80"/>
    </row>
    <row r="31" spans="2:4">
      <c r="B31" s="79" t="s">
        <v>46</v>
      </c>
      <c r="C31" s="86">
        <f>+C29-C30</f>
        <v>340840</v>
      </c>
      <c r="D31" s="80"/>
    </row>
    <row r="32" spans="2:4" ht="15" thickBot="1">
      <c r="B32" s="82" t="s">
        <v>59</v>
      </c>
      <c r="C32" s="87">
        <v>4869138</v>
      </c>
      <c r="D32" s="84">
        <f>+C32*7%</f>
        <v>340839.66000000003</v>
      </c>
    </row>
    <row r="33" spans="2:4" ht="15" thickBot="1"/>
    <row r="34" spans="2:4">
      <c r="B34" s="76" t="s">
        <v>60</v>
      </c>
      <c r="C34" s="77"/>
      <c r="D34" s="78">
        <v>7.0000000000000007E-2</v>
      </c>
    </row>
    <row r="35" spans="2:4">
      <c r="B35" s="79" t="s">
        <v>53</v>
      </c>
      <c r="C35" s="86">
        <f>+C36+D38</f>
        <v>10640136.58</v>
      </c>
      <c r="D35" s="80"/>
    </row>
    <row r="36" spans="2:4">
      <c r="B36" s="79" t="s">
        <v>56</v>
      </c>
      <c r="C36" s="86">
        <v>10294722</v>
      </c>
      <c r="D36" s="80"/>
    </row>
    <row r="37" spans="2:4">
      <c r="B37" s="79" t="s">
        <v>46</v>
      </c>
      <c r="C37" s="86">
        <f>+C35-C36</f>
        <v>345414.58000000007</v>
      </c>
      <c r="D37" s="80"/>
    </row>
    <row r="38" spans="2:4" ht="15" thickBot="1">
      <c r="B38" s="82" t="s">
        <v>61</v>
      </c>
      <c r="C38" s="87">
        <v>4934494</v>
      </c>
      <c r="D38" s="84">
        <f>+C38*7%</f>
        <v>345414.58</v>
      </c>
    </row>
    <row r="40" spans="2:4">
      <c r="B40" s="76" t="s">
        <v>62</v>
      </c>
      <c r="C40" s="77"/>
      <c r="D40" s="78">
        <v>7.0000000000000007E-2</v>
      </c>
    </row>
    <row r="41" spans="2:4">
      <c r="B41" s="79" t="s">
        <v>53</v>
      </c>
      <c r="C41" s="86">
        <f>+C42+D44</f>
        <v>10590767.85</v>
      </c>
      <c r="D41" s="80"/>
    </row>
    <row r="42" spans="2:4">
      <c r="B42" s="79" t="s">
        <v>56</v>
      </c>
      <c r="C42" s="86">
        <v>10248044</v>
      </c>
      <c r="D42" s="80"/>
    </row>
    <row r="43" spans="2:4">
      <c r="B43" s="79" t="s">
        <v>46</v>
      </c>
      <c r="C43" s="86">
        <f>+C41-C42</f>
        <v>342723.84999999963</v>
      </c>
      <c r="D43" s="80"/>
    </row>
    <row r="44" spans="2:4">
      <c r="B44" s="82" t="s">
        <v>63</v>
      </c>
      <c r="C44" s="87">
        <v>4896055</v>
      </c>
      <c r="D44" s="84">
        <f>+C44*7%</f>
        <v>342723.85000000003</v>
      </c>
    </row>
    <row r="45" spans="2:4" ht="15"/>
    <row r="46" spans="2:4" ht="15">
      <c r="B46" s="92" t="s">
        <v>64</v>
      </c>
      <c r="C46" s="93"/>
      <c r="D46" s="94">
        <v>7.0000000000000007E-2</v>
      </c>
    </row>
    <row r="47" spans="2:4" ht="15">
      <c r="B47" s="95" t="s">
        <v>53</v>
      </c>
      <c r="C47" s="91">
        <f>+C48+D52</f>
        <v>323133259.04000002</v>
      </c>
      <c r="D47" s="96"/>
    </row>
    <row r="48" spans="2:4" ht="15">
      <c r="B48" s="95" t="s">
        <v>56</v>
      </c>
      <c r="C48" s="91">
        <v>322558848</v>
      </c>
      <c r="D48" s="96"/>
    </row>
    <row r="49" spans="2:4" ht="15">
      <c r="B49" s="95" t="s">
        <v>46</v>
      </c>
      <c r="C49" s="91">
        <f>+C47-C48</f>
        <v>574411.04000002146</v>
      </c>
      <c r="D49" s="96"/>
    </row>
    <row r="50" spans="2:4" ht="15">
      <c r="B50" s="95" t="s">
        <v>65</v>
      </c>
      <c r="C50" s="91">
        <v>4818236</v>
      </c>
      <c r="D50" s="97">
        <f>+C50*7%</f>
        <v>337276.52</v>
      </c>
    </row>
    <row r="51" spans="2:4" ht="15">
      <c r="B51" s="95" t="s">
        <v>66</v>
      </c>
      <c r="C51" s="91">
        <v>3387636</v>
      </c>
      <c r="D51" s="97">
        <f>+C51*7%</f>
        <v>237134.52000000002</v>
      </c>
    </row>
    <row r="52" spans="2:4" ht="15">
      <c r="B52" s="98" t="s">
        <v>67</v>
      </c>
      <c r="C52" s="99"/>
      <c r="D52" s="100">
        <f>+D50+D51</f>
        <v>574411.04</v>
      </c>
    </row>
    <row r="53" spans="2:4" ht="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04" t="s">
        <v>23</v>
      </c>
      <c r="B2" s="105"/>
      <c r="C2" s="105"/>
      <c r="D2" s="106"/>
    </row>
    <row r="3" spans="1:4" ht="26.45">
      <c r="A3" s="24" t="s">
        <v>36</v>
      </c>
      <c r="B3" s="17" t="s">
        <v>37</v>
      </c>
      <c r="C3" s="18" t="s">
        <v>38</v>
      </c>
      <c r="D3" s="25" t="s">
        <v>42</v>
      </c>
    </row>
    <row r="4" spans="1:4">
      <c r="A4" s="26"/>
      <c r="B4" s="23"/>
      <c r="C4" s="23"/>
      <c r="D4" s="27"/>
    </row>
    <row r="5" spans="1:4">
      <c r="A5" s="26"/>
      <c r="B5" s="23"/>
      <c r="C5" s="23"/>
      <c r="D5" s="28"/>
    </row>
    <row r="6" spans="1:4" ht="15" thickBot="1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07" t="s">
        <v>68</v>
      </c>
      <c r="B2" s="107"/>
      <c r="C2" s="107"/>
      <c r="D2" s="107"/>
      <c r="G2" s="108" t="s">
        <v>69</v>
      </c>
      <c r="H2" s="108"/>
      <c r="I2" s="108"/>
      <c r="J2" s="108"/>
    </row>
    <row r="4" spans="1:10" ht="26.45">
      <c r="A4" s="42" t="s">
        <v>36</v>
      </c>
      <c r="B4" s="43" t="s">
        <v>37</v>
      </c>
      <c r="C4" s="44" t="s">
        <v>38</v>
      </c>
      <c r="D4" s="51" t="s">
        <v>42</v>
      </c>
      <c r="F4" s="45" t="s">
        <v>70</v>
      </c>
      <c r="G4" s="45" t="s">
        <v>36</v>
      </c>
      <c r="H4" s="46" t="s">
        <v>37</v>
      </c>
      <c r="I4" s="47" t="s">
        <v>38</v>
      </c>
      <c r="J4" s="47" t="s">
        <v>71</v>
      </c>
    </row>
    <row r="5" spans="1:10">
      <c r="A5" s="49">
        <v>45092</v>
      </c>
      <c r="B5" s="50">
        <v>11579428</v>
      </c>
      <c r="C5" s="50">
        <v>5047163</v>
      </c>
      <c r="D5" s="50">
        <f>+C5+B5</f>
        <v>16626591</v>
      </c>
      <c r="F5" s="48">
        <v>1</v>
      </c>
      <c r="G5" s="37">
        <v>45092</v>
      </c>
      <c r="H5" s="19">
        <v>11579428</v>
      </c>
      <c r="I5" s="19">
        <v>5047163</v>
      </c>
      <c r="J5" s="39">
        <f>+H5+I5</f>
        <v>16626591</v>
      </c>
    </row>
    <row r="6" spans="1:10">
      <c r="A6" s="37">
        <v>45121</v>
      </c>
      <c r="B6" s="50">
        <v>11095536</v>
      </c>
      <c r="C6" s="52">
        <v>5531054</v>
      </c>
      <c r="D6" s="50">
        <f>+C6+B6</f>
        <v>16626590</v>
      </c>
      <c r="F6" s="36">
        <v>2</v>
      </c>
      <c r="G6" s="37">
        <v>45122</v>
      </c>
      <c r="H6" s="23">
        <v>11478140</v>
      </c>
      <c r="I6" s="23">
        <v>5148450</v>
      </c>
      <c r="J6" s="39">
        <f>SUM(H6:I6)</f>
        <v>16626590</v>
      </c>
    </row>
    <row r="7" spans="1:10">
      <c r="A7" s="37">
        <v>45153</v>
      </c>
      <c r="B7" s="50"/>
      <c r="C7" s="50"/>
      <c r="D7" s="50">
        <f>+C7+B7</f>
        <v>0</v>
      </c>
      <c r="F7" s="36">
        <v>3</v>
      </c>
      <c r="G7" s="37">
        <v>45153</v>
      </c>
      <c r="H7" s="23">
        <v>11368085</v>
      </c>
      <c r="I7" s="23">
        <v>5247935</v>
      </c>
      <c r="J7" s="39">
        <f>SUM(H7:I7)</f>
        <v>16616020</v>
      </c>
    </row>
    <row r="8" spans="1:10">
      <c r="A8" s="38"/>
      <c r="B8" s="40"/>
      <c r="C8" s="39"/>
      <c r="D8" s="39"/>
    </row>
    <row r="11" spans="1:10">
      <c r="A11" s="109" t="s">
        <v>72</v>
      </c>
      <c r="B11" s="109"/>
      <c r="C11" s="109"/>
      <c r="D11" s="109"/>
    </row>
    <row r="13" spans="1:10">
      <c r="A13" s="41">
        <v>45047</v>
      </c>
      <c r="B13" s="41">
        <v>45078</v>
      </c>
      <c r="C13" s="41">
        <v>45108</v>
      </c>
    </row>
    <row r="14" spans="1:10">
      <c r="A14" s="22">
        <v>5789714.166666666</v>
      </c>
      <c r="B14" s="22">
        <v>5789714</v>
      </c>
      <c r="C14" s="22">
        <v>5356465.8998543695</v>
      </c>
    </row>
    <row r="15" spans="1:10">
      <c r="A15" s="34"/>
      <c r="B15" s="35">
        <v>5739070.1001456305</v>
      </c>
      <c r="C15" s="35">
        <v>5684042.6006204812</v>
      </c>
    </row>
    <row r="16" spans="1:10">
      <c r="A16" s="22">
        <f>SUM(A14:A15)</f>
        <v>5789714.166666666</v>
      </c>
      <c r="B16" s="22">
        <f>SUM(B14:B15)</f>
        <v>11528784.100145631</v>
      </c>
      <c r="C16" s="22">
        <f>SUM(C14:C15)</f>
        <v>11040508.500474852</v>
      </c>
    </row>
    <row r="18" spans="1:2">
      <c r="A18" s="22">
        <f>+A16+B14</f>
        <v>11579428.166666666</v>
      </c>
      <c r="B18" s="22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38A038-52A1-4F76-B406-8AD0F2669FC9}"/>
</file>

<file path=customXml/itemProps2.xml><?xml version="1.0" encoding="utf-8"?>
<ds:datastoreItem xmlns:ds="http://schemas.openxmlformats.org/officeDocument/2006/customXml" ds:itemID="{523C20A4-68E3-43DA-B2BF-CE25E11694B2}"/>
</file>

<file path=customXml/itemProps3.xml><?xml version="1.0" encoding="utf-8"?>
<ds:datastoreItem xmlns:ds="http://schemas.openxmlformats.org/officeDocument/2006/customXml" ds:itemID="{2A2A8CE7-A36B-4136-AD2F-3297D6504CD5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2026-07-24T21:08:43Z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