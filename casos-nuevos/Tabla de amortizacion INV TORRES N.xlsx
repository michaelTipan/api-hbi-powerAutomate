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INVERSIONES TORRES NIÑO/"/>
    </mc:Choice>
  </mc:AlternateContent>
  <xr:revisionPtr revIDLastSave="2694" documentId="13_ncr:1_{3399C118-4EE5-477B-B6C1-03AB99ED72B1}" xr6:coauthVersionLast="47" xr6:coauthVersionMax="47" xr10:uidLastSave="{6F1B4A32-F81D-48CE-8AE5-5EDC333F99C2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TORRES N" sheetId="2" r:id="rId2"/>
    <sheet name="RETENCIONES" sheetId="6" r:id="rId3"/>
    <sheet name="Hoja1" sheetId="3" r:id="rId4"/>
    <sheet name="Hoja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4" i="2" l="1"/>
  <c r="AT13" i="2"/>
  <c r="AT15" i="2"/>
  <c r="P26" i="2"/>
  <c r="O26" i="2"/>
  <c r="D25" i="2"/>
  <c r="W28" i="2"/>
  <c r="T28" i="2"/>
  <c r="C105" i="6"/>
  <c r="C103" i="6"/>
  <c r="D24" i="2"/>
  <c r="X27" i="2"/>
  <c r="T27" i="2"/>
  <c r="T26" i="2"/>
  <c r="W26" i="2"/>
  <c r="C98" i="6"/>
  <c r="C96" i="6"/>
  <c r="AR13" i="2"/>
  <c r="D23" i="2"/>
  <c r="W25" i="2"/>
  <c r="T25" i="2"/>
  <c r="C91" i="6"/>
  <c r="C89" i="6"/>
  <c r="AQ13" i="2"/>
  <c r="D22" i="2"/>
  <c r="W24" i="2"/>
  <c r="T24" i="2"/>
  <c r="C84" i="6"/>
  <c r="C82" i="6"/>
  <c r="AP15" i="2"/>
  <c r="AP14" i="2"/>
  <c r="AP13" i="2"/>
  <c r="P22" i="2"/>
  <c r="O22" i="2"/>
  <c r="F20" i="2"/>
  <c r="D21" i="2"/>
  <c r="W23" i="2"/>
  <c r="T23" i="2"/>
  <c r="C77" i="6"/>
  <c r="C75" i="6"/>
  <c r="B20" i="2"/>
  <c r="D19" i="2"/>
  <c r="W22" i="2"/>
  <c r="T22" i="2"/>
  <c r="D20" i="2"/>
  <c r="W21" i="2"/>
  <c r="T21" i="2"/>
  <c r="C70" i="6"/>
  <c r="C68" i="6"/>
  <c r="AN13" i="2"/>
  <c r="X20" i="2"/>
  <c r="T20" i="2"/>
  <c r="D18" i="2"/>
  <c r="W19" i="2"/>
  <c r="C63" i="6"/>
  <c r="C61" i="6"/>
  <c r="W18" i="2"/>
  <c r="C56" i="6"/>
  <c r="C54" i="6"/>
  <c r="D17" i="2"/>
  <c r="O19" i="2"/>
  <c r="P19" i="2" s="1"/>
  <c r="AM14" i="2" s="1"/>
  <c r="AL13" i="2"/>
  <c r="O18" i="2"/>
  <c r="AM13" i="2" s="1"/>
  <c r="D16" i="2"/>
  <c r="W17" i="2"/>
  <c r="C49" i="6"/>
  <c r="C47" i="6"/>
  <c r="O17" i="2"/>
  <c r="P17" i="2" s="1"/>
  <c r="W16" i="2"/>
  <c r="C42" i="6"/>
  <c r="C40" i="6"/>
  <c r="W7" i="2"/>
  <c r="W8" i="2"/>
  <c r="W9" i="2"/>
  <c r="W10" i="2"/>
  <c r="W11" i="2"/>
  <c r="W12" i="2"/>
  <c r="W13" i="2"/>
  <c r="W14" i="2"/>
  <c r="W15" i="2"/>
  <c r="W6" i="2"/>
  <c r="D15" i="2"/>
  <c r="C35" i="6"/>
  <c r="C33" i="6"/>
  <c r="D14" i="2"/>
  <c r="C28" i="6"/>
  <c r="C26" i="6"/>
  <c r="C21" i="6"/>
  <c r="C19" i="6"/>
  <c r="C14" i="6"/>
  <c r="C12" i="6"/>
  <c r="C7" i="6"/>
  <c r="C5" i="6"/>
  <c r="D13" i="2"/>
  <c r="D10" i="2"/>
  <c r="D9" i="2"/>
  <c r="AA40" i="2"/>
  <c r="AA37" i="2"/>
  <c r="AA27" i="2"/>
  <c r="AA30" i="2"/>
  <c r="D8" i="2"/>
  <c r="O9" i="2"/>
  <c r="AC11" i="2" s="1"/>
  <c r="O8" i="2"/>
  <c r="P8" i="2" s="1"/>
  <c r="AB14" i="2" s="1"/>
  <c r="D7" i="2"/>
  <c r="O6" i="2"/>
  <c r="D6" i="2"/>
  <c r="J3" i="2"/>
  <c r="B6" i="2"/>
  <c r="T6" i="2" s="1"/>
  <c r="T7" i="2" s="1"/>
  <c r="T8" i="2" s="1"/>
  <c r="T9" i="2" s="1"/>
  <c r="A6" i="2"/>
  <c r="AM15" i="2" l="1"/>
  <c r="P18" i="2"/>
  <c r="AL14" i="2" s="1"/>
  <c r="AL15" i="2" s="1"/>
  <c r="T10" i="2"/>
  <c r="AA31" i="2"/>
  <c r="AA41" i="2"/>
  <c r="P9" i="2"/>
  <c r="AC14" i="2" s="1"/>
  <c r="AD13" i="2" s="1"/>
  <c r="AC13" i="2"/>
  <c r="P6" i="2"/>
  <c r="Z13" i="2" s="1"/>
  <c r="AA13" i="2" s="1"/>
  <c r="J7" i="5"/>
  <c r="J5" i="5"/>
  <c r="J6" i="5"/>
  <c r="B18" i="5"/>
  <c r="T11" i="2" l="1"/>
  <c r="AB18" i="2"/>
  <c r="AC9" i="2"/>
  <c r="Z15" i="2"/>
  <c r="B16" i="5"/>
  <c r="A16" i="5"/>
  <c r="A18" i="5" s="1"/>
  <c r="D7" i="5"/>
  <c r="D6" i="5"/>
  <c r="D5" i="5"/>
  <c r="T12" i="2" l="1"/>
  <c r="Z18" i="2"/>
  <c r="C16" i="5"/>
  <c r="T13" i="2" l="1"/>
  <c r="H6" i="2"/>
  <c r="T14" i="2" l="1"/>
  <c r="C12" i="1"/>
  <c r="G5" i="1"/>
  <c r="G2" i="1"/>
  <c r="G1" i="1"/>
  <c r="B9" i="1"/>
  <c r="B7" i="1"/>
  <c r="T15" i="2" l="1"/>
  <c r="T16" i="2" s="1"/>
  <c r="T17" i="2" s="1"/>
  <c r="T18" i="2" s="1"/>
  <c r="T19" i="2" s="1"/>
  <c r="F3" i="2"/>
  <c r="C6" i="2" s="1"/>
  <c r="I6" i="2"/>
  <c r="A7" i="2"/>
  <c r="A8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K8" i="2" l="1"/>
  <c r="A9" i="2"/>
  <c r="K9" i="2" s="1"/>
  <c r="K6" i="2"/>
  <c r="F4" i="2"/>
  <c r="E6" i="2" s="1"/>
  <c r="M7" i="2"/>
  <c r="N7" i="2" s="1"/>
  <c r="K7" i="2"/>
  <c r="H7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A10" i="2" l="1"/>
  <c r="F6" i="2"/>
  <c r="J6" i="2" s="1"/>
  <c r="H8" i="2"/>
  <c r="I8" i="2" s="1"/>
  <c r="M8" i="2"/>
  <c r="N8" i="2" s="1"/>
  <c r="I7" i="2"/>
  <c r="B10" i="1"/>
  <c r="A11" i="2" l="1"/>
  <c r="K10" i="2"/>
  <c r="B7" i="2"/>
  <c r="C7" i="2" s="1"/>
  <c r="O7" i="2" s="1"/>
  <c r="P7" i="2" s="1"/>
  <c r="M9" i="2"/>
  <c r="H9" i="2"/>
  <c r="I9" i="2" s="1"/>
  <c r="A12" i="2" l="1"/>
  <c r="K11" i="2"/>
  <c r="AA14" i="2"/>
  <c r="N9" i="2"/>
  <c r="M10" i="2"/>
  <c r="E7" i="2"/>
  <c r="H10" i="2"/>
  <c r="I10" i="2" s="1"/>
  <c r="K12" i="2" l="1"/>
  <c r="A13" i="2"/>
  <c r="AB13" i="2"/>
  <c r="AB15" i="2" s="1"/>
  <c r="AA15" i="2"/>
  <c r="F7" i="2"/>
  <c r="N10" i="2"/>
  <c r="M11" i="2"/>
  <c r="M12" i="2" s="1"/>
  <c r="H11" i="2"/>
  <c r="H12" i="2" s="1"/>
  <c r="H13" i="2" s="1"/>
  <c r="K13" i="2" l="1"/>
  <c r="A14" i="2"/>
  <c r="J7" i="2"/>
  <c r="E8" i="2" s="1"/>
  <c r="B8" i="2"/>
  <c r="C8" i="2" s="1"/>
  <c r="AA18" i="2"/>
  <c r="M13" i="2"/>
  <c r="N11" i="2"/>
  <c r="N12" i="2" s="1"/>
  <c r="I11" i="2"/>
  <c r="K14" i="2" l="1"/>
  <c r="A15" i="2"/>
  <c r="H14" i="2"/>
  <c r="M14" i="2"/>
  <c r="M15" i="2" s="1"/>
  <c r="N13" i="2"/>
  <c r="I12" i="2"/>
  <c r="K15" i="2" l="1"/>
  <c r="A16" i="2"/>
  <c r="H15" i="2"/>
  <c r="N14" i="2"/>
  <c r="N15" i="2" s="1"/>
  <c r="M16" i="2"/>
  <c r="I13" i="2"/>
  <c r="K16" i="2" l="1"/>
  <c r="A17" i="2"/>
  <c r="H16" i="2"/>
  <c r="N16" i="2"/>
  <c r="M17" i="2"/>
  <c r="I14" i="2"/>
  <c r="A18" i="2" l="1"/>
  <c r="M18" i="2" s="1"/>
  <c r="K17" i="2"/>
  <c r="H17" i="2"/>
  <c r="N17" i="2"/>
  <c r="I15" i="2"/>
  <c r="H18" i="2" l="1"/>
  <c r="A19" i="2"/>
  <c r="K18" i="2"/>
  <c r="N18" i="2"/>
  <c r="I16" i="2"/>
  <c r="A20" i="2" l="1"/>
  <c r="M20" i="2" s="1"/>
  <c r="K19" i="2"/>
  <c r="M19" i="2"/>
  <c r="N19" i="2" s="1"/>
  <c r="H19" i="2"/>
  <c r="H20" i="2" s="1"/>
  <c r="I17" i="2"/>
  <c r="A21" i="2" l="1"/>
  <c r="M21" i="2" s="1"/>
  <c r="K20" i="2"/>
  <c r="N20" i="2"/>
  <c r="I18" i="2"/>
  <c r="A22" i="2" l="1"/>
  <c r="M22" i="2" s="1"/>
  <c r="K21" i="2"/>
  <c r="H21" i="2"/>
  <c r="N21" i="2"/>
  <c r="I19" i="2"/>
  <c r="H22" i="2" l="1"/>
  <c r="I22" i="2" s="1"/>
  <c r="K22" i="2"/>
  <c r="A23" i="2"/>
  <c r="M23" i="2" s="1"/>
  <c r="N22" i="2"/>
  <c r="I20" i="2"/>
  <c r="A24" i="2" l="1"/>
  <c r="H23" i="2"/>
  <c r="I23" i="2" s="1"/>
  <c r="K23" i="2"/>
  <c r="N23" i="2"/>
  <c r="I21" i="2"/>
  <c r="K24" i="2" l="1"/>
  <c r="A25" i="2"/>
  <c r="H24" i="2"/>
  <c r="I24" i="2" s="1"/>
  <c r="A26" i="2" l="1"/>
  <c r="H25" i="2"/>
  <c r="I25" i="2"/>
  <c r="K25" i="2"/>
  <c r="K26" i="2" l="1"/>
  <c r="A27" i="2"/>
  <c r="H26" i="2"/>
  <c r="I26" i="2"/>
  <c r="M24" i="2"/>
  <c r="N24" i="2"/>
  <c r="A28" i="2" l="1"/>
  <c r="H27" i="2"/>
  <c r="I27" i="2" s="1"/>
  <c r="K27" i="2"/>
  <c r="M25" i="2"/>
  <c r="N25" i="2" s="1"/>
  <c r="K28" i="2" l="1"/>
  <c r="A29" i="2"/>
  <c r="H28" i="2"/>
  <c r="I28" i="2" s="1"/>
  <c r="M26" i="2"/>
  <c r="N26" i="2" s="1"/>
  <c r="A30" i="2" l="1"/>
  <c r="H29" i="2"/>
  <c r="I29" i="2"/>
  <c r="K29" i="2"/>
  <c r="M27" i="2"/>
  <c r="N27" i="2" s="1"/>
  <c r="K30" i="2" l="1"/>
  <c r="A31" i="2"/>
  <c r="H30" i="2"/>
  <c r="I30" i="2" s="1"/>
  <c r="M28" i="2"/>
  <c r="N28" i="2" s="1"/>
  <c r="A32" i="2" l="1"/>
  <c r="H31" i="2"/>
  <c r="I31" i="2"/>
  <c r="M29" i="2"/>
  <c r="N29" i="2" s="1"/>
  <c r="K31" i="2"/>
  <c r="K32" i="2" l="1"/>
  <c r="A33" i="2"/>
  <c r="H32" i="2"/>
  <c r="I32" i="2" s="1"/>
  <c r="M30" i="2"/>
  <c r="N30" i="2" s="1"/>
  <c r="A34" i="2" l="1"/>
  <c r="H33" i="2"/>
  <c r="I33" i="2" s="1"/>
  <c r="K33" i="2"/>
  <c r="M31" i="2"/>
  <c r="N31" i="2" s="1"/>
  <c r="K34" i="2" l="1"/>
  <c r="A35" i="2"/>
  <c r="H34" i="2"/>
  <c r="I34" i="2" s="1"/>
  <c r="M32" i="2"/>
  <c r="N32" i="2" s="1"/>
  <c r="A36" i="2" l="1"/>
  <c r="H35" i="2"/>
  <c r="I35" i="2" s="1"/>
  <c r="K35" i="2"/>
  <c r="M33" i="2"/>
  <c r="N33" i="2" s="1"/>
  <c r="K36" i="2" l="1"/>
  <c r="A37" i="2"/>
  <c r="H36" i="2"/>
  <c r="I36" i="2"/>
  <c r="M34" i="2"/>
  <c r="N34" i="2" s="1"/>
  <c r="H37" i="2" l="1"/>
  <c r="A38" i="2"/>
  <c r="I37" i="2"/>
  <c r="K37" i="2"/>
  <c r="M35" i="2"/>
  <c r="N35" i="2" s="1"/>
  <c r="K38" i="2" l="1"/>
  <c r="A39" i="2"/>
  <c r="H38" i="2"/>
  <c r="I38" i="2" s="1"/>
  <c r="M36" i="2"/>
  <c r="N36" i="2" s="1"/>
  <c r="A40" i="2" l="1"/>
  <c r="H39" i="2"/>
  <c r="I39" i="2"/>
  <c r="K39" i="2"/>
  <c r="M37" i="2"/>
  <c r="N37" i="2" s="1"/>
  <c r="K40" i="2" l="1"/>
  <c r="A41" i="2"/>
  <c r="H40" i="2"/>
  <c r="I40" i="2" s="1"/>
  <c r="M38" i="2"/>
  <c r="N38" i="2" s="1"/>
  <c r="F8" i="2"/>
  <c r="A42" i="2" l="1"/>
  <c r="H41" i="2"/>
  <c r="I41" i="2"/>
  <c r="K41" i="2"/>
  <c r="M39" i="2"/>
  <c r="N39" i="2" s="1"/>
  <c r="J8" i="2"/>
  <c r="E9" i="2" s="1"/>
  <c r="B9" i="2"/>
  <c r="C9" i="2" s="1"/>
  <c r="K42" i="2" l="1"/>
  <c r="A43" i="2"/>
  <c r="H42" i="2"/>
  <c r="I42" i="2" s="1"/>
  <c r="M40" i="2"/>
  <c r="N40" i="2" s="1"/>
  <c r="A44" i="2" l="1"/>
  <c r="H43" i="2"/>
  <c r="I43" i="2" s="1"/>
  <c r="K43" i="2"/>
  <c r="M41" i="2"/>
  <c r="N41" i="2" s="1"/>
  <c r="AC15" i="2"/>
  <c r="F9" i="2"/>
  <c r="K44" i="2" l="1"/>
  <c r="A45" i="2"/>
  <c r="H44" i="2"/>
  <c r="I44" i="2" s="1"/>
  <c r="M42" i="2"/>
  <c r="N42" i="2" s="1"/>
  <c r="B10" i="2"/>
  <c r="C10" i="2" s="1"/>
  <c r="O10" i="2" s="1"/>
  <c r="P10" i="2" s="1"/>
  <c r="AD14" i="2" s="1"/>
  <c r="J9" i="2"/>
  <c r="E10" i="2" s="1"/>
  <c r="A46" i="2" l="1"/>
  <c r="H45" i="2"/>
  <c r="I45" i="2" s="1"/>
  <c r="K45" i="2"/>
  <c r="M43" i="2"/>
  <c r="N43" i="2" s="1"/>
  <c r="AD15" i="2"/>
  <c r="AE13" i="2"/>
  <c r="F10" i="2"/>
  <c r="B11" i="2" s="1"/>
  <c r="C11" i="2" s="1"/>
  <c r="O11" i="2" s="1"/>
  <c r="P11" i="2" s="1"/>
  <c r="AE14" i="2" s="1"/>
  <c r="AF13" i="2" s="1"/>
  <c r="K46" i="2" l="1"/>
  <c r="A47" i="2"/>
  <c r="H46" i="2"/>
  <c r="I46" i="2" s="1"/>
  <c r="M44" i="2"/>
  <c r="N44" i="2" s="1"/>
  <c r="AE15" i="2"/>
  <c r="J10" i="2"/>
  <c r="A48" i="2" l="1"/>
  <c r="H47" i="2"/>
  <c r="I47" i="2" s="1"/>
  <c r="M45" i="2"/>
  <c r="N45" i="2" s="1"/>
  <c r="K47" i="2"/>
  <c r="E11" i="2"/>
  <c r="F11" i="2" s="1"/>
  <c r="B12" i="2" s="1"/>
  <c r="C12" i="2" s="1"/>
  <c r="O12" i="2" s="1"/>
  <c r="AG13" i="2" l="1"/>
  <c r="P12" i="2"/>
  <c r="AF14" i="2" s="1"/>
  <c r="AF15" i="2" s="1"/>
  <c r="K48" i="2"/>
  <c r="A49" i="2"/>
  <c r="H48" i="2"/>
  <c r="I48" i="2"/>
  <c r="M46" i="2"/>
  <c r="N46" i="2" s="1"/>
  <c r="J11" i="2"/>
  <c r="A50" i="2" l="1"/>
  <c r="H49" i="2"/>
  <c r="I49" i="2" s="1"/>
  <c r="M47" i="2"/>
  <c r="N47" i="2" s="1"/>
  <c r="K49" i="2"/>
  <c r="E12" i="2"/>
  <c r="K50" i="2" l="1"/>
  <c r="A51" i="2"/>
  <c r="H50" i="2"/>
  <c r="I50" i="2"/>
  <c r="M48" i="2"/>
  <c r="N48" i="2" s="1"/>
  <c r="F12" i="2"/>
  <c r="A52" i="2" l="1"/>
  <c r="H51" i="2"/>
  <c r="I51" i="2"/>
  <c r="K51" i="2"/>
  <c r="M49" i="2"/>
  <c r="N49" i="2" s="1"/>
  <c r="J12" i="2"/>
  <c r="E13" i="2" s="1"/>
  <c r="B13" i="2"/>
  <c r="C13" i="2" s="1"/>
  <c r="O13" i="2" s="1"/>
  <c r="P13" i="2" l="1"/>
  <c r="AG14" i="2" s="1"/>
  <c r="AG15" i="2" s="1"/>
  <c r="AH13" i="2"/>
  <c r="K52" i="2"/>
  <c r="A53" i="2"/>
  <c r="H52" i="2"/>
  <c r="I52" i="2"/>
  <c r="M50" i="2"/>
  <c r="N50" i="2" s="1"/>
  <c r="F13" i="2"/>
  <c r="B14" i="2" s="1"/>
  <c r="C14" i="2" s="1"/>
  <c r="O14" i="2" s="1"/>
  <c r="AI13" i="2" l="1"/>
  <c r="P14" i="2"/>
  <c r="AH14" i="2" s="1"/>
  <c r="H53" i="2"/>
  <c r="I53" i="2" s="1"/>
  <c r="A54" i="2"/>
  <c r="K53" i="2"/>
  <c r="M51" i="2"/>
  <c r="N51" i="2" s="1"/>
  <c r="AH15" i="2"/>
  <c r="J13" i="2"/>
  <c r="K54" i="2" l="1"/>
  <c r="A55" i="2"/>
  <c r="H54" i="2"/>
  <c r="I54" i="2" s="1"/>
  <c r="M52" i="2"/>
  <c r="N52" i="2" s="1"/>
  <c r="E14" i="2"/>
  <c r="F14" i="2" s="1"/>
  <c r="A56" i="2" l="1"/>
  <c r="H55" i="2"/>
  <c r="I55" i="2" s="1"/>
  <c r="K55" i="2"/>
  <c r="M53" i="2"/>
  <c r="N53" i="2" s="1"/>
  <c r="J14" i="2"/>
  <c r="E15" i="2" s="1"/>
  <c r="B15" i="2"/>
  <c r="C15" i="2" s="1"/>
  <c r="O15" i="2" s="1"/>
  <c r="P15" i="2" l="1"/>
  <c r="AI14" i="2" s="1"/>
  <c r="AI15" i="2" s="1"/>
  <c r="AJ13" i="2"/>
  <c r="K56" i="2"/>
  <c r="A57" i="2"/>
  <c r="H56" i="2"/>
  <c r="I56" i="2" s="1"/>
  <c r="M54" i="2"/>
  <c r="N54" i="2" s="1"/>
  <c r="F15" i="2"/>
  <c r="B16" i="2" s="1"/>
  <c r="C16" i="2" s="1"/>
  <c r="O16" i="2" s="1"/>
  <c r="AK13" i="2" s="1"/>
  <c r="A58" i="2" l="1"/>
  <c r="H57" i="2"/>
  <c r="I57" i="2" s="1"/>
  <c r="M55" i="2"/>
  <c r="N55" i="2" s="1"/>
  <c r="K57" i="2"/>
  <c r="P16" i="2"/>
  <c r="AJ14" i="2" s="1"/>
  <c r="AJ15" i="2" s="1"/>
  <c r="J15" i="2"/>
  <c r="K58" i="2" l="1"/>
  <c r="A59" i="2"/>
  <c r="H58" i="2"/>
  <c r="I58" i="2" s="1"/>
  <c r="M56" i="2"/>
  <c r="N56" i="2" s="1"/>
  <c r="E16" i="2"/>
  <c r="F16" i="2" l="1"/>
  <c r="A60" i="2"/>
  <c r="H59" i="2"/>
  <c r="I59" i="2" s="1"/>
  <c r="K59" i="2"/>
  <c r="M57" i="2"/>
  <c r="N57" i="2" s="1"/>
  <c r="J16" i="2" l="1"/>
  <c r="E17" i="2" s="1"/>
  <c r="B17" i="2"/>
  <c r="C17" i="2" s="1"/>
  <c r="K60" i="2"/>
  <c r="A61" i="2"/>
  <c r="H60" i="2"/>
  <c r="I60" i="2"/>
  <c r="M58" i="2"/>
  <c r="N58" i="2" s="1"/>
  <c r="H61" i="2" l="1"/>
  <c r="I61" i="2" s="1"/>
  <c r="A62" i="2"/>
  <c r="K61" i="2"/>
  <c r="M59" i="2"/>
  <c r="N59" i="2" s="1"/>
  <c r="F17" i="2"/>
  <c r="K62" i="2" l="1"/>
  <c r="H62" i="2"/>
  <c r="A63" i="2"/>
  <c r="M60" i="2"/>
  <c r="N60" i="2" s="1"/>
  <c r="AK14" i="2"/>
  <c r="AK15" i="2" s="1"/>
  <c r="B18" i="2"/>
  <c r="C18" i="2" s="1"/>
  <c r="J17" i="2"/>
  <c r="K63" i="2" l="1"/>
  <c r="M61" i="2"/>
  <c r="M62" i="2" s="1"/>
  <c r="H63" i="2"/>
  <c r="I63" i="2" s="1"/>
  <c r="I62" i="2"/>
  <c r="E18" i="2"/>
  <c r="F18" i="2" s="1"/>
  <c r="N61" i="2" l="1"/>
  <c r="N62" i="2" s="1"/>
  <c r="M63" i="2"/>
  <c r="B19" i="2"/>
  <c r="C19" i="2" s="1"/>
  <c r="J18" i="2"/>
  <c r="N63" i="2" l="1"/>
  <c r="E19" i="2"/>
  <c r="F19" i="2" l="1"/>
  <c r="J19" i="2" l="1"/>
  <c r="E20" i="2" s="1"/>
  <c r="B21" i="2" l="1"/>
  <c r="C20" i="2"/>
  <c r="O20" i="2" s="1"/>
  <c r="C21" i="2"/>
  <c r="J20" i="2"/>
  <c r="AO13" i="2" l="1"/>
  <c r="P20" i="2"/>
  <c r="AN14" i="2" s="1"/>
  <c r="AN15" i="2" s="1"/>
  <c r="O21" i="2"/>
  <c r="P21" i="2" s="1"/>
  <c r="AO14" i="2" s="1"/>
  <c r="AO15" i="2" s="1"/>
  <c r="E21" i="2"/>
  <c r="F21" i="2" s="1"/>
  <c r="B22" i="2" l="1"/>
  <c r="C22" i="2" s="1"/>
  <c r="J21" i="2"/>
  <c r="E22" i="2" l="1"/>
  <c r="F22" i="2" s="1"/>
  <c r="B23" i="2" l="1"/>
  <c r="C23" i="2" s="1"/>
  <c r="O23" i="2" s="1"/>
  <c r="P23" i="2" s="1"/>
  <c r="AQ14" i="2" s="1"/>
  <c r="AQ15" i="2" s="1"/>
  <c r="J22" i="2"/>
  <c r="E23" i="2" l="1"/>
  <c r="F23" i="2" s="1"/>
  <c r="B24" i="2" l="1"/>
  <c r="C24" i="2" s="1"/>
  <c r="O24" i="2" s="1"/>
  <c r="J23" i="2"/>
  <c r="P24" i="2" l="1"/>
  <c r="AR14" i="2" s="1"/>
  <c r="AR15" i="2" s="1"/>
  <c r="AS13" i="2"/>
  <c r="E24" i="2"/>
  <c r="F24" i="2" s="1"/>
  <c r="B25" i="2" l="1"/>
  <c r="C25" i="2" s="1"/>
  <c r="O25" i="2" s="1"/>
  <c r="P25" i="2" s="1"/>
  <c r="AS14" i="2" s="1"/>
  <c r="AS15" i="2" s="1"/>
  <c r="J24" i="2"/>
  <c r="E25" i="2" l="1"/>
  <c r="F25" i="2" s="1"/>
  <c r="B26" i="2" l="1"/>
  <c r="C26" i="2" s="1"/>
  <c r="J25" i="2"/>
  <c r="E26" i="2" l="1"/>
  <c r="D26" i="2" s="1"/>
  <c r="F26" i="2" s="1"/>
  <c r="B27" i="2" l="1"/>
  <c r="C27" i="2" s="1"/>
  <c r="J26" i="2"/>
  <c r="E27" i="2" l="1"/>
  <c r="D27" i="2" s="1"/>
  <c r="F27" i="2" s="1"/>
  <c r="B28" i="2" l="1"/>
  <c r="C28" i="2" s="1"/>
  <c r="J27" i="2"/>
  <c r="E28" i="2" l="1"/>
  <c r="D28" i="2" s="1"/>
  <c r="F28" i="2" s="1"/>
  <c r="B29" i="2" l="1"/>
  <c r="C29" i="2" s="1"/>
  <c r="J28" i="2"/>
  <c r="E29" i="2" l="1"/>
  <c r="D29" i="2" s="1"/>
  <c r="F29" i="2" s="1"/>
  <c r="B30" i="2" l="1"/>
  <c r="C30" i="2" s="1"/>
  <c r="J29" i="2"/>
  <c r="E30" i="2" l="1"/>
  <c r="D30" i="2" s="1"/>
  <c r="F30" i="2" s="1"/>
  <c r="B31" i="2" l="1"/>
  <c r="C31" i="2" s="1"/>
  <c r="J30" i="2"/>
  <c r="E31" i="2" l="1"/>
  <c r="D31" i="2" s="1"/>
  <c r="F31" i="2" s="1"/>
  <c r="B32" i="2" l="1"/>
  <c r="C32" i="2" s="1"/>
  <c r="J31" i="2"/>
  <c r="E32" i="2" l="1"/>
  <c r="D32" i="2" s="1"/>
  <c r="F32" i="2" s="1"/>
  <c r="B33" i="2" l="1"/>
  <c r="C33" i="2" s="1"/>
  <c r="J32" i="2"/>
  <c r="E33" i="2" l="1"/>
  <c r="D33" i="2" s="1"/>
  <c r="F33" i="2" s="1"/>
  <c r="B34" i="2" l="1"/>
  <c r="C34" i="2" s="1"/>
  <c r="J33" i="2"/>
  <c r="E34" i="2" l="1"/>
  <c r="D34" i="2" s="1"/>
  <c r="F34" i="2" s="1"/>
  <c r="B35" i="2" l="1"/>
  <c r="C35" i="2" s="1"/>
  <c r="J34" i="2"/>
  <c r="E35" i="2" l="1"/>
  <c r="D35" i="2" s="1"/>
  <c r="F35" i="2" s="1"/>
  <c r="B36" i="2" l="1"/>
  <c r="C36" i="2" s="1"/>
  <c r="J35" i="2"/>
  <c r="E36" i="2" l="1"/>
  <c r="D36" i="2" s="1"/>
  <c r="F36" i="2" s="1"/>
  <c r="B37" i="2" l="1"/>
  <c r="C37" i="2" s="1"/>
  <c r="J36" i="2"/>
  <c r="E37" i="2" l="1"/>
  <c r="D37" i="2" s="1"/>
  <c r="F37" i="2" s="1"/>
  <c r="B38" i="2" l="1"/>
  <c r="C38" i="2" s="1"/>
  <c r="J37" i="2"/>
  <c r="E38" i="2" l="1"/>
  <c r="D38" i="2" s="1"/>
  <c r="F38" i="2" s="1"/>
  <c r="B39" i="2" l="1"/>
  <c r="C39" i="2" s="1"/>
  <c r="J38" i="2"/>
  <c r="E39" i="2" l="1"/>
  <c r="D39" i="2" s="1"/>
  <c r="F39" i="2" s="1"/>
  <c r="B40" i="2" l="1"/>
  <c r="C40" i="2" s="1"/>
  <c r="J39" i="2"/>
  <c r="E40" i="2" l="1"/>
  <c r="D40" i="2" s="1"/>
  <c r="F40" i="2" s="1"/>
  <c r="B41" i="2" l="1"/>
  <c r="C41" i="2" s="1"/>
  <c r="J40" i="2"/>
  <c r="E41" i="2" l="1"/>
  <c r="D41" i="2" s="1"/>
  <c r="F41" i="2" s="1"/>
  <c r="B42" i="2" l="1"/>
  <c r="C42" i="2" s="1"/>
  <c r="J41" i="2"/>
  <c r="E42" i="2" l="1"/>
  <c r="D42" i="2" s="1"/>
  <c r="F42" i="2" s="1"/>
  <c r="B43" i="2" l="1"/>
  <c r="C43" i="2" s="1"/>
  <c r="J42" i="2"/>
  <c r="E43" i="2" l="1"/>
  <c r="D43" i="2" s="1"/>
  <c r="F43" i="2" s="1"/>
  <c r="B44" i="2" l="1"/>
  <c r="J43" i="2"/>
  <c r="E44" i="2" l="1"/>
  <c r="C44" i="2"/>
  <c r="D44" i="2" l="1"/>
  <c r="F44" i="2" s="1"/>
  <c r="J44" i="2" s="1"/>
  <c r="E45" i="2" s="1"/>
  <c r="B45" i="2" l="1"/>
  <c r="C45" i="2" s="1"/>
  <c r="D45" i="2" s="1"/>
  <c r="F45" i="2" s="1"/>
  <c r="B46" i="2" l="1"/>
  <c r="J45" i="2"/>
  <c r="E46" i="2" l="1"/>
  <c r="C46" i="2"/>
  <c r="D46" i="2" l="1"/>
  <c r="F46" i="2" s="1"/>
  <c r="B47" i="2" s="1"/>
  <c r="J46" i="2" l="1"/>
  <c r="E47" i="2" s="1"/>
  <c r="C47" i="2"/>
  <c r="D47" i="2" l="1"/>
  <c r="F47" i="2" s="1"/>
  <c r="B48" i="2" s="1"/>
  <c r="J47" i="2" l="1"/>
  <c r="E48" i="2" s="1"/>
  <c r="C48" i="2"/>
  <c r="D48" i="2" l="1"/>
  <c r="F48" i="2" s="1"/>
  <c r="J48" i="2" s="1"/>
  <c r="E49" i="2" s="1"/>
  <c r="B49" i="2" l="1"/>
  <c r="C49" i="2" s="1"/>
  <c r="D49" i="2" s="1"/>
  <c r="F49" i="2" s="1"/>
  <c r="B50" i="2" l="1"/>
  <c r="J49" i="2"/>
  <c r="E50" i="2" s="1"/>
  <c r="C50" i="2" l="1"/>
  <c r="D50" i="2" s="1"/>
  <c r="F50" i="2" s="1"/>
  <c r="B51" i="2" l="1"/>
  <c r="J50" i="2"/>
  <c r="E51" i="2" l="1"/>
  <c r="C51" i="2"/>
  <c r="D51" i="2" l="1"/>
  <c r="F51" i="2" s="1"/>
  <c r="J51" i="2" s="1"/>
  <c r="B52" i="2" l="1"/>
  <c r="C52" i="2" s="1"/>
  <c r="E52" i="2"/>
  <c r="D52" i="2" l="1"/>
  <c r="F52" i="2" s="1"/>
  <c r="B53" i="2" s="1"/>
  <c r="J52" i="2" l="1"/>
  <c r="E53" i="2" s="1"/>
  <c r="C53" i="2"/>
  <c r="D53" i="2" l="1"/>
  <c r="F53" i="2" s="1"/>
  <c r="B54" i="2" s="1"/>
  <c r="J53" i="2" l="1"/>
  <c r="E54" i="2" s="1"/>
  <c r="C54" i="2"/>
  <c r="D54" i="2" l="1"/>
  <c r="F54" i="2" s="1"/>
  <c r="B55" i="2" s="1"/>
  <c r="J54" i="2" l="1"/>
  <c r="E55" i="2" s="1"/>
  <c r="C55" i="2"/>
  <c r="D55" i="2" l="1"/>
  <c r="F55" i="2" s="1"/>
  <c r="J55" i="2" s="1"/>
  <c r="B56" i="2" l="1"/>
  <c r="C56" i="2" s="1"/>
  <c r="E56" i="2"/>
  <c r="D56" i="2" l="1"/>
  <c r="F56" i="2" s="1"/>
  <c r="B57" i="2" s="1"/>
  <c r="J56" i="2" l="1"/>
  <c r="E57" i="2" s="1"/>
  <c r="C57" i="2"/>
  <c r="D57" i="2" l="1"/>
  <c r="F57" i="2" s="1"/>
  <c r="J57" i="2" s="1"/>
  <c r="B58" i="2" l="1"/>
  <c r="C58" i="2" s="1"/>
  <c r="E58" i="2"/>
  <c r="D58" i="2" l="1"/>
  <c r="F58" i="2" s="1"/>
  <c r="B59" i="2" s="1"/>
  <c r="J58" i="2" l="1"/>
  <c r="E59" i="2" s="1"/>
  <c r="C59" i="2"/>
  <c r="D59" i="2" l="1"/>
  <c r="F59" i="2" s="1"/>
  <c r="B60" i="2" s="1"/>
  <c r="J59" i="2" l="1"/>
  <c r="E60" i="2" s="1"/>
  <c r="C60" i="2"/>
  <c r="D60" i="2" l="1"/>
  <c r="F60" i="2" s="1"/>
  <c r="B61" i="2" s="1"/>
  <c r="J60" i="2" l="1"/>
  <c r="E61" i="2" s="1"/>
  <c r="C61" i="2"/>
  <c r="D61" i="2" l="1"/>
  <c r="F61" i="2" l="1"/>
  <c r="B62" i="2" s="1"/>
  <c r="C62" i="2" s="1"/>
  <c r="J61" i="2" l="1"/>
  <c r="E62" i="2" s="1"/>
  <c r="D62" i="2" s="1"/>
  <c r="F62" i="2" s="1"/>
  <c r="B63" i="2" l="1"/>
  <c r="C63" i="2" s="1"/>
  <c r="J62" i="2"/>
  <c r="E63" i="2" s="1"/>
  <c r="D63" i="2" l="1"/>
  <c r="F63" i="2" s="1"/>
  <c r="J6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tc={E26B5F1B-76D7-4236-9B97-258E5B9319C3}</author>
  </authors>
  <commentList>
    <comment ref="U16" authorId="0" shapeId="0" xr:uid="{DEB86A77-B149-4F0F-9366-3F7731541BB4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4219</t>
        </r>
      </text>
    </comment>
    <comment ref="U17" authorId="0" shapeId="0" xr:uid="{55F4C95D-EF8E-44EF-88B8-33A62245B749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4453</t>
        </r>
      </text>
    </comment>
    <comment ref="U19" authorId="0" shapeId="0" xr:uid="{7F9B3409-49B6-4627-B071-96771A0CBCAC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5068</t>
        </r>
      </text>
    </comment>
    <comment ref="U26" authorId="1" shapeId="0" xr:uid="{E26B5F1B-76D7-4236-9B97-258E5B9319C3}">
      <text>
        <t>[Threaded comment]
Your version of Excel allows you to read this threaded comment; however, any edits to it will get removed if the file is opened in a newer version of Excel. Learn more: https://go.microsoft.com/fwlink/?linkid=870924
Comment:
    6684</t>
      </text>
    </comment>
  </commentList>
</comments>
</file>

<file path=xl/sharedStrings.xml><?xml version="1.0" encoding="utf-8"?>
<sst xmlns="http://schemas.openxmlformats.org/spreadsheetml/2006/main" count="170" uniqueCount="72">
  <si>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</si>
  <si>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</si>
  <si>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</si>
  <si>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</si>
  <si>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</si>
  <si>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</si>
  <si>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</si>
  <si>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</si>
  <si>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</si>
  <si>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</si>
  <si>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</si>
  <si>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</si>
  <si>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</si>
  <si>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</si>
  <si>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</si>
  <si>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</si>
  <si>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FECHA DESEM</t>
  </si>
  <si>
    <t>Capital inicial</t>
  </si>
  <si>
    <t>IBR inicial</t>
  </si>
  <si>
    <t>Tasa inicial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</si>
  <si>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</si>
  <si>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</si>
  <si>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</si>
  <si>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</si>
  <si>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</si>
  <si>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</si>
  <si>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</si>
  <si>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</si>
  <si>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</si>
  <si>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</si>
  <si>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</si>
  <si>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</si>
  <si>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</si>
  <si>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</si>
  <si>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</si>
  <si>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</si>
  <si>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</si>
  <si>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</si>
  <si>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</si>
  <si>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Abono a capital</t>
  </si>
  <si>
    <t>Intereses de mora</t>
  </si>
  <si>
    <t>Retenciones</t>
  </si>
  <si>
    <t>Valor pagado cliente</t>
  </si>
  <si>
    <t>Saldos Menores</t>
  </si>
  <si>
    <t>RETENCIONES</t>
  </si>
  <si>
    <t>ABRIL</t>
  </si>
  <si>
    <t>Valor extracto</t>
  </si>
  <si>
    <t>Valor pagado</t>
  </si>
  <si>
    <t>Diferencia</t>
  </si>
  <si>
    <t>Intereses extracto</t>
  </si>
  <si>
    <t>Valor retención</t>
  </si>
  <si>
    <t>MAYO</t>
  </si>
  <si>
    <t>JUNIO</t>
  </si>
  <si>
    <t>VALOR EXTRACTO</t>
  </si>
  <si>
    <t>VALOR PAGADO</t>
  </si>
  <si>
    <t>DIFERENCIA</t>
  </si>
  <si>
    <t>INT EXTRACTO</t>
  </si>
  <si>
    <t>RETENCION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</si>
  <si>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</si>
  <si>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</si>
  <si>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</si>
  <si>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</si>
  <si>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</si>
  <si>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</si>
  <si>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</si>
  <si>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</si>
  <si>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JULIO</t>
  </si>
  <si>
    <t xml:space="preserve">APLICACIÓN DEL PAGO </t>
  </si>
  <si>
    <t xml:space="preserve">EXTRACTO </t>
  </si>
  <si>
    <t>Cuota #</t>
  </si>
  <si>
    <t>Valor a pagar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</si>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</sst>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0" fontId="6" fillId="0" borderId="0" xfId="0" applyFont="1"/>
    <xf numFmtId="43" fontId="0" fillId="3" borderId="4" xfId="1" applyFont="1" applyFill="1" applyBorder="1"/>
    <xf numFmtId="14" fontId="0" fillId="3" borderId="4" xfId="0" applyNumberFormat="1" applyFill="1" applyBorder="1"/>
    <xf numFmtId="164" fontId="7" fillId="0" borderId="0" xfId="1" applyNumberFormat="1" applyFont="1" applyFill="1"/>
    <xf numFmtId="0" fontId="0" fillId="10" borderId="0" xfId="0" applyFill="1"/>
    <xf numFmtId="164" fontId="7" fillId="3" borderId="0" xfId="1" applyNumberFormat="1" applyFont="1" applyFill="1"/>
    <xf numFmtId="43" fontId="6" fillId="3" borderId="4" xfId="1" applyFont="1" applyFill="1" applyBorder="1"/>
    <xf numFmtId="14" fontId="0" fillId="3" borderId="4" xfId="0" applyNumberFormat="1" applyFill="1" applyBorder="1" applyAlignment="1">
      <alignment horizontal="right"/>
    </xf>
    <xf numFmtId="0" fontId="8" fillId="0" borderId="0" xfId="0" applyFont="1"/>
    <xf numFmtId="165" fontId="7" fillId="0" borderId="0" xfId="2" applyNumberFormat="1" applyFont="1" applyFill="1" applyProtection="1">
      <protection locked="0"/>
    </xf>
    <xf numFmtId="165" fontId="7" fillId="3" borderId="0" xfId="2" applyNumberFormat="1" applyFont="1" applyFill="1" applyProtection="1">
      <protection locked="0"/>
    </xf>
    <xf numFmtId="164" fontId="7" fillId="0" borderId="0" xfId="1" applyNumberFormat="1" applyFont="1" applyFill="1" applyBorder="1"/>
    <xf numFmtId="9" fontId="0" fillId="0" borderId="0" xfId="0" applyNumberFormat="1"/>
    <xf numFmtId="0" fontId="7" fillId="0" borderId="0" xfId="0" applyFont="1" applyAlignment="1">
      <alignment horizontal="center"/>
    </xf>
    <xf numFmtId="0" fontId="5" fillId="0" borderId="0" xfId="0" applyFont="1"/>
    <xf numFmtId="0" fontId="3" fillId="3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5" fillId="7" borderId="5" xfId="0" applyFont="1" applyFill="1" applyBorder="1" applyAlignment="1">
      <alignment horizontal="centerContinuous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0" xfId="1" applyNumberFormat="1" applyFont="1" applyBorder="1"/>
    <xf numFmtId="0" fontId="0" fillId="0" borderId="18" xfId="0" applyBorder="1"/>
    <xf numFmtId="43" fontId="5" fillId="0" borderId="0" xfId="1" applyFont="1" applyBorder="1"/>
    <xf numFmtId="164" fontId="0" fillId="3" borderId="0" xfId="1" applyNumberFormat="1" applyFont="1" applyFill="1" applyBorder="1"/>
    <xf numFmtId="9" fontId="5" fillId="0" borderId="17" xfId="0" applyNumberFormat="1" applyFont="1" applyBorder="1"/>
    <xf numFmtId="0" fontId="0" fillId="0" borderId="19" xfId="0" applyBorder="1"/>
    <xf numFmtId="43" fontId="0" fillId="0" borderId="20" xfId="0" applyNumberFormat="1" applyBorder="1"/>
    <xf numFmtId="0" fontId="0" fillId="0" borderId="21" xfId="0" applyBorder="1"/>
    <xf numFmtId="9" fontId="5" fillId="0" borderId="18" xfId="0" applyNumberFormat="1" applyFont="1" applyBorder="1" applyAlignment="1">
      <alignment horizontal="center"/>
    </xf>
    <xf numFmtId="9" fontId="5" fillId="11" borderId="17" xfId="0" applyNumberFormat="1" applyFont="1" applyFill="1" applyBorder="1" applyAlignment="1">
      <alignment horizontal="center"/>
    </xf>
    <xf numFmtId="43" fontId="5" fillId="11" borderId="0" xfId="1" applyFont="1" applyFill="1" applyBorder="1"/>
    <xf numFmtId="0" fontId="5" fillId="0" borderId="14" xfId="0" applyFont="1" applyBorder="1" applyAlignment="1">
      <alignment horizontal="center"/>
    </xf>
    <xf numFmtId="17" fontId="5" fillId="0" borderId="0" xfId="0" applyNumberFormat="1" applyFont="1"/>
    <xf numFmtId="165" fontId="1" fillId="0" borderId="0" xfId="2" applyNumberFormat="1" applyFont="1"/>
    <xf numFmtId="164" fontId="1" fillId="0" borderId="0" xfId="1" applyNumberFormat="1" applyFont="1"/>
    <xf numFmtId="43" fontId="5" fillId="0" borderId="0" xfId="1" applyFont="1" applyAlignment="1">
      <alignment horizontal="center"/>
    </xf>
    <xf numFmtId="0" fontId="5" fillId="12" borderId="14" xfId="0" applyFont="1" applyFill="1" applyBorder="1"/>
    <xf numFmtId="0" fontId="5" fillId="12" borderId="15" xfId="0" applyFont="1" applyFill="1" applyBorder="1"/>
    <xf numFmtId="9" fontId="5" fillId="12" borderId="16" xfId="0" applyNumberFormat="1" applyFont="1" applyFill="1" applyBorder="1"/>
    <xf numFmtId="164" fontId="0" fillId="0" borderId="20" xfId="1" applyNumberFormat="1" applyFont="1" applyBorder="1"/>
    <xf numFmtId="43" fontId="6" fillId="0" borderId="4" xfId="0" applyNumberFormat="1" applyFont="1" applyBorder="1"/>
    <xf numFmtId="165" fontId="1" fillId="0" borderId="0" xfId="2" applyNumberFormat="1" applyFont="1" applyFill="1"/>
    <xf numFmtId="164" fontId="1" fillId="0" borderId="0" xfId="1" applyNumberFormat="1" applyFont="1" applyFill="1"/>
    <xf numFmtId="43" fontId="6" fillId="0" borderId="4" xfId="1" applyFont="1" applyBorder="1"/>
    <xf numFmtId="14" fontId="0" fillId="3" borderId="3" xfId="1" applyNumberFormat="1" applyFont="1" applyFill="1" applyBorder="1"/>
    <xf numFmtId="43" fontId="0" fillId="3" borderId="3" xfId="1" applyFont="1" applyFill="1" applyBorder="1"/>
    <xf numFmtId="43" fontId="6" fillId="3" borderId="3" xfId="1" applyFont="1" applyFill="1" applyBorder="1"/>
    <xf numFmtId="165" fontId="1" fillId="0" borderId="0" xfId="2" applyNumberFormat="1" applyFont="1" applyFill="1" applyProtection="1">
      <protection locked="0"/>
    </xf>
    <xf numFmtId="0" fontId="2" fillId="12" borderId="0" xfId="0" applyFont="1" applyFill="1" applyAlignment="1">
      <alignment horizontal="center"/>
    </xf>
    <xf numFmtId="165" fontId="7" fillId="0" borderId="0" xfId="2" applyNumberFormat="1" applyFont="1" applyFill="1"/>
    <xf numFmtId="0" fontId="9" fillId="0" borderId="0" xfId="0" applyFont="1" applyAlignment="1">
      <alignment horizontal="center"/>
    </xf>
    <xf numFmtId="43" fontId="6" fillId="0" borderId="4" xfId="1" applyFont="1" applyFill="1" applyBorder="1"/>
    <xf numFmtId="165" fontId="1" fillId="3" borderId="0" xfId="2" applyNumberFormat="1" applyFont="1" applyFill="1" applyProtection="1">
      <protection locked="0"/>
    </xf>
    <xf numFmtId="164" fontId="7" fillId="0" borderId="0" xfId="1" applyNumberFormat="1" applyFont="1"/>
    <xf numFmtId="165" fontId="0" fillId="3" borderId="0" xfId="2" applyNumberFormat="1" applyFont="1" applyFill="1" applyProtection="1">
      <protection locked="0"/>
    </xf>
    <xf numFmtId="165" fontId="7" fillId="0" borderId="0" xfId="2" applyNumberFormat="1" applyFont="1" applyProtection="1">
      <protection locked="0"/>
    </xf>
    <xf numFmtId="0" fontId="7" fillId="3" borderId="0" xfId="0" applyFont="1" applyFill="1" applyAlignment="1">
      <alignment horizontal="center"/>
    </xf>
    <xf numFmtId="165" fontId="1" fillId="3" borderId="0" xfId="2" applyNumberFormat="1" applyFont="1" applyFill="1"/>
    <xf numFmtId="164" fontId="1" fillId="3" borderId="0" xfId="1" applyNumberFormat="1" applyFont="1" applyFill="1"/>
    <xf numFmtId="0" fontId="9" fillId="3" borderId="0" xfId="0" applyFont="1" applyFill="1" applyAlignment="1">
      <alignment horizontal="center"/>
    </xf>
    <xf numFmtId="165" fontId="12" fillId="0" borderId="0" xfId="2" applyNumberFormat="1" applyFont="1" applyFill="1" applyProtection="1">
      <protection locked="0"/>
    </xf>
    <xf numFmtId="0" fontId="3" fillId="12" borderId="22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wrapText="1"/>
    </xf>
    <xf numFmtId="0" fontId="3" fillId="12" borderId="16" xfId="0" applyFont="1" applyFill="1" applyBorder="1" applyAlignment="1">
      <alignment horizontal="center" wrapText="1"/>
    </xf>
    <xf numFmtId="43" fontId="0" fillId="3" borderId="0" xfId="1" applyFont="1" applyFill="1"/>
    <xf numFmtId="164" fontId="7" fillId="3" borderId="0" xfId="1" applyNumberFormat="1" applyFont="1" applyFill="1" applyBorder="1"/>
    <xf numFmtId="0" fontId="13" fillId="12" borderId="0" xfId="0" applyFont="1" applyFill="1" applyAlignment="1">
      <alignment horizontal="center"/>
    </xf>
    <xf numFmtId="164" fontId="13" fillId="12" borderId="0" xfId="1" applyNumberFormat="1" applyFont="1" applyFill="1"/>
    <xf numFmtId="164" fontId="13" fillId="12" borderId="0" xfId="1" applyNumberFormat="1" applyFont="1" applyFill="1" applyBorder="1"/>
    <xf numFmtId="165" fontId="13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164" fontId="5" fillId="12" borderId="0" xfId="1" applyNumberFormat="1" applyFont="1" applyFill="1"/>
    <xf numFmtId="0" fontId="5" fillId="12" borderId="0" xfId="0" applyFont="1" applyFill="1"/>
    <xf numFmtId="0" fontId="5" fillId="12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165" fontId="14" fillId="3" borderId="0" xfId="2" applyNumberFormat="1" applyFont="1" applyFill="1" applyProtection="1">
      <protection locked="0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67ABA5D2-0FA3-4EAE-A2D9-685C1B18CC9A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6" dT="2026-07-27T15:33:12.32" personId="{67ABA5D2-0FA3-4EAE-A2D9-685C1B18CC9A}" id="{E26B5F1B-76D7-4236-9B97-258E5B9319C3}">
    <text>6684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T71"/>
  <sheetViews>
    <sheetView showGridLines="0" tabSelected="1" zoomScaleNormal="100" workbookViewId="0">
      <pane ySplit="5" topLeftCell="A11" activePane="bottomLeft" state="frozen"/>
      <selection pane="bottomLeft" activeCell="D25" sqref="D25"/>
    </sheetView>
  </sheetViews>
  <sheetFormatPr defaultColWidth="11.42578125" defaultRowHeight="15" customHeight="1"/>
  <cols>
    <col min="1" max="1" width="11.5703125" customWidth="1"/>
    <col min="2" max="2" width="14.140625" bestFit="1" customWidth="1"/>
    <col min="3" max="3" width="12.85546875" bestFit="1" customWidth="1"/>
    <col min="4" max="4" width="12.140625" bestFit="1" customWidth="1"/>
    <col min="5" max="5" width="12.85546875" bestFit="1" customWidth="1"/>
    <col min="6" max="6" width="13.7109375" bestFit="1" customWidth="1"/>
    <col min="7" max="7" width="13.85546875" customWidth="1"/>
    <col min="8" max="8" width="10.42578125" customWidth="1"/>
    <col min="9" max="9" width="11.5703125" customWidth="1"/>
    <col min="10" max="10" width="12.85546875" bestFit="1" customWidth="1"/>
    <col min="11" max="11" width="8.28515625" customWidth="1"/>
    <col min="12" max="12" width="3.28515625" bestFit="1" customWidth="1"/>
    <col min="13" max="13" width="4.28515625" bestFit="1" customWidth="1"/>
    <col min="14" max="14" width="5.42578125" bestFit="1" customWidth="1"/>
    <col min="15" max="15" width="12.5703125" bestFit="1" customWidth="1"/>
    <col min="16" max="16" width="25" customWidth="1"/>
    <col min="17" max="17" width="14.7109375" customWidth="1"/>
    <col min="18" max="18" width="14.7109375" bestFit="1" customWidth="1"/>
    <col min="19" max="19" width="16.7109375" customWidth="1"/>
    <col min="20" max="20" width="16.28515625" customWidth="1"/>
    <col min="21" max="21" width="13.5703125" customWidth="1"/>
    <col min="22" max="22" width="13.42578125" customWidth="1"/>
    <col min="23" max="23" width="15.85546875" bestFit="1" customWidth="1"/>
    <col min="24" max="24" width="14.5703125" customWidth="1"/>
    <col min="25" max="25" width="12.85546875" customWidth="1"/>
    <col min="26" max="26" width="18.140625" customWidth="1"/>
    <col min="27" max="27" width="14.140625" customWidth="1"/>
    <col min="28" max="28" width="15.85546875" customWidth="1"/>
    <col min="29" max="36" width="13.7109375" bestFit="1" customWidth="1"/>
    <col min="37" max="37" width="12.5703125" bestFit="1" customWidth="1"/>
    <col min="38" max="46" width="13.7109375" bestFit="1" customWidth="1"/>
  </cols>
  <sheetData>
    <row r="1" spans="1:46" ht="14.45">
      <c r="A1" s="20" t="s">
        <v>16</v>
      </c>
      <c r="C1" s="53">
        <v>45587</v>
      </c>
    </row>
    <row r="3" spans="1:46" thickBot="1">
      <c r="A3" s="10" t="s">
        <v>17</v>
      </c>
      <c r="B3" s="12">
        <v>495540991</v>
      </c>
      <c r="C3" s="10" t="s">
        <v>18</v>
      </c>
      <c r="D3" s="11">
        <v>9.2939999999999995E-2</v>
      </c>
      <c r="E3" s="10" t="s">
        <v>19</v>
      </c>
      <c r="F3" s="14">
        <f>((D3+D4)/12)</f>
        <v>1.3994999999999999E-2</v>
      </c>
      <c r="H3" s="20" t="s">
        <v>16</v>
      </c>
      <c r="J3" s="53">
        <f>+C1</f>
        <v>45587</v>
      </c>
      <c r="O3" s="53"/>
    </row>
    <row r="4" spans="1:46" thickBot="1">
      <c r="A4" s="10" t="s">
        <v>20</v>
      </c>
      <c r="B4" s="13">
        <v>58</v>
      </c>
      <c r="C4" s="10" t="s">
        <v>21</v>
      </c>
      <c r="D4" s="11">
        <v>7.4999999999999997E-2</v>
      </c>
      <c r="E4" s="10" t="s">
        <v>22</v>
      </c>
      <c r="F4" s="15">
        <f>+PMT(F3,B4,-B3,0)</f>
        <v>12531891.910289641</v>
      </c>
      <c r="G4" s="15"/>
      <c r="J4" s="54">
        <v>128</v>
      </c>
      <c r="O4" s="54"/>
      <c r="Q4" s="131" t="s">
        <v>23</v>
      </c>
      <c r="R4" s="132"/>
      <c r="S4" s="132"/>
      <c r="T4" s="132"/>
      <c r="U4" s="132"/>
      <c r="V4" s="132"/>
      <c r="W4" s="132"/>
      <c r="X4" s="133"/>
    </row>
    <row r="5" spans="1:46" ht="27" thickBot="1">
      <c r="A5" s="68"/>
      <c r="B5" s="69" t="s">
        <v>24</v>
      </c>
      <c r="C5" s="69" t="s">
        <v>25</v>
      </c>
      <c r="D5" s="69" t="s">
        <v>26</v>
      </c>
      <c r="E5" s="69" t="s">
        <v>13</v>
      </c>
      <c r="F5" s="69" t="s">
        <v>27</v>
      </c>
      <c r="G5" s="69" t="s">
        <v>28</v>
      </c>
      <c r="H5" s="9" t="s">
        <v>6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  <c r="O5" s="9" t="s">
        <v>32</v>
      </c>
      <c r="P5" s="16" t="s">
        <v>35</v>
      </c>
      <c r="Q5" s="117" t="s">
        <v>36</v>
      </c>
      <c r="R5" s="118" t="s">
        <v>37</v>
      </c>
      <c r="S5" s="119" t="s">
        <v>38</v>
      </c>
      <c r="T5" s="119" t="s">
        <v>39</v>
      </c>
      <c r="U5" s="118" t="s">
        <v>40</v>
      </c>
      <c r="V5" s="118" t="s">
        <v>41</v>
      </c>
      <c r="W5" s="120" t="s">
        <v>42</v>
      </c>
      <c r="X5" s="121" t="s">
        <v>43</v>
      </c>
      <c r="Y5" s="58"/>
    </row>
    <row r="6" spans="1:46" ht="14.45">
      <c r="A6" s="67">
        <f>+TasaImplicita!A12</f>
        <v>1</v>
      </c>
      <c r="B6" s="59">
        <f>+B3</f>
        <v>495540991</v>
      </c>
      <c r="C6" s="59">
        <f>+B6*F3</f>
        <v>6935096.1690449994</v>
      </c>
      <c r="D6" s="59">
        <f>+S6</f>
        <v>5643524</v>
      </c>
      <c r="E6" s="59">
        <f>+F4</f>
        <v>12531891.910289641</v>
      </c>
      <c r="F6" s="59">
        <f>+B6-D6</f>
        <v>489897467</v>
      </c>
      <c r="G6" s="64">
        <v>8.8870000000000005E-2</v>
      </c>
      <c r="H6" s="63">
        <f>+D4</f>
        <v>7.4999999999999997E-2</v>
      </c>
      <c r="I6" s="8">
        <f>((G6+H6)/12)</f>
        <v>1.3655833333333334E-2</v>
      </c>
      <c r="J6" s="2">
        <f>PMT(I6,K6,-F6,0)</f>
        <v>12424998.531781277</v>
      </c>
      <c r="K6" s="7">
        <f>+$B$4-A6</f>
        <v>57</v>
      </c>
      <c r="L6">
        <v>22</v>
      </c>
      <c r="M6">
        <v>1</v>
      </c>
      <c r="N6">
        <v>2025</v>
      </c>
      <c r="O6" s="21">
        <f>6805843/30</f>
        <v>226861.43333333332</v>
      </c>
      <c r="P6" s="33">
        <f>+O6*8</f>
        <v>1814891.4666666666</v>
      </c>
      <c r="Q6" s="100">
        <v>45680</v>
      </c>
      <c r="R6" s="101">
        <v>6805843</v>
      </c>
      <c r="S6" s="101">
        <v>5643524</v>
      </c>
      <c r="T6" s="101">
        <f>+B6-S6</f>
        <v>489897467</v>
      </c>
      <c r="U6" s="102">
        <v>3232</v>
      </c>
      <c r="V6" s="102"/>
      <c r="W6" s="101">
        <f>+R6+S6+U6-V6</f>
        <v>12452599</v>
      </c>
      <c r="X6" s="55"/>
    </row>
    <row r="7" spans="1:46" ht="14.45">
      <c r="A7" s="67">
        <f>IF(AND(A6&lt;$B$4)*(A6&lt;&gt;0),1+A6," ")</f>
        <v>2</v>
      </c>
      <c r="B7" s="57">
        <f>IF(A7=" "," ",+F6)</f>
        <v>489897467</v>
      </c>
      <c r="C7" s="57">
        <f>IF(A7=" "," ",+B7*I6)</f>
        <v>6689958.1597741675</v>
      </c>
      <c r="D7" s="57">
        <f>+S7</f>
        <v>6721985</v>
      </c>
      <c r="E7" s="57">
        <f>IF(A7=" "," ",+J6)</f>
        <v>12424998.531781277</v>
      </c>
      <c r="F7" s="57">
        <f t="shared" ref="F7:F29" si="0">+B7-D7</f>
        <v>483175482</v>
      </c>
      <c r="G7" s="63">
        <v>8.9730000000000004E-2</v>
      </c>
      <c r="H7" s="63">
        <f>IF(A7=" "," ",+H6)</f>
        <v>7.4999999999999997E-2</v>
      </c>
      <c r="I7" s="8">
        <f>IF(A7=" "," ",((G7+H7)/12))</f>
        <v>1.3727499999999998E-2</v>
      </c>
      <c r="J7" s="2">
        <f t="shared" ref="J7:J29" si="1">PMT(I7,K7,-F7,0)</f>
        <v>12421589.577428265</v>
      </c>
      <c r="K7" s="7">
        <f>IF(A4=" "," ",+$B$4-A7)</f>
        <v>56</v>
      </c>
      <c r="L7">
        <v>22</v>
      </c>
      <c r="M7">
        <f>IF(AND(A7&lt;&gt;" ")*(M6=12),1,1+M6)</f>
        <v>2</v>
      </c>
      <c r="N7">
        <f>IF(AND(A7&lt;&gt;" ")*(M7=1),1+N6,N6)</f>
        <v>2025</v>
      </c>
      <c r="O7" s="21">
        <f>+C7/30</f>
        <v>222998.60532580558</v>
      </c>
      <c r="P7" s="33">
        <f>+O7*8</f>
        <v>1783988.8426064446</v>
      </c>
      <c r="Q7" s="56">
        <v>45705</v>
      </c>
      <c r="R7" s="55">
        <v>5574285</v>
      </c>
      <c r="S7" s="55">
        <v>6721985</v>
      </c>
      <c r="T7" s="55">
        <f>+T6-S7</f>
        <v>483175482</v>
      </c>
      <c r="U7" s="60"/>
      <c r="V7" s="60">
        <v>941470</v>
      </c>
      <c r="W7" s="101">
        <f t="shared" ref="W7:W19" si="2">+R7+S7+U7-V7</f>
        <v>11354800</v>
      </c>
      <c r="X7" s="55"/>
    </row>
    <row r="8" spans="1:46" ht="14.45">
      <c r="A8" s="67">
        <f t="shared" ref="A8:A63" si="3">IF(AND(A7&lt;$B$4)*(A7&lt;&gt;0),1+A7," ")</f>
        <v>3</v>
      </c>
      <c r="B8" s="57">
        <f t="shared" ref="B8:B61" si="4">IF(A8=" "," ",+F7)</f>
        <v>483175482</v>
      </c>
      <c r="C8" s="57">
        <f t="shared" ref="C8:C61" si="5">IF(A8=" "," ",+B8*I7)</f>
        <v>6632791.4291549996</v>
      </c>
      <c r="D8" s="57">
        <f>+S8</f>
        <v>5780595</v>
      </c>
      <c r="E8" s="57">
        <f t="shared" ref="E8:E61" si="6">IF(A8=" "," ",+J7)</f>
        <v>12421589.577428265</v>
      </c>
      <c r="F8" s="57">
        <f t="shared" si="0"/>
        <v>477394887</v>
      </c>
      <c r="G8" s="63">
        <v>8.9169999999999999E-2</v>
      </c>
      <c r="H8" s="63">
        <f t="shared" ref="H8:H61" si="7">IF(A8=" "," ",+H7)</f>
        <v>7.4999999999999997E-2</v>
      </c>
      <c r="I8" s="8">
        <f t="shared" ref="I8:I61" si="8">IF(A8=" "," ",((G8+H8)/12))</f>
        <v>1.3680833333333331E-2</v>
      </c>
      <c r="J8" s="2">
        <f t="shared" si="1"/>
        <v>12407742.609889595</v>
      </c>
      <c r="K8" s="7">
        <f t="shared" ref="K8" si="9">+$B$4-A8</f>
        <v>55</v>
      </c>
      <c r="L8">
        <v>22</v>
      </c>
      <c r="M8">
        <f t="shared" ref="M8:M23" si="10">IF(AND(A8&lt;&gt;" ")*(M7=12),1,1+M7)</f>
        <v>3</v>
      </c>
      <c r="N8">
        <f>IF(AND(A8&lt;&gt;" ")*(M8=1),1+N7,N7)</f>
        <v>2025</v>
      </c>
      <c r="O8" s="21">
        <f>7732591/35</f>
        <v>220931.17142857143</v>
      </c>
      <c r="P8" s="33">
        <f>+O8*13</f>
        <v>2872105.2285714285</v>
      </c>
      <c r="Q8" s="56">
        <v>45741</v>
      </c>
      <c r="R8" s="55">
        <v>7730591</v>
      </c>
      <c r="S8" s="55">
        <v>5780595</v>
      </c>
      <c r="T8" s="55">
        <f t="shared" ref="T8:T14" si="11">+T7-S8</f>
        <v>477394887</v>
      </c>
      <c r="U8" s="60">
        <v>9964</v>
      </c>
      <c r="V8" s="60">
        <v>412981</v>
      </c>
      <c r="W8" s="101">
        <f t="shared" si="2"/>
        <v>13108169</v>
      </c>
      <c r="X8" s="55"/>
    </row>
    <row r="9" spans="1:46" ht="14.45">
      <c r="A9" s="67">
        <f t="shared" si="3"/>
        <v>4</v>
      </c>
      <c r="B9" s="57">
        <f t="shared" si="4"/>
        <v>477394887</v>
      </c>
      <c r="C9" s="57">
        <f t="shared" si="5"/>
        <v>6531159.8832324995</v>
      </c>
      <c r="D9" s="57">
        <f>+S9</f>
        <v>6227475</v>
      </c>
      <c r="E9" s="57">
        <f t="shared" si="6"/>
        <v>12407742.609889595</v>
      </c>
      <c r="F9" s="57">
        <f t="shared" si="0"/>
        <v>471167412</v>
      </c>
      <c r="G9" s="63">
        <v>8.9550000000000005E-2</v>
      </c>
      <c r="H9" s="63">
        <f t="shared" si="7"/>
        <v>7.4999999999999997E-2</v>
      </c>
      <c r="I9" s="89">
        <f t="shared" si="8"/>
        <v>1.3712500000000001E-2</v>
      </c>
      <c r="J9" s="90">
        <f t="shared" si="1"/>
        <v>12407895.236939253</v>
      </c>
      <c r="K9" s="7">
        <f t="shared" ref="K9" si="12">IF(A6=" "," ",+$B$4-A9)</f>
        <v>54</v>
      </c>
      <c r="L9">
        <v>22</v>
      </c>
      <c r="M9">
        <f t="shared" si="10"/>
        <v>4</v>
      </c>
      <c r="N9">
        <f t="shared" ref="N9:N23" si="13">IF(AND(A9&lt;&gt;" ")*(M9=1),1+N8,N8)</f>
        <v>2025</v>
      </c>
      <c r="O9" s="21">
        <f>6529315/30</f>
        <v>217643.83333333334</v>
      </c>
      <c r="P9" s="33">
        <f>+O9*8</f>
        <v>1741150.6666666667</v>
      </c>
      <c r="Q9" s="61">
        <v>45768</v>
      </c>
      <c r="R9" s="55">
        <v>6311671</v>
      </c>
      <c r="S9" s="55">
        <v>6227475</v>
      </c>
      <c r="T9" s="55">
        <f t="shared" si="11"/>
        <v>471167412</v>
      </c>
      <c r="U9" s="60">
        <v>2299</v>
      </c>
      <c r="V9" s="60">
        <v>457052</v>
      </c>
      <c r="W9" s="101">
        <f t="shared" si="2"/>
        <v>12084393</v>
      </c>
      <c r="X9" s="55"/>
      <c r="AA9" s="4"/>
      <c r="AB9" s="22"/>
      <c r="AC9" s="22">
        <f>+AC13/22</f>
        <v>220840.26233766237</v>
      </c>
      <c r="AD9" s="22"/>
      <c r="AJ9" s="41"/>
    </row>
    <row r="10" spans="1:46" ht="14.45">
      <c r="A10" s="67">
        <f t="shared" si="3"/>
        <v>5</v>
      </c>
      <c r="B10" s="57">
        <f t="shared" si="4"/>
        <v>471167412</v>
      </c>
      <c r="C10" s="57">
        <f t="shared" si="5"/>
        <v>6460883.13705</v>
      </c>
      <c r="D10" s="57">
        <f>+S10</f>
        <v>5947012</v>
      </c>
      <c r="E10" s="57">
        <f t="shared" si="6"/>
        <v>12407895.236939253</v>
      </c>
      <c r="F10" s="57">
        <f t="shared" si="0"/>
        <v>465220400</v>
      </c>
      <c r="G10" s="63">
        <v>8.7609999999999993E-2</v>
      </c>
      <c r="H10" s="63">
        <f t="shared" si="7"/>
        <v>7.4999999999999997E-2</v>
      </c>
      <c r="I10" s="89">
        <f t="shared" si="8"/>
        <v>1.3550833333333331E-2</v>
      </c>
      <c r="J10" s="90">
        <f t="shared" si="1"/>
        <v>12360769.572152339</v>
      </c>
      <c r="K10" s="7">
        <f t="shared" ref="K10" si="14">+$B$4-A10</f>
        <v>53</v>
      </c>
      <c r="L10">
        <v>22</v>
      </c>
      <c r="M10">
        <f t="shared" si="10"/>
        <v>5</v>
      </c>
      <c r="N10">
        <f t="shared" si="13"/>
        <v>2025</v>
      </c>
      <c r="O10" s="21">
        <f t="shared" ref="O10:O15" si="15">+C10/30</f>
        <v>215362.77123499999</v>
      </c>
      <c r="P10" s="33">
        <f>+O10*9</f>
        <v>1938264.9411149998</v>
      </c>
      <c r="Q10" s="56">
        <v>45798</v>
      </c>
      <c r="R10" s="55">
        <v>6460883</v>
      </c>
      <c r="S10" s="55">
        <v>5947012</v>
      </c>
      <c r="T10" s="55">
        <f t="shared" si="11"/>
        <v>465220400</v>
      </c>
      <c r="U10" s="60"/>
      <c r="V10" s="60">
        <v>467337</v>
      </c>
      <c r="W10" s="101">
        <f t="shared" si="2"/>
        <v>11940558</v>
      </c>
      <c r="X10" s="55"/>
      <c r="AA10" s="4"/>
      <c r="AC10" s="22"/>
      <c r="AJ10" s="22"/>
    </row>
    <row r="11" spans="1:46" ht="14.45">
      <c r="A11" s="67">
        <f t="shared" si="3"/>
        <v>6</v>
      </c>
      <c r="B11" s="57">
        <f t="shared" si="4"/>
        <v>465220400</v>
      </c>
      <c r="C11" s="57">
        <f t="shared" si="5"/>
        <v>6304124.103666666</v>
      </c>
      <c r="D11" s="57">
        <v>6266783</v>
      </c>
      <c r="E11" s="57">
        <f t="shared" si="6"/>
        <v>12360769.572152339</v>
      </c>
      <c r="F11" s="57">
        <f t="shared" si="0"/>
        <v>458953617</v>
      </c>
      <c r="G11" s="63">
        <v>8.7379999999999999E-2</v>
      </c>
      <c r="H11" s="63">
        <f t="shared" si="7"/>
        <v>7.4999999999999997E-2</v>
      </c>
      <c r="I11" s="97">
        <f t="shared" si="8"/>
        <v>1.3531666666666666E-2</v>
      </c>
      <c r="J11" s="98">
        <f t="shared" si="1"/>
        <v>12349624.484846557</v>
      </c>
      <c r="K11" s="7">
        <f t="shared" ref="K11" si="16">IF(A8=" "," ",+$B$4-A11)</f>
        <v>52</v>
      </c>
      <c r="L11">
        <v>22</v>
      </c>
      <c r="M11">
        <f t="shared" si="10"/>
        <v>6</v>
      </c>
      <c r="N11">
        <f t="shared" si="13"/>
        <v>2025</v>
      </c>
      <c r="O11" s="21">
        <f t="shared" si="15"/>
        <v>210137.47012222221</v>
      </c>
      <c r="P11" s="33">
        <f>+O11*9</f>
        <v>1891237.2311</v>
      </c>
      <c r="Q11" s="37">
        <v>45828</v>
      </c>
      <c r="R11" s="23">
        <v>6093987</v>
      </c>
      <c r="S11" s="23">
        <v>6266783</v>
      </c>
      <c r="T11" s="55">
        <f t="shared" si="11"/>
        <v>458953617</v>
      </c>
      <c r="U11" s="39"/>
      <c r="V11" s="96">
        <v>455998</v>
      </c>
      <c r="W11" s="101">
        <f t="shared" si="2"/>
        <v>11904772</v>
      </c>
      <c r="X11" s="55"/>
      <c r="AA11" s="4"/>
      <c r="AC11" s="22">
        <f>+O9*8</f>
        <v>1741150.6666666667</v>
      </c>
      <c r="AE11" s="91">
        <v>-6</v>
      </c>
      <c r="AF11" s="91">
        <v>14</v>
      </c>
      <c r="AJ11" s="22"/>
    </row>
    <row r="12" spans="1:46">
      <c r="A12" s="67">
        <f t="shared" si="3"/>
        <v>7</v>
      </c>
      <c r="B12" s="57">
        <f t="shared" si="4"/>
        <v>458953617</v>
      </c>
      <c r="C12" s="57">
        <f t="shared" si="5"/>
        <v>6210407.3607049994</v>
      </c>
      <c r="D12" s="57">
        <v>5932203</v>
      </c>
      <c r="E12" s="57">
        <f t="shared" si="6"/>
        <v>12349624.484846557</v>
      </c>
      <c r="F12" s="57">
        <f t="shared" si="0"/>
        <v>453021414</v>
      </c>
      <c r="G12" s="63">
        <v>8.6730000000000002E-2</v>
      </c>
      <c r="H12" s="63">
        <f t="shared" si="7"/>
        <v>7.4999999999999997E-2</v>
      </c>
      <c r="I12" s="97">
        <f t="shared" si="8"/>
        <v>1.3477499999999998E-2</v>
      </c>
      <c r="J12" s="98">
        <f t="shared" si="1"/>
        <v>12340015.697268024</v>
      </c>
      <c r="K12" s="7">
        <f t="shared" ref="K12" si="17">+$B$4-A12</f>
        <v>51</v>
      </c>
      <c r="L12">
        <v>22</v>
      </c>
      <c r="M12">
        <f t="shared" si="10"/>
        <v>7</v>
      </c>
      <c r="N12">
        <f t="shared" si="13"/>
        <v>2025</v>
      </c>
      <c r="O12" s="21">
        <f t="shared" si="15"/>
        <v>207013.57869016664</v>
      </c>
      <c r="P12" s="33">
        <f>+O12*10</f>
        <v>2070135.7869016663</v>
      </c>
      <c r="Q12" s="37">
        <v>45859</v>
      </c>
      <c r="R12" s="23">
        <v>6417421</v>
      </c>
      <c r="S12" s="23">
        <v>5932203</v>
      </c>
      <c r="T12" s="55">
        <f t="shared" si="11"/>
        <v>453021414</v>
      </c>
      <c r="U12" s="23">
        <v>0</v>
      </c>
      <c r="V12" s="99">
        <v>463710</v>
      </c>
      <c r="W12" s="101">
        <f t="shared" si="2"/>
        <v>11885914</v>
      </c>
      <c r="X12" s="55"/>
      <c r="Z12" s="41">
        <v>45627</v>
      </c>
      <c r="AA12" s="41">
        <v>45658</v>
      </c>
      <c r="AB12" s="41">
        <v>45689</v>
      </c>
      <c r="AC12" s="41">
        <v>45717</v>
      </c>
      <c r="AD12" s="41">
        <v>45748</v>
      </c>
      <c r="AE12" s="88">
        <v>45778</v>
      </c>
      <c r="AF12" s="41">
        <v>45809</v>
      </c>
      <c r="AG12" s="88">
        <v>45839</v>
      </c>
      <c r="AH12" s="88">
        <v>45870</v>
      </c>
      <c r="AI12" s="88">
        <v>45901</v>
      </c>
      <c r="AJ12" s="88">
        <v>45931</v>
      </c>
      <c r="AK12" s="88">
        <v>45962</v>
      </c>
      <c r="AL12" s="88">
        <v>45992</v>
      </c>
      <c r="AM12" s="88">
        <v>46023</v>
      </c>
      <c r="AN12" s="88">
        <v>46054</v>
      </c>
      <c r="AO12" s="88">
        <v>46082</v>
      </c>
      <c r="AP12" s="88">
        <v>46113</v>
      </c>
      <c r="AQ12" s="88">
        <v>46143</v>
      </c>
      <c r="AR12" s="88">
        <v>46174</v>
      </c>
      <c r="AS12" s="88">
        <v>46204</v>
      </c>
      <c r="AT12" s="88">
        <v>46235</v>
      </c>
    </row>
    <row r="13" spans="1:46" ht="14.45">
      <c r="A13" s="67">
        <f t="shared" si="3"/>
        <v>8</v>
      </c>
      <c r="B13" s="57">
        <f t="shared" si="4"/>
        <v>453021414</v>
      </c>
      <c r="C13" s="57">
        <f t="shared" si="5"/>
        <v>6105596.1071849996</v>
      </c>
      <c r="D13" s="57">
        <f>+S13</f>
        <v>6437940</v>
      </c>
      <c r="E13" s="57">
        <f t="shared" si="6"/>
        <v>12340015.697268024</v>
      </c>
      <c r="F13" s="57">
        <f t="shared" si="0"/>
        <v>446583474</v>
      </c>
      <c r="G13" s="103">
        <v>8.7590000000000001E-2</v>
      </c>
      <c r="H13" s="63">
        <f t="shared" si="7"/>
        <v>7.4999999999999997E-2</v>
      </c>
      <c r="I13" s="97">
        <f t="shared" si="8"/>
        <v>1.3549166666666668E-2</v>
      </c>
      <c r="J13" s="98">
        <f t="shared" si="1"/>
        <v>12354231.177433915</v>
      </c>
      <c r="K13" s="7">
        <f t="shared" ref="K13" si="18">IF(A10=" "," ",+$B$4-A13)</f>
        <v>50</v>
      </c>
      <c r="L13">
        <v>22</v>
      </c>
      <c r="M13">
        <f t="shared" si="10"/>
        <v>8</v>
      </c>
      <c r="N13">
        <f t="shared" si="13"/>
        <v>2025</v>
      </c>
      <c r="O13" s="21">
        <f t="shared" si="15"/>
        <v>203519.87023949999</v>
      </c>
      <c r="P13" s="33">
        <f>+O13*9</f>
        <v>1831678.8321554998</v>
      </c>
      <c r="Q13" s="37">
        <v>45889</v>
      </c>
      <c r="R13" s="23">
        <v>5902076</v>
      </c>
      <c r="S13" s="23">
        <v>6437940</v>
      </c>
      <c r="T13" s="55">
        <f t="shared" si="11"/>
        <v>446583474</v>
      </c>
      <c r="U13" s="23">
        <v>0</v>
      </c>
      <c r="V13" s="99">
        <v>441638</v>
      </c>
      <c r="W13" s="101">
        <f t="shared" si="2"/>
        <v>11898378</v>
      </c>
      <c r="X13" s="55"/>
      <c r="Z13" s="22">
        <f>+P6</f>
        <v>1814891.4666666666</v>
      </c>
      <c r="AA13" s="22">
        <f>+R6-Z13</f>
        <v>4990951.5333333332</v>
      </c>
      <c r="AB13" s="22">
        <f>+R7-AA14</f>
        <v>3790296.1573935552</v>
      </c>
      <c r="AC13" s="22">
        <f>+R8-AB14</f>
        <v>4858485.771428572</v>
      </c>
      <c r="AD13" s="22">
        <f>+R9-AC14</f>
        <v>4570520.333333333</v>
      </c>
      <c r="AE13" s="22">
        <f>+R10-AD14+AE11</f>
        <v>4522612.0588850006</v>
      </c>
      <c r="AF13" s="22">
        <f>+R11-AE14+AF11</f>
        <v>4202763.7688999996</v>
      </c>
      <c r="AG13" s="22">
        <f>+O12*21</f>
        <v>4347285.1524934992</v>
      </c>
      <c r="AH13" s="22">
        <f>+O13*20-550</f>
        <v>4069847.4047899996</v>
      </c>
      <c r="AI13" s="22">
        <f>+O14*22+2</f>
        <v>4437280.2078570006</v>
      </c>
      <c r="AJ13" s="22">
        <f>+O15*20-3</f>
        <v>3977654.9289455554</v>
      </c>
      <c r="AK13" s="22">
        <f>+O16*22-1</f>
        <v>4311147.7958605001</v>
      </c>
      <c r="AL13" s="22">
        <f>+O17*22</f>
        <v>4251749.333333334</v>
      </c>
      <c r="AM13" s="22">
        <f>+O18*22</f>
        <v>4189042</v>
      </c>
      <c r="AN13" s="22">
        <f>+O19*22-1</f>
        <v>4212028.8</v>
      </c>
      <c r="AO13" s="22">
        <f>+O20*22+1</f>
        <v>4277821.8545563333</v>
      </c>
      <c r="AP13" s="22">
        <f>+O21*20</f>
        <v>1989256.0187777779</v>
      </c>
      <c r="AQ13" s="22">
        <f>+O22*22-3</f>
        <v>2218103.3927916666</v>
      </c>
      <c r="AR13" s="22">
        <f>+O23*22-1</f>
        <v>2147886.4598133331</v>
      </c>
      <c r="AS13" s="22">
        <f>+O24*22</f>
        <v>2151766.6965135001</v>
      </c>
      <c r="AT13" s="22">
        <f>+O25*19</f>
        <v>1880656.5931872223</v>
      </c>
    </row>
    <row r="14" spans="1:46" ht="14.45">
      <c r="A14" s="67">
        <f t="shared" si="3"/>
        <v>9</v>
      </c>
      <c r="B14" s="57">
        <f t="shared" si="4"/>
        <v>446583474</v>
      </c>
      <c r="C14" s="57">
        <f t="shared" si="5"/>
        <v>6050833.9198050005</v>
      </c>
      <c r="D14" s="57">
        <f>+S14</f>
        <v>5900008</v>
      </c>
      <c r="E14" s="57">
        <f t="shared" si="6"/>
        <v>12354231.177433915</v>
      </c>
      <c r="F14" s="57">
        <f t="shared" si="0"/>
        <v>440683466</v>
      </c>
      <c r="G14" s="63">
        <v>8.7470000000000006E-2</v>
      </c>
      <c r="H14" s="63">
        <f t="shared" si="7"/>
        <v>7.4999999999999997E-2</v>
      </c>
      <c r="I14" s="105">
        <f t="shared" si="8"/>
        <v>1.3539166666666666E-2</v>
      </c>
      <c r="J14" s="57">
        <f t="shared" si="1"/>
        <v>12362826.391535634</v>
      </c>
      <c r="K14" s="7">
        <f t="shared" ref="K14" si="19">+$B$4-A14</f>
        <v>49</v>
      </c>
      <c r="L14">
        <v>22</v>
      </c>
      <c r="M14">
        <f t="shared" si="10"/>
        <v>9</v>
      </c>
      <c r="N14">
        <f t="shared" si="13"/>
        <v>2025</v>
      </c>
      <c r="O14" s="21">
        <f t="shared" si="15"/>
        <v>201694.46399350002</v>
      </c>
      <c r="P14" s="33">
        <f>+O14*10</f>
        <v>2016944.6399350001</v>
      </c>
      <c r="Q14" s="37">
        <v>45922</v>
      </c>
      <c r="R14" s="23">
        <v>6454223</v>
      </c>
      <c r="S14" s="23">
        <v>5900008</v>
      </c>
      <c r="T14" s="55">
        <f t="shared" si="11"/>
        <v>440683466</v>
      </c>
      <c r="U14" s="38"/>
      <c r="V14" s="96">
        <v>451795</v>
      </c>
      <c r="W14" s="101">
        <f t="shared" si="2"/>
        <v>11902436</v>
      </c>
      <c r="X14" s="55"/>
      <c r="Z14" s="34"/>
      <c r="AA14" s="35">
        <f>+P7</f>
        <v>1783988.8426064446</v>
      </c>
      <c r="AB14" s="35">
        <f>+P8</f>
        <v>2872105.2285714285</v>
      </c>
      <c r="AC14" s="35">
        <f>+P9</f>
        <v>1741150.6666666667</v>
      </c>
      <c r="AD14" s="35">
        <f>+P10</f>
        <v>1938264.9411149998</v>
      </c>
      <c r="AE14" s="35">
        <f>+P11</f>
        <v>1891237.2311</v>
      </c>
      <c r="AF14" s="35">
        <f>+P12</f>
        <v>2070135.7869016663</v>
      </c>
      <c r="AG14" s="35">
        <f>+P13</f>
        <v>1831678.8321554998</v>
      </c>
      <c r="AH14" s="35">
        <f>+P14</f>
        <v>2016944.6399350001</v>
      </c>
      <c r="AI14" s="35">
        <f>+P15</f>
        <v>1591063.1715782222</v>
      </c>
      <c r="AJ14" s="35">
        <f>+P16</f>
        <v>1959613.0890275</v>
      </c>
      <c r="AK14" s="35">
        <f>+P17</f>
        <v>1546090.6666666667</v>
      </c>
      <c r="AL14" s="35">
        <f>+P18</f>
        <v>1523288</v>
      </c>
      <c r="AM14" s="35">
        <f>+P19</f>
        <v>1531647.2</v>
      </c>
      <c r="AN14" s="35">
        <f>+P20</f>
        <v>1555571.2198386667</v>
      </c>
      <c r="AO14" s="35">
        <f>+P21</f>
        <v>795702.40751111112</v>
      </c>
      <c r="AP14" s="35">
        <f>+P22</f>
        <v>1008230.1785416667</v>
      </c>
      <c r="AQ14" s="35">
        <f>+P23</f>
        <v>781049.98538666661</v>
      </c>
      <c r="AR14" s="35">
        <f>+P24</f>
        <v>782460.61691400001</v>
      </c>
      <c r="AS14" s="35">
        <f>+P25</f>
        <v>791855.40765777777</v>
      </c>
      <c r="AT14" s="35">
        <f>+P26</f>
        <v>942342.53298899985</v>
      </c>
    </row>
    <row r="15" spans="1:46" ht="14.45">
      <c r="A15" s="67">
        <f t="shared" si="3"/>
        <v>10</v>
      </c>
      <c r="B15" s="57">
        <f t="shared" si="4"/>
        <v>440683466</v>
      </c>
      <c r="C15" s="57">
        <f t="shared" si="5"/>
        <v>5966486.8934183335</v>
      </c>
      <c r="D15" s="57">
        <f>+S15</f>
        <v>6794105</v>
      </c>
      <c r="E15" s="57">
        <f t="shared" si="6"/>
        <v>12362826.391535634</v>
      </c>
      <c r="F15" s="57">
        <f t="shared" si="0"/>
        <v>433889361</v>
      </c>
      <c r="G15" s="108">
        <v>8.7590000000000001E-2</v>
      </c>
      <c r="H15" s="63">
        <f t="shared" si="7"/>
        <v>7.4999999999999997E-2</v>
      </c>
      <c r="I15" s="97">
        <f t="shared" si="8"/>
        <v>1.3549166666666668E-2</v>
      </c>
      <c r="J15" s="98">
        <f t="shared" si="1"/>
        <v>12354176.716793962</v>
      </c>
      <c r="K15" s="106">
        <f t="shared" ref="K15" si="20">IF(A12=" "," ",+$B$4-A15)</f>
        <v>48</v>
      </c>
      <c r="L15">
        <v>22</v>
      </c>
      <c r="M15">
        <f t="shared" si="10"/>
        <v>10</v>
      </c>
      <c r="N15">
        <f t="shared" si="13"/>
        <v>2025</v>
      </c>
      <c r="O15" s="21">
        <f t="shared" si="15"/>
        <v>198882.89644727777</v>
      </c>
      <c r="P15" s="33">
        <f>+O15*8</f>
        <v>1591063.1715782222</v>
      </c>
      <c r="Q15" s="37">
        <v>45950</v>
      </c>
      <c r="R15" s="23">
        <v>5568721</v>
      </c>
      <c r="S15" s="23">
        <v>6794105</v>
      </c>
      <c r="T15" s="55">
        <f t="shared" ref="T15:T20" si="21">+T14-S15</f>
        <v>433889361</v>
      </c>
      <c r="U15" s="23"/>
      <c r="V15" s="107">
        <v>417654</v>
      </c>
      <c r="W15" s="101">
        <f t="shared" si="2"/>
        <v>11945172</v>
      </c>
      <c r="X15" s="55"/>
      <c r="Z15" s="22">
        <f>+Z13</f>
        <v>1814891.4666666666</v>
      </c>
      <c r="AA15" s="22">
        <f>+AA14+AA13</f>
        <v>6774940.3759397781</v>
      </c>
      <c r="AB15" s="22">
        <f>+AB13+AB14</f>
        <v>6662401.3859649841</v>
      </c>
      <c r="AC15" s="22">
        <f>+AC13+AC14</f>
        <v>6599636.438095239</v>
      </c>
      <c r="AD15" s="22">
        <f>+AD13+AD14</f>
        <v>6508785.2744483333</v>
      </c>
      <c r="AE15" s="22">
        <f t="shared" ref="AE15:AJ15" si="22">SUM(AE13:AE14)</f>
        <v>6413849.2899850011</v>
      </c>
      <c r="AF15" s="22">
        <f t="shared" si="22"/>
        <v>6272899.5558016654</v>
      </c>
      <c r="AG15" s="22">
        <f t="shared" si="22"/>
        <v>6178963.9846489988</v>
      </c>
      <c r="AH15" s="22">
        <f t="shared" si="22"/>
        <v>6086792.0447249999</v>
      </c>
      <c r="AI15" s="22">
        <f t="shared" si="22"/>
        <v>6028343.3794352226</v>
      </c>
      <c r="AJ15" s="22">
        <f t="shared" si="22"/>
        <v>5937268.0179730551</v>
      </c>
      <c r="AK15" s="22">
        <f t="shared" ref="AK15:AQ15" si="23">SUM(AK13:AK14)</f>
        <v>5857238.4625271671</v>
      </c>
      <c r="AL15" s="22">
        <f t="shared" si="23"/>
        <v>5775037.333333334</v>
      </c>
      <c r="AM15" s="22">
        <f t="shared" si="23"/>
        <v>5720689.2000000002</v>
      </c>
      <c r="AN15" s="22">
        <f t="shared" si="23"/>
        <v>5767600.0198386665</v>
      </c>
      <c r="AO15" s="22">
        <f t="shared" si="23"/>
        <v>5073524.2620674446</v>
      </c>
      <c r="AP15" s="22">
        <f t="shared" si="23"/>
        <v>2997486.1973194447</v>
      </c>
      <c r="AQ15" s="22">
        <f t="shared" si="23"/>
        <v>2999153.3781783329</v>
      </c>
      <c r="AR15" s="22">
        <f t="shared" ref="AR15:AT15" si="24">SUM(AR13:AR14)</f>
        <v>2930347.076727333</v>
      </c>
      <c r="AS15" s="22">
        <f t="shared" si="24"/>
        <v>2943622.104171278</v>
      </c>
      <c r="AT15" s="22">
        <f t="shared" si="24"/>
        <v>2822999.1261762222</v>
      </c>
    </row>
    <row r="16" spans="1:46" ht="14.45">
      <c r="A16" s="67">
        <f t="shared" si="3"/>
        <v>11</v>
      </c>
      <c r="B16" s="109">
        <f t="shared" si="4"/>
        <v>433889361</v>
      </c>
      <c r="C16" s="109">
        <f t="shared" si="5"/>
        <v>5878839.2670825003</v>
      </c>
      <c r="D16" s="109">
        <f>+S16+10500</f>
        <v>6083415</v>
      </c>
      <c r="E16" s="109">
        <f t="shared" si="6"/>
        <v>12354176.716793962</v>
      </c>
      <c r="F16" s="109">
        <f t="shared" si="0"/>
        <v>427805946</v>
      </c>
      <c r="G16" s="110">
        <v>8.763E-2</v>
      </c>
      <c r="H16" s="111">
        <f t="shared" si="7"/>
        <v>7.4999999999999997E-2</v>
      </c>
      <c r="I16" s="8">
        <f t="shared" si="8"/>
        <v>1.35525E-2</v>
      </c>
      <c r="J16" s="2">
        <f t="shared" si="1"/>
        <v>12366381.022651339</v>
      </c>
      <c r="K16" s="106">
        <f t="shared" ref="K16" si="25">+$B$4-A16</f>
        <v>47</v>
      </c>
      <c r="L16">
        <v>22</v>
      </c>
      <c r="M16">
        <f t="shared" si="10"/>
        <v>11</v>
      </c>
      <c r="N16">
        <f t="shared" si="13"/>
        <v>2025</v>
      </c>
      <c r="O16" s="21">
        <f t="shared" ref="O16" si="26">+C16/30</f>
        <v>195961.30890275</v>
      </c>
      <c r="P16" s="33">
        <f>+O16*10</f>
        <v>1959613.0890275</v>
      </c>
      <c r="Q16" s="37">
        <v>45986</v>
      </c>
      <c r="R16" s="23">
        <v>6270762</v>
      </c>
      <c r="S16" s="23">
        <v>6072915</v>
      </c>
      <c r="T16" s="55">
        <f t="shared" si="21"/>
        <v>427816446</v>
      </c>
      <c r="U16" s="99">
        <v>10500</v>
      </c>
      <c r="V16" s="96">
        <v>438953</v>
      </c>
      <c r="W16" s="101">
        <f t="shared" si="2"/>
        <v>11915224</v>
      </c>
      <c r="X16" s="55"/>
      <c r="Z16" s="22"/>
      <c r="AA16" s="62"/>
      <c r="AC16" s="22"/>
    </row>
    <row r="17" spans="1:45" ht="14.45">
      <c r="A17" s="112">
        <f t="shared" si="3"/>
        <v>12</v>
      </c>
      <c r="B17" s="59">
        <f t="shared" si="4"/>
        <v>427805946</v>
      </c>
      <c r="C17" s="59">
        <f t="shared" si="5"/>
        <v>5797840.0831650002</v>
      </c>
      <c r="D17" s="59">
        <f>6564754</f>
        <v>6564754</v>
      </c>
      <c r="E17" s="59">
        <f t="shared" si="6"/>
        <v>12366381.022651339</v>
      </c>
      <c r="F17" s="59">
        <f t="shared" si="0"/>
        <v>421241192</v>
      </c>
      <c r="G17" s="108">
        <v>8.7730000000000002E-2</v>
      </c>
      <c r="H17" s="64">
        <f t="shared" si="7"/>
        <v>7.4999999999999997E-2</v>
      </c>
      <c r="I17" s="113">
        <f t="shared" si="8"/>
        <v>1.3560833333333333E-2</v>
      </c>
      <c r="J17" s="114">
        <f t="shared" si="1"/>
        <v>12368641.984756552</v>
      </c>
      <c r="K17" s="115">
        <f t="shared" ref="K17" si="27">IF(A14=" "," ",+$B$4-A17)</f>
        <v>46</v>
      </c>
      <c r="L17" s="5">
        <v>22</v>
      </c>
      <c r="M17" s="5">
        <f t="shared" si="10"/>
        <v>12</v>
      </c>
      <c r="N17" s="5">
        <f t="shared" si="13"/>
        <v>2025</v>
      </c>
      <c r="O17" s="21">
        <f>5797840/30</f>
        <v>193261.33333333334</v>
      </c>
      <c r="P17" s="33">
        <f>+O17*8</f>
        <v>1546090.6666666667</v>
      </c>
      <c r="Q17" s="37">
        <v>46014</v>
      </c>
      <c r="R17" s="23">
        <v>5797840</v>
      </c>
      <c r="S17" s="23">
        <v>6575254</v>
      </c>
      <c r="T17" s="55">
        <f t="shared" si="21"/>
        <v>421241192</v>
      </c>
      <c r="U17" s="99">
        <v>3969</v>
      </c>
      <c r="V17" s="99">
        <v>405848</v>
      </c>
      <c r="W17" s="23">
        <f t="shared" si="2"/>
        <v>11971215</v>
      </c>
      <c r="X17" s="23"/>
    </row>
    <row r="18" spans="1:45" ht="14.45">
      <c r="A18" s="67">
        <f t="shared" si="3"/>
        <v>13</v>
      </c>
      <c r="B18" s="57">
        <f t="shared" si="4"/>
        <v>421241192</v>
      </c>
      <c r="C18" s="57">
        <f t="shared" si="5"/>
        <v>5712381.5978466664</v>
      </c>
      <c r="D18" s="57">
        <f>S18+18692</f>
        <v>6659988</v>
      </c>
      <c r="E18" s="57">
        <f t="shared" si="6"/>
        <v>12368641.984756552</v>
      </c>
      <c r="F18" s="57">
        <f t="shared" si="0"/>
        <v>414581204</v>
      </c>
      <c r="G18" s="116">
        <v>9.1249999999999998E-2</v>
      </c>
      <c r="H18" s="63">
        <f t="shared" si="7"/>
        <v>7.4999999999999997E-2</v>
      </c>
      <c r="I18" s="97">
        <f t="shared" si="8"/>
        <v>1.3854166666666667E-2</v>
      </c>
      <c r="J18" s="98">
        <f t="shared" si="1"/>
        <v>12442903.924418714</v>
      </c>
      <c r="K18" s="106">
        <f t="shared" ref="K18" si="28">+$B$4-A18</f>
        <v>45</v>
      </c>
      <c r="L18">
        <v>22</v>
      </c>
      <c r="M18">
        <f t="shared" si="10"/>
        <v>1</v>
      </c>
      <c r="N18">
        <f t="shared" si="13"/>
        <v>2026</v>
      </c>
      <c r="O18" s="21">
        <f>5712330/30</f>
        <v>190411</v>
      </c>
      <c r="P18" s="33">
        <f>+O18*8</f>
        <v>1523288</v>
      </c>
      <c r="Q18" s="37">
        <v>46049</v>
      </c>
      <c r="R18" s="39">
        <v>5712330</v>
      </c>
      <c r="S18" s="39">
        <v>6641296</v>
      </c>
      <c r="T18" s="55">
        <f t="shared" si="21"/>
        <v>414599896</v>
      </c>
      <c r="U18" s="96">
        <v>18757</v>
      </c>
      <c r="V18" s="96">
        <v>399863</v>
      </c>
      <c r="W18" s="23">
        <f t="shared" si="2"/>
        <v>11972520</v>
      </c>
      <c r="X18" s="23"/>
      <c r="Z18">
        <f>+Z15+AA13</f>
        <v>6805843</v>
      </c>
      <c r="AA18" s="22">
        <f>+AA14+AB13</f>
        <v>5574285</v>
      </c>
      <c r="AB18" s="22">
        <f>+AB14+AC13</f>
        <v>7730591</v>
      </c>
      <c r="AL18" s="22"/>
      <c r="AP18" s="22"/>
      <c r="AS18" s="22"/>
    </row>
    <row r="19" spans="1:45" ht="14.45">
      <c r="A19" s="67">
        <f t="shared" si="3"/>
        <v>14</v>
      </c>
      <c r="B19" s="57">
        <f t="shared" si="4"/>
        <v>414581204</v>
      </c>
      <c r="C19" s="57">
        <f t="shared" si="5"/>
        <v>5743677.0970833339</v>
      </c>
      <c r="D19" s="57">
        <f>6695319+S20</f>
        <v>6699227</v>
      </c>
      <c r="E19" s="57">
        <f t="shared" si="6"/>
        <v>12442903.924418714</v>
      </c>
      <c r="F19" s="57">
        <f t="shared" si="0"/>
        <v>407881977</v>
      </c>
      <c r="G19" s="63">
        <v>9.6619999999999998E-2</v>
      </c>
      <c r="H19" s="63">
        <f t="shared" si="7"/>
        <v>7.4999999999999997E-2</v>
      </c>
      <c r="I19" s="97">
        <f t="shared" si="8"/>
        <v>1.4301666666666666E-2</v>
      </c>
      <c r="J19" s="98">
        <f t="shared" si="1"/>
        <v>12554647.592511551</v>
      </c>
      <c r="K19" s="106">
        <f t="shared" ref="K19" si="29">IF(A16=" "," ",+$B$4-A19)</f>
        <v>44</v>
      </c>
      <c r="L19">
        <v>22</v>
      </c>
      <c r="M19">
        <f t="shared" si="10"/>
        <v>2</v>
      </c>
      <c r="N19">
        <f t="shared" si="13"/>
        <v>2026</v>
      </c>
      <c r="O19" s="21">
        <f>5743677/30</f>
        <v>191455.9</v>
      </c>
      <c r="P19" s="33">
        <f>+O19*8</f>
        <v>1531647.2</v>
      </c>
      <c r="Q19" s="37">
        <v>46076</v>
      </c>
      <c r="R19" s="23">
        <v>5743677</v>
      </c>
      <c r="S19" s="23">
        <v>6714011</v>
      </c>
      <c r="T19" s="23">
        <f t="shared" si="21"/>
        <v>407885885</v>
      </c>
      <c r="U19" s="99">
        <v>4223</v>
      </c>
      <c r="V19" s="99">
        <v>402057</v>
      </c>
      <c r="W19" s="23">
        <f t="shared" si="2"/>
        <v>12059854</v>
      </c>
      <c r="X19" s="23"/>
      <c r="AF19" s="21"/>
      <c r="AG19" s="21"/>
      <c r="AH19" s="22"/>
    </row>
    <row r="20" spans="1:45" ht="14.45">
      <c r="A20" s="67">
        <f t="shared" si="3"/>
        <v>15</v>
      </c>
      <c r="B20" s="57">
        <f>IF(A20=" "," ",+F19)</f>
        <v>407881977</v>
      </c>
      <c r="C20" s="57">
        <f t="shared" si="5"/>
        <v>5833392.074395</v>
      </c>
      <c r="D20" s="57">
        <f>+S21</f>
        <v>6721256</v>
      </c>
      <c r="E20" s="57">
        <f t="shared" si="6"/>
        <v>12554647.592511551</v>
      </c>
      <c r="F20" s="65">
        <f>+B20-D20-S22</f>
        <v>201160721</v>
      </c>
      <c r="G20" s="63">
        <v>0.10299999999999999</v>
      </c>
      <c r="H20" s="63">
        <f t="shared" si="7"/>
        <v>7.4999999999999997E-2</v>
      </c>
      <c r="I20" s="97">
        <f t="shared" si="8"/>
        <v>1.4833333333333332E-2</v>
      </c>
      <c r="J20" s="98">
        <f t="shared" si="1"/>
        <v>6361104.4862775309</v>
      </c>
      <c r="K20" s="106">
        <f t="shared" ref="K20" si="30">+$B$4-A20</f>
        <v>43</v>
      </c>
      <c r="L20">
        <v>22</v>
      </c>
      <c r="M20">
        <f t="shared" si="10"/>
        <v>3</v>
      </c>
      <c r="N20">
        <f t="shared" si="13"/>
        <v>2026</v>
      </c>
      <c r="O20" s="21">
        <f>+C20/30</f>
        <v>194446.40247983334</v>
      </c>
      <c r="P20" s="33">
        <f>+O20*8</f>
        <v>1555571.2198386667</v>
      </c>
      <c r="Q20" s="37">
        <v>46076</v>
      </c>
      <c r="R20" s="23">
        <v>0</v>
      </c>
      <c r="S20" s="23">
        <v>3908</v>
      </c>
      <c r="T20" s="23">
        <f t="shared" si="21"/>
        <v>407881977</v>
      </c>
      <c r="U20" s="23">
        <v>0</v>
      </c>
      <c r="V20" s="23"/>
      <c r="W20" s="23"/>
      <c r="X20" s="23">
        <f>+S20</f>
        <v>3908</v>
      </c>
      <c r="AF20" s="21"/>
      <c r="AG20" s="21"/>
      <c r="AH20" s="22"/>
      <c r="AJ20" s="22"/>
      <c r="AK20" s="22"/>
      <c r="AM20" s="22"/>
      <c r="AO20" s="22"/>
      <c r="AQ20" s="22"/>
      <c r="AR20" s="22"/>
    </row>
    <row r="21" spans="1:45" ht="14.45">
      <c r="A21" s="67">
        <f t="shared" si="3"/>
        <v>16</v>
      </c>
      <c r="B21" s="57">
        <f>IF(A21=" "," ",+F20)</f>
        <v>201160721</v>
      </c>
      <c r="C21" s="57">
        <f t="shared" si="5"/>
        <v>2983884.0281666666</v>
      </c>
      <c r="D21" s="57">
        <f>+S23</f>
        <v>3576146</v>
      </c>
      <c r="E21" s="57">
        <f t="shared" si="6"/>
        <v>6361104.4862775309</v>
      </c>
      <c r="F21" s="65">
        <f t="shared" si="0"/>
        <v>197584575</v>
      </c>
      <c r="G21" s="63">
        <v>0.1087</v>
      </c>
      <c r="H21" s="63">
        <f t="shared" si="7"/>
        <v>7.4999999999999997E-2</v>
      </c>
      <c r="I21" s="97">
        <f t="shared" si="8"/>
        <v>1.5308333333333334E-2</v>
      </c>
      <c r="J21" s="98">
        <f t="shared" si="1"/>
        <v>6412408.5401665075</v>
      </c>
      <c r="K21" s="106">
        <f t="shared" ref="K21" si="31">IF(A18=" "," ",+$B$4-A21)</f>
        <v>42</v>
      </c>
      <c r="L21">
        <v>22</v>
      </c>
      <c r="M21">
        <f t="shared" si="10"/>
        <v>4</v>
      </c>
      <c r="N21">
        <f t="shared" si="13"/>
        <v>2026</v>
      </c>
      <c r="O21" s="21">
        <f>+C21/30</f>
        <v>99462.80093888889</v>
      </c>
      <c r="P21" s="33">
        <f>+O21*8</f>
        <v>795702.40751111112</v>
      </c>
      <c r="Q21" s="37">
        <v>46105</v>
      </c>
      <c r="R21" s="23">
        <v>5833392</v>
      </c>
      <c r="S21" s="23">
        <v>6721256</v>
      </c>
      <c r="T21" s="23">
        <f>+T20-S21</f>
        <v>401160721</v>
      </c>
      <c r="U21" s="23">
        <v>0</v>
      </c>
      <c r="V21" s="23">
        <v>408337</v>
      </c>
      <c r="W21" s="23">
        <f>+R21+S21+U21-V21</f>
        <v>12146311</v>
      </c>
      <c r="X21" s="38"/>
      <c r="AF21" s="21"/>
      <c r="AG21" s="21"/>
      <c r="AH21" s="22"/>
      <c r="AN21" s="22"/>
    </row>
    <row r="22" spans="1:45" ht="14.45">
      <c r="A22" s="112">
        <f t="shared" si="3"/>
        <v>17</v>
      </c>
      <c r="B22" s="59">
        <f t="shared" si="4"/>
        <v>197584575</v>
      </c>
      <c r="C22" s="59">
        <f t="shared" si="5"/>
        <v>3024690.535625</v>
      </c>
      <c r="D22" s="59">
        <f>+S24</f>
        <v>3186072</v>
      </c>
      <c r="E22" s="59">
        <f t="shared" si="6"/>
        <v>6412408.5401665075</v>
      </c>
      <c r="F22" s="123">
        <f t="shared" si="0"/>
        <v>194398503</v>
      </c>
      <c r="G22" s="64">
        <v>0.10580000000000001</v>
      </c>
      <c r="H22" s="64">
        <f t="shared" si="7"/>
        <v>7.4999999999999997E-2</v>
      </c>
      <c r="I22" s="113">
        <f t="shared" si="8"/>
        <v>1.5066666666666667E-2</v>
      </c>
      <c r="J22" s="114">
        <f t="shared" si="1"/>
        <v>6390246.6769841844</v>
      </c>
      <c r="K22" s="115">
        <f t="shared" ref="K22" si="32">+$B$4-A22</f>
        <v>41</v>
      </c>
      <c r="L22" s="5">
        <v>22</v>
      </c>
      <c r="M22" s="5">
        <f t="shared" si="10"/>
        <v>5</v>
      </c>
      <c r="N22" s="5">
        <f t="shared" si="13"/>
        <v>2026</v>
      </c>
      <c r="O22" s="122">
        <f>+C22/30</f>
        <v>100823.01785416667</v>
      </c>
      <c r="P22" s="33">
        <f>+O22*10</f>
        <v>1008230.1785416667</v>
      </c>
      <c r="Q22" s="37">
        <v>46106</v>
      </c>
      <c r="R22" s="23">
        <v>0</v>
      </c>
      <c r="S22" s="23">
        <v>200000000</v>
      </c>
      <c r="T22" s="23">
        <f>+T21-S22</f>
        <v>201160721</v>
      </c>
      <c r="U22" s="23"/>
      <c r="V22" s="23"/>
      <c r="W22" s="23">
        <f>+S22</f>
        <v>200000000</v>
      </c>
      <c r="X22" s="38"/>
      <c r="Z22" s="70" t="s">
        <v>44</v>
      </c>
      <c r="AA22" s="71"/>
      <c r="AB22" s="72"/>
      <c r="AF22" s="21"/>
      <c r="AG22" s="21"/>
      <c r="AH22" s="22"/>
    </row>
    <row r="23" spans="1:45" ht="14.45">
      <c r="A23" s="112">
        <f t="shared" si="3"/>
        <v>18</v>
      </c>
      <c r="B23" s="59">
        <f t="shared" si="4"/>
        <v>194398503</v>
      </c>
      <c r="C23" s="59">
        <f t="shared" si="5"/>
        <v>2928937.4452</v>
      </c>
      <c r="D23" s="59">
        <f>+S25</f>
        <v>3461310</v>
      </c>
      <c r="E23" s="59">
        <f t="shared" si="6"/>
        <v>6390246.6769841844</v>
      </c>
      <c r="F23" s="123">
        <f t="shared" si="0"/>
        <v>190937193</v>
      </c>
      <c r="G23" s="64">
        <v>0.10940999999999999</v>
      </c>
      <c r="H23" s="64">
        <f t="shared" si="7"/>
        <v>7.4999999999999997E-2</v>
      </c>
      <c r="I23" s="113">
        <f t="shared" si="8"/>
        <v>1.5367499999999999E-2</v>
      </c>
      <c r="J23" s="114">
        <f t="shared" si="1"/>
        <v>6425373.666239636</v>
      </c>
      <c r="K23" s="115">
        <f t="shared" ref="K23" si="33">IF(A20=" "," ",+$B$4-A23)</f>
        <v>40</v>
      </c>
      <c r="L23" s="5">
        <v>22</v>
      </c>
      <c r="M23" s="5">
        <f t="shared" si="10"/>
        <v>6</v>
      </c>
      <c r="N23" s="5">
        <f t="shared" si="13"/>
        <v>2026</v>
      </c>
      <c r="O23" s="122">
        <f>+C23/30</f>
        <v>97631.248173333326</v>
      </c>
      <c r="P23" s="33">
        <f>+O23*8</f>
        <v>781049.98538666661</v>
      </c>
      <c r="Q23" s="37">
        <v>46132</v>
      </c>
      <c r="R23" s="23">
        <v>2784958</v>
      </c>
      <c r="S23" s="23">
        <v>3576146</v>
      </c>
      <c r="T23" s="23">
        <f>+T22-S23</f>
        <v>197584575</v>
      </c>
      <c r="U23" s="23"/>
      <c r="V23" s="23">
        <v>208871</v>
      </c>
      <c r="W23" s="23">
        <f>+R23+S23+U23-V23</f>
        <v>6152233</v>
      </c>
      <c r="X23" s="38"/>
      <c r="AF23" s="21"/>
      <c r="AG23" s="21"/>
      <c r="AH23" s="22"/>
    </row>
    <row r="24" spans="1:45">
      <c r="A24" s="112">
        <f t="shared" si="3"/>
        <v>19</v>
      </c>
      <c r="B24" s="59">
        <f t="shared" si="4"/>
        <v>190937193</v>
      </c>
      <c r="C24" s="59">
        <f t="shared" si="5"/>
        <v>2934227.3134275</v>
      </c>
      <c r="D24" s="59">
        <f>+S26+S27</f>
        <v>3491147</v>
      </c>
      <c r="E24" s="59">
        <f t="shared" si="6"/>
        <v>6425373.666239636</v>
      </c>
      <c r="F24" s="123">
        <f t="shared" si="0"/>
        <v>187446046</v>
      </c>
      <c r="G24" s="64">
        <v>0.11509999999999999</v>
      </c>
      <c r="H24" s="64">
        <f t="shared" si="7"/>
        <v>7.4999999999999997E-2</v>
      </c>
      <c r="I24" s="113">
        <f t="shared" si="8"/>
        <v>1.5841666666666667E-2</v>
      </c>
      <c r="J24" s="114">
        <f t="shared" si="1"/>
        <v>6479751.9446377521</v>
      </c>
      <c r="K24" s="115">
        <f t="shared" ref="K24" si="34">+$B$4-A24</f>
        <v>39</v>
      </c>
      <c r="L24" s="5">
        <v>22</v>
      </c>
      <c r="M24" s="5">
        <f t="shared" ref="M24:M51" si="35">IF(AND(A26&lt;&gt;" ")*(M23=12),1,1+M23)</f>
        <v>7</v>
      </c>
      <c r="N24" s="5">
        <f t="shared" ref="N24:N51" si="36">IF(AND(A26&lt;&gt;" ")*(M24=1),1+N23,N23)</f>
        <v>2026</v>
      </c>
      <c r="O24" s="122">
        <f>+C24/30</f>
        <v>97807.577114250002</v>
      </c>
      <c r="P24" s="33">
        <f>+O24*8</f>
        <v>782460.61691400001</v>
      </c>
      <c r="Q24" s="37">
        <v>46164</v>
      </c>
      <c r="R24" s="23">
        <v>3226337</v>
      </c>
      <c r="S24" s="23">
        <v>3186072</v>
      </c>
      <c r="T24" s="23">
        <f>+T23-S24</f>
        <v>194398503</v>
      </c>
      <c r="U24" s="38"/>
      <c r="V24" s="23">
        <v>225843</v>
      </c>
      <c r="W24" s="23">
        <f>+R24+S24+U24-V24</f>
        <v>6186566</v>
      </c>
      <c r="X24" s="38"/>
      <c r="Z24" s="87" t="s">
        <v>45</v>
      </c>
      <c r="AA24" s="73"/>
      <c r="AB24" s="74"/>
      <c r="AF24" s="21"/>
      <c r="AG24" s="21"/>
      <c r="AH24" s="22"/>
    </row>
    <row r="25" spans="1:45">
      <c r="A25" s="112">
        <f t="shared" si="3"/>
        <v>20</v>
      </c>
      <c r="B25" s="59">
        <f t="shared" si="4"/>
        <v>187446046</v>
      </c>
      <c r="C25" s="59">
        <f t="shared" si="5"/>
        <v>2969457.7787166666</v>
      </c>
      <c r="D25" s="59">
        <f>+S28</f>
        <v>3807240</v>
      </c>
      <c r="E25" s="59">
        <f t="shared" si="6"/>
        <v>6479751.9446377521</v>
      </c>
      <c r="F25" s="123">
        <f t="shared" si="0"/>
        <v>183638806</v>
      </c>
      <c r="G25" s="140">
        <v>9.2939999999999995E-2</v>
      </c>
      <c r="H25" s="64">
        <f t="shared" si="7"/>
        <v>7.4999999999999997E-2</v>
      </c>
      <c r="I25" s="113">
        <f t="shared" si="8"/>
        <v>1.3994999999999999E-2</v>
      </c>
      <c r="J25" s="114">
        <f t="shared" si="1"/>
        <v>6263935.6244073445</v>
      </c>
      <c r="K25" s="115">
        <f t="shared" ref="K25" si="37">IF(A22=" "," ",+$B$4-A25)</f>
        <v>38</v>
      </c>
      <c r="L25" s="5">
        <v>22</v>
      </c>
      <c r="M25" s="5">
        <f t="shared" si="35"/>
        <v>8</v>
      </c>
      <c r="N25" s="5">
        <f t="shared" si="36"/>
        <v>2026</v>
      </c>
      <c r="O25" s="122">
        <f>+C25/30</f>
        <v>98981.925957222222</v>
      </c>
      <c r="P25" s="33">
        <f>+O25*8</f>
        <v>791855.40765777777</v>
      </c>
      <c r="Q25" s="37">
        <v>46195</v>
      </c>
      <c r="R25" s="23">
        <v>2928937</v>
      </c>
      <c r="S25" s="23">
        <v>3461310</v>
      </c>
      <c r="T25" s="23">
        <f>+T24-S25</f>
        <v>190937193</v>
      </c>
      <c r="U25" s="38"/>
      <c r="V25" s="23">
        <v>205025</v>
      </c>
      <c r="W25" s="23">
        <f>+R25+S25+U25-V25</f>
        <v>6185222</v>
      </c>
      <c r="X25" s="38"/>
      <c r="Z25" s="75" t="s">
        <v>46</v>
      </c>
      <c r="AA25" s="76">
        <v>12541445</v>
      </c>
      <c r="AB25" s="77"/>
      <c r="AC25" s="66"/>
      <c r="AF25" s="21"/>
      <c r="AG25" s="21"/>
      <c r="AH25" s="22"/>
    </row>
    <row r="26" spans="1:45">
      <c r="A26" s="124">
        <f t="shared" si="3"/>
        <v>21</v>
      </c>
      <c r="B26" s="125">
        <f t="shared" si="4"/>
        <v>183638806</v>
      </c>
      <c r="C26" s="125">
        <f t="shared" si="5"/>
        <v>2570025.0899699996</v>
      </c>
      <c r="D26" s="125">
        <f t="shared" ref="D24:D61" si="38">+E26-C26</f>
        <v>3693910.5344373449</v>
      </c>
      <c r="E26" s="125">
        <f t="shared" si="6"/>
        <v>6263935.6244073445</v>
      </c>
      <c r="F26" s="126">
        <f t="shared" si="0"/>
        <v>179944895.46556264</v>
      </c>
      <c r="G26" s="127">
        <v>9.2939999999999995E-2</v>
      </c>
      <c r="H26" s="127">
        <f t="shared" si="7"/>
        <v>7.4999999999999997E-2</v>
      </c>
      <c r="I26" s="128">
        <f t="shared" si="8"/>
        <v>1.3994999999999999E-2</v>
      </c>
      <c r="J26" s="129">
        <f t="shared" si="1"/>
        <v>6263935.6244073445</v>
      </c>
      <c r="K26" s="104">
        <f t="shared" ref="K26" si="39">+$B$4-A26</f>
        <v>37</v>
      </c>
      <c r="L26" s="130">
        <v>22</v>
      </c>
      <c r="M26" s="130">
        <f t="shared" si="35"/>
        <v>9</v>
      </c>
      <c r="N26" s="130">
        <f t="shared" si="36"/>
        <v>2026</v>
      </c>
      <c r="O26" s="122">
        <f>+C26/30</f>
        <v>85667.502998999989</v>
      </c>
      <c r="P26" s="33">
        <f>+O26*11</f>
        <v>942342.53298899985</v>
      </c>
      <c r="Q26" s="37">
        <v>46227</v>
      </c>
      <c r="R26" s="23">
        <v>2934227</v>
      </c>
      <c r="S26" s="23">
        <v>3486541</v>
      </c>
      <c r="T26" s="23">
        <f>+T25-S26</f>
        <v>187450652</v>
      </c>
      <c r="U26" s="99">
        <v>4607</v>
      </c>
      <c r="V26" s="23">
        <v>205396</v>
      </c>
      <c r="W26" s="23">
        <f>+R26+S26+U26-V26</f>
        <v>6219979</v>
      </c>
      <c r="X26" s="38"/>
      <c r="Z26" s="75" t="s">
        <v>47</v>
      </c>
      <c r="AA26" s="76">
        <v>12084393</v>
      </c>
      <c r="AB26" s="77"/>
      <c r="AC26" s="22"/>
      <c r="AD26" s="22"/>
      <c r="AG26" s="22"/>
      <c r="AH26" s="22"/>
    </row>
    <row r="27" spans="1:45" ht="14.45">
      <c r="A27" s="67">
        <f t="shared" si="3"/>
        <v>22</v>
      </c>
      <c r="B27" s="57">
        <f t="shared" si="4"/>
        <v>179944895.46556264</v>
      </c>
      <c r="C27" s="57">
        <f t="shared" si="5"/>
        <v>2518328.8120405488</v>
      </c>
      <c r="D27" s="57">
        <f t="shared" si="38"/>
        <v>3745606.8123667957</v>
      </c>
      <c r="E27" s="57">
        <f t="shared" si="6"/>
        <v>6263935.6244073445</v>
      </c>
      <c r="F27" s="65">
        <f t="shared" si="0"/>
        <v>176199288.65319586</v>
      </c>
      <c r="G27" s="63">
        <v>9.2939999999999995E-2</v>
      </c>
      <c r="H27" s="63">
        <f t="shared" si="7"/>
        <v>7.4999999999999997E-2</v>
      </c>
      <c r="I27" s="8">
        <f t="shared" si="8"/>
        <v>1.3994999999999999E-2</v>
      </c>
      <c r="J27" s="2">
        <f t="shared" si="1"/>
        <v>6263935.6244073436</v>
      </c>
      <c r="K27" s="7">
        <f t="shared" ref="K27" si="40">IF(A24=" "," ",+$B$4-A27)</f>
        <v>36</v>
      </c>
      <c r="L27">
        <v>22</v>
      </c>
      <c r="M27">
        <f t="shared" si="35"/>
        <v>10</v>
      </c>
      <c r="N27">
        <f t="shared" si="36"/>
        <v>2026</v>
      </c>
      <c r="O27" s="21"/>
      <c r="P27" s="33"/>
      <c r="Q27" s="37">
        <v>46227</v>
      </c>
      <c r="R27" s="38"/>
      <c r="S27" s="23">
        <v>4606</v>
      </c>
      <c r="T27" s="23">
        <f>+T26-S27</f>
        <v>187446046</v>
      </c>
      <c r="U27" s="38"/>
      <c r="V27" s="38"/>
      <c r="W27" s="38"/>
      <c r="X27" s="23">
        <f>+S27</f>
        <v>4606</v>
      </c>
      <c r="Z27" s="75" t="s">
        <v>48</v>
      </c>
      <c r="AA27" s="78">
        <f>+AA25-AA26</f>
        <v>457052</v>
      </c>
      <c r="AB27" s="77"/>
      <c r="AC27" s="22"/>
      <c r="AD27" s="22"/>
    </row>
    <row r="28" spans="1:45">
      <c r="A28" s="67">
        <f t="shared" si="3"/>
        <v>23</v>
      </c>
      <c r="B28" s="57">
        <f t="shared" si="4"/>
        <v>176199288.65319586</v>
      </c>
      <c r="C28" s="57">
        <f t="shared" si="5"/>
        <v>2465909.0447014757</v>
      </c>
      <c r="D28" s="57">
        <f t="shared" si="38"/>
        <v>3798026.5797058679</v>
      </c>
      <c r="E28" s="57">
        <f t="shared" si="6"/>
        <v>6263935.6244073436</v>
      </c>
      <c r="F28" s="65">
        <f t="shared" si="0"/>
        <v>172401262.07348999</v>
      </c>
      <c r="G28" s="63">
        <v>9.2939999999999995E-2</v>
      </c>
      <c r="H28" s="63">
        <f t="shared" si="7"/>
        <v>7.4999999999999997E-2</v>
      </c>
      <c r="I28" s="8">
        <f t="shared" si="8"/>
        <v>1.3994999999999999E-2</v>
      </c>
      <c r="J28" s="2">
        <f t="shared" si="1"/>
        <v>6263935.6244073436</v>
      </c>
      <c r="K28" s="7">
        <f t="shared" ref="K28" si="41">+$B$4-A28</f>
        <v>35</v>
      </c>
      <c r="L28">
        <v>22</v>
      </c>
      <c r="M28">
        <f t="shared" si="35"/>
        <v>11</v>
      </c>
      <c r="N28">
        <f t="shared" si="36"/>
        <v>2026</v>
      </c>
      <c r="O28" s="21"/>
      <c r="P28" s="33"/>
      <c r="Q28" s="37">
        <v>46253</v>
      </c>
      <c r="R28" s="23">
        <v>2672512</v>
      </c>
      <c r="S28" s="23">
        <v>3807240</v>
      </c>
      <c r="T28" s="23">
        <f>+T27-S28</f>
        <v>183638806</v>
      </c>
      <c r="U28" s="99"/>
      <c r="V28" s="23">
        <v>207862</v>
      </c>
      <c r="W28" s="23">
        <f>+R28+S28+U28-V28</f>
        <v>6271890</v>
      </c>
      <c r="X28" s="38"/>
      <c r="Z28" s="75"/>
      <c r="AA28" s="79"/>
      <c r="AB28" s="77"/>
      <c r="AC28" s="22"/>
      <c r="AD28" s="22"/>
    </row>
    <row r="29" spans="1:45" ht="14.45">
      <c r="A29" s="67">
        <f t="shared" si="3"/>
        <v>24</v>
      </c>
      <c r="B29" s="57">
        <f t="shared" si="4"/>
        <v>172401262.07348999</v>
      </c>
      <c r="C29" s="57">
        <f t="shared" si="5"/>
        <v>2412755.6627184921</v>
      </c>
      <c r="D29" s="57">
        <f t="shared" si="38"/>
        <v>3851179.9616888515</v>
      </c>
      <c r="E29" s="57">
        <f t="shared" si="6"/>
        <v>6263935.6244073436</v>
      </c>
      <c r="F29" s="65">
        <f t="shared" si="0"/>
        <v>168550082.11180115</v>
      </c>
      <c r="G29" s="63">
        <v>9.2939999999999995E-2</v>
      </c>
      <c r="H29" s="63">
        <f t="shared" si="7"/>
        <v>7.4999999999999997E-2</v>
      </c>
      <c r="I29" s="8">
        <f t="shared" si="8"/>
        <v>1.3994999999999999E-2</v>
      </c>
      <c r="J29" s="2">
        <f t="shared" si="1"/>
        <v>6263935.6244073445</v>
      </c>
      <c r="K29" s="7">
        <f t="shared" ref="K29" si="42">IF(A26=" "," ",+$B$4-A29)</f>
        <v>34</v>
      </c>
      <c r="L29">
        <v>22</v>
      </c>
      <c r="M29">
        <f t="shared" si="35"/>
        <v>12</v>
      </c>
      <c r="N29">
        <f t="shared" si="36"/>
        <v>2026</v>
      </c>
      <c r="O29" s="21"/>
      <c r="P29" s="33"/>
      <c r="Q29" s="38"/>
      <c r="R29" s="38"/>
      <c r="S29" s="38"/>
      <c r="T29" s="38"/>
      <c r="U29" s="38"/>
      <c r="V29" s="38"/>
      <c r="W29" s="38"/>
      <c r="X29" s="38"/>
      <c r="Z29" s="75" t="s">
        <v>49</v>
      </c>
      <c r="AA29" s="76">
        <v>6529315</v>
      </c>
      <c r="AB29" s="84">
        <v>7.0000000000000007E-2</v>
      </c>
    </row>
    <row r="30" spans="1:45" ht="14.45">
      <c r="A30" s="67">
        <f t="shared" si="3"/>
        <v>25</v>
      </c>
      <c r="B30" s="57">
        <f t="shared" si="4"/>
        <v>168550082.11180115</v>
      </c>
      <c r="C30" s="57">
        <f t="shared" si="5"/>
        <v>2358858.399154657</v>
      </c>
      <c r="D30" s="57">
        <f t="shared" si="38"/>
        <v>3905077.2252526875</v>
      </c>
      <c r="E30" s="57">
        <f t="shared" si="6"/>
        <v>6263935.6244073445</v>
      </c>
      <c r="F30" s="65">
        <f t="shared" ref="F30:F41" si="43">+B30-D30</f>
        <v>164645004.88654846</v>
      </c>
      <c r="G30" s="63">
        <v>9.2939999999999995E-2</v>
      </c>
      <c r="H30" s="63">
        <f t="shared" si="7"/>
        <v>7.4999999999999997E-2</v>
      </c>
      <c r="I30" s="8">
        <f t="shared" si="8"/>
        <v>1.3994999999999999E-2</v>
      </c>
      <c r="J30" s="2">
        <f t="shared" ref="J30:J41" si="44">PMT(I30,K30,-F30,0)</f>
        <v>6263935.6244073445</v>
      </c>
      <c r="K30" s="7">
        <f t="shared" ref="K30" si="45">+$B$4-A30</f>
        <v>33</v>
      </c>
      <c r="L30">
        <v>22</v>
      </c>
      <c r="M30">
        <f t="shared" si="35"/>
        <v>1</v>
      </c>
      <c r="N30">
        <f t="shared" si="36"/>
        <v>2027</v>
      </c>
      <c r="O30" s="21"/>
      <c r="P30" s="33"/>
      <c r="Q30" s="38"/>
      <c r="R30" s="38"/>
      <c r="S30" s="38"/>
      <c r="T30" s="38"/>
      <c r="U30" s="38"/>
      <c r="V30" s="38"/>
      <c r="W30" s="38"/>
      <c r="X30" s="38"/>
      <c r="Z30" s="85" t="s">
        <v>50</v>
      </c>
      <c r="AA30" s="86">
        <f>+AA29*AB29</f>
        <v>457052.05000000005</v>
      </c>
      <c r="AB30" s="77"/>
    </row>
    <row r="31" spans="1:45" ht="14.45">
      <c r="A31" s="67">
        <f t="shared" si="3"/>
        <v>26</v>
      </c>
      <c r="B31" s="57">
        <f t="shared" si="4"/>
        <v>164645004.88654846</v>
      </c>
      <c r="C31" s="57">
        <f t="shared" si="5"/>
        <v>2304206.8433872457</v>
      </c>
      <c r="D31" s="57">
        <f t="shared" si="38"/>
        <v>3959728.7810200988</v>
      </c>
      <c r="E31" s="57">
        <f t="shared" si="6"/>
        <v>6263935.6244073445</v>
      </c>
      <c r="F31" s="65">
        <f t="shared" si="43"/>
        <v>160685276.10552835</v>
      </c>
      <c r="G31" s="63">
        <v>9.2939999999999995E-2</v>
      </c>
      <c r="H31" s="63">
        <f t="shared" si="7"/>
        <v>7.4999999999999997E-2</v>
      </c>
      <c r="I31" s="8">
        <f t="shared" si="8"/>
        <v>1.3994999999999999E-2</v>
      </c>
      <c r="J31" s="2">
        <f t="shared" si="44"/>
        <v>6263935.6244073445</v>
      </c>
      <c r="K31" s="7">
        <f t="shared" ref="K31" si="46">IF(A28=" "," ",+$B$4-A31)</f>
        <v>32</v>
      </c>
      <c r="L31">
        <v>22</v>
      </c>
      <c r="M31">
        <f t="shared" si="35"/>
        <v>2</v>
      </c>
      <c r="N31">
        <f t="shared" si="36"/>
        <v>2027</v>
      </c>
      <c r="Q31" s="38"/>
      <c r="R31" s="38"/>
      <c r="S31" s="38"/>
      <c r="T31" s="38"/>
      <c r="U31" s="38"/>
      <c r="V31" s="38"/>
      <c r="W31" s="38"/>
      <c r="X31" s="38"/>
      <c r="Z31" s="80"/>
      <c r="AA31" s="78">
        <f>+AA27-AA30</f>
        <v>-5.0000000046566129E-2</v>
      </c>
      <c r="AB31" s="77"/>
      <c r="AD31" s="22"/>
    </row>
    <row r="32" spans="1:45" thickBot="1">
      <c r="A32" s="67">
        <f t="shared" si="3"/>
        <v>27</v>
      </c>
      <c r="B32" s="57">
        <f t="shared" si="4"/>
        <v>160685276.10552835</v>
      </c>
      <c r="C32" s="57">
        <f t="shared" si="5"/>
        <v>2248790.439096869</v>
      </c>
      <c r="D32" s="57">
        <f t="shared" si="38"/>
        <v>4015145.1853104755</v>
      </c>
      <c r="E32" s="57">
        <f t="shared" si="6"/>
        <v>6263935.6244073445</v>
      </c>
      <c r="F32" s="65">
        <f t="shared" si="43"/>
        <v>156670130.92021787</v>
      </c>
      <c r="G32" s="63">
        <v>9.2939999999999995E-2</v>
      </c>
      <c r="H32" s="63">
        <f t="shared" si="7"/>
        <v>7.4999999999999997E-2</v>
      </c>
      <c r="I32" s="8">
        <f t="shared" si="8"/>
        <v>1.3994999999999999E-2</v>
      </c>
      <c r="J32" s="2">
        <f t="shared" si="44"/>
        <v>6263935.6244073445</v>
      </c>
      <c r="K32" s="7">
        <f t="shared" ref="K32" si="47">+$B$4-A32</f>
        <v>31</v>
      </c>
      <c r="L32">
        <v>22</v>
      </c>
      <c r="M32">
        <f t="shared" si="35"/>
        <v>3</v>
      </c>
      <c r="N32">
        <f t="shared" si="36"/>
        <v>2027</v>
      </c>
      <c r="Q32" s="38"/>
      <c r="R32" s="38"/>
      <c r="S32" s="38"/>
      <c r="T32" s="38"/>
      <c r="U32" s="38"/>
      <c r="V32" s="38"/>
      <c r="W32" s="38"/>
      <c r="X32" s="38"/>
      <c r="Z32" s="81"/>
      <c r="AA32" s="82"/>
      <c r="AB32" s="83"/>
      <c r="AD32" s="22"/>
    </row>
    <row r="33" spans="1:35" thickBot="1">
      <c r="A33" s="67">
        <f t="shared" si="3"/>
        <v>28</v>
      </c>
      <c r="B33" s="57">
        <f t="shared" si="4"/>
        <v>156670130.92021787</v>
      </c>
      <c r="C33" s="57">
        <f t="shared" si="5"/>
        <v>2192598.4822284491</v>
      </c>
      <c r="D33" s="57">
        <f t="shared" si="38"/>
        <v>4071337.1421788954</v>
      </c>
      <c r="E33" s="57">
        <f t="shared" si="6"/>
        <v>6263935.6244073445</v>
      </c>
      <c r="F33" s="65">
        <f t="shared" si="43"/>
        <v>152598793.77803898</v>
      </c>
      <c r="G33" s="63">
        <v>9.2939999999999995E-2</v>
      </c>
      <c r="H33" s="63">
        <f t="shared" si="7"/>
        <v>7.4999999999999997E-2</v>
      </c>
      <c r="I33" s="8">
        <f t="shared" si="8"/>
        <v>1.3994999999999999E-2</v>
      </c>
      <c r="J33" s="2">
        <f t="shared" si="44"/>
        <v>6263935.6244073436</v>
      </c>
      <c r="K33" s="7">
        <f t="shared" ref="K33" si="48">IF(A30=" "," ",+$B$4-A33)</f>
        <v>30</v>
      </c>
      <c r="L33">
        <v>22</v>
      </c>
      <c r="M33">
        <f t="shared" si="35"/>
        <v>4</v>
      </c>
      <c r="N33">
        <f t="shared" si="36"/>
        <v>2027</v>
      </c>
      <c r="Q33" s="38"/>
      <c r="R33" s="38"/>
      <c r="S33" s="38"/>
      <c r="T33" s="38"/>
      <c r="U33" s="38"/>
      <c r="V33" s="38"/>
      <c r="W33" s="38"/>
      <c r="X33" s="38"/>
      <c r="AA33" s="22"/>
      <c r="AC33" s="22"/>
    </row>
    <row r="34" spans="1:35" ht="14.45">
      <c r="A34" s="67">
        <f t="shared" si="3"/>
        <v>29</v>
      </c>
      <c r="B34" s="57">
        <f t="shared" si="4"/>
        <v>152598793.77803898</v>
      </c>
      <c r="C34" s="57">
        <f t="shared" si="5"/>
        <v>2135620.1189236552</v>
      </c>
      <c r="D34" s="57">
        <f t="shared" si="38"/>
        <v>4128315.5054836883</v>
      </c>
      <c r="E34" s="57">
        <f t="shared" si="6"/>
        <v>6263935.6244073436</v>
      </c>
      <c r="F34" s="65">
        <f t="shared" si="43"/>
        <v>148470478.27255529</v>
      </c>
      <c r="G34" s="63">
        <v>9.2939999999999995E-2</v>
      </c>
      <c r="H34" s="63">
        <f t="shared" si="7"/>
        <v>7.4999999999999997E-2</v>
      </c>
      <c r="I34" s="8">
        <f t="shared" si="8"/>
        <v>1.3994999999999999E-2</v>
      </c>
      <c r="J34" s="2">
        <f t="shared" si="44"/>
        <v>6263935.6244073436</v>
      </c>
      <c r="K34" s="7">
        <f t="shared" ref="K34" si="49">+$B$4-A34</f>
        <v>29</v>
      </c>
      <c r="L34">
        <v>22</v>
      </c>
      <c r="M34">
        <f t="shared" si="35"/>
        <v>5</v>
      </c>
      <c r="N34">
        <f t="shared" si="36"/>
        <v>2027</v>
      </c>
      <c r="Q34" s="38"/>
      <c r="R34" s="38"/>
      <c r="S34" s="38"/>
      <c r="T34" s="38"/>
      <c r="U34" s="38"/>
      <c r="V34" s="38"/>
      <c r="W34" s="38"/>
      <c r="X34" s="38"/>
      <c r="Z34" s="87" t="s">
        <v>51</v>
      </c>
      <c r="AA34" s="73"/>
      <c r="AB34" s="74"/>
    </row>
    <row r="35" spans="1:35" ht="14.45">
      <c r="A35" s="67">
        <f t="shared" si="3"/>
        <v>30</v>
      </c>
      <c r="B35" s="57">
        <f t="shared" si="4"/>
        <v>148470478.27255529</v>
      </c>
      <c r="C35" s="57">
        <f t="shared" si="5"/>
        <v>2077844.343424411</v>
      </c>
      <c r="D35" s="57">
        <f t="shared" si="38"/>
        <v>4186091.2809829325</v>
      </c>
      <c r="E35" s="57">
        <f t="shared" si="6"/>
        <v>6263935.6244073436</v>
      </c>
      <c r="F35" s="65">
        <f t="shared" si="43"/>
        <v>144284386.99157235</v>
      </c>
      <c r="G35" s="63">
        <v>9.2939999999999995E-2</v>
      </c>
      <c r="H35" s="63">
        <f t="shared" si="7"/>
        <v>7.4999999999999997E-2</v>
      </c>
      <c r="I35" s="8">
        <f t="shared" si="8"/>
        <v>1.3994999999999999E-2</v>
      </c>
      <c r="J35" s="2">
        <f t="shared" si="44"/>
        <v>6263935.6244073436</v>
      </c>
      <c r="K35" s="7">
        <f t="shared" ref="K35" si="50">IF(A32=" "," ",+$B$4-A35)</f>
        <v>28</v>
      </c>
      <c r="L35">
        <v>22</v>
      </c>
      <c r="M35">
        <f t="shared" si="35"/>
        <v>6</v>
      </c>
      <c r="N35">
        <f t="shared" si="36"/>
        <v>2027</v>
      </c>
      <c r="Z35" s="75" t="s">
        <v>46</v>
      </c>
      <c r="AA35" s="76">
        <v>12407895</v>
      </c>
      <c r="AB35" s="77"/>
    </row>
    <row r="36" spans="1:35" ht="14.45">
      <c r="A36" s="67">
        <f t="shared" si="3"/>
        <v>31</v>
      </c>
      <c r="B36" s="57">
        <f t="shared" si="4"/>
        <v>144284386.99157235</v>
      </c>
      <c r="C36" s="57">
        <f t="shared" si="5"/>
        <v>2019259.9959470548</v>
      </c>
      <c r="D36" s="57">
        <f t="shared" si="38"/>
        <v>4244675.628460289</v>
      </c>
      <c r="E36" s="57">
        <f t="shared" si="6"/>
        <v>6263935.6244073436</v>
      </c>
      <c r="F36" s="65">
        <f t="shared" si="43"/>
        <v>140039711.36311206</v>
      </c>
      <c r="G36" s="63">
        <v>9.2939999999999995E-2</v>
      </c>
      <c r="H36" s="63">
        <f t="shared" si="7"/>
        <v>7.4999999999999997E-2</v>
      </c>
      <c r="I36" s="8">
        <f t="shared" si="8"/>
        <v>1.3994999999999999E-2</v>
      </c>
      <c r="J36" s="2">
        <f t="shared" si="44"/>
        <v>6263935.6244073436</v>
      </c>
      <c r="K36" s="7">
        <f t="shared" ref="K36" si="51">+$B$4-A36</f>
        <v>27</v>
      </c>
      <c r="L36">
        <v>22</v>
      </c>
      <c r="M36">
        <f t="shared" si="35"/>
        <v>7</v>
      </c>
      <c r="N36">
        <f t="shared" si="36"/>
        <v>2027</v>
      </c>
      <c r="Z36" s="75" t="s">
        <v>47</v>
      </c>
      <c r="AA36" s="76">
        <v>11940558</v>
      </c>
      <c r="AB36" s="77"/>
      <c r="AH36" s="34"/>
      <c r="AI36" s="34"/>
    </row>
    <row r="37" spans="1:35" ht="14.45">
      <c r="A37" s="67">
        <f t="shared" si="3"/>
        <v>32</v>
      </c>
      <c r="B37" s="57">
        <f t="shared" si="4"/>
        <v>140039711.36311206</v>
      </c>
      <c r="C37" s="57">
        <f t="shared" si="5"/>
        <v>1959855.760526753</v>
      </c>
      <c r="D37" s="57">
        <f t="shared" si="38"/>
        <v>4304079.8638805905</v>
      </c>
      <c r="E37" s="57">
        <f t="shared" si="6"/>
        <v>6263935.6244073436</v>
      </c>
      <c r="F37" s="65">
        <f t="shared" si="43"/>
        <v>135735631.49923146</v>
      </c>
      <c r="G37" s="63">
        <v>9.2939999999999995E-2</v>
      </c>
      <c r="H37" s="63">
        <f t="shared" si="7"/>
        <v>7.4999999999999997E-2</v>
      </c>
      <c r="I37" s="8">
        <f t="shared" si="8"/>
        <v>1.3994999999999999E-2</v>
      </c>
      <c r="J37" s="2">
        <f t="shared" si="44"/>
        <v>6263935.6244073436</v>
      </c>
      <c r="K37" s="7">
        <f t="shared" ref="K37" si="52">IF(A34=" "," ",+$B$4-A37)</f>
        <v>26</v>
      </c>
      <c r="L37">
        <v>22</v>
      </c>
      <c r="M37">
        <f t="shared" si="35"/>
        <v>8</v>
      </c>
      <c r="N37">
        <f t="shared" si="36"/>
        <v>2027</v>
      </c>
      <c r="Z37" s="75" t="s">
        <v>48</v>
      </c>
      <c r="AA37" s="78">
        <f>+AA35-AA36</f>
        <v>467337</v>
      </c>
      <c r="AB37" s="77"/>
    </row>
    <row r="38" spans="1:35" ht="14.45">
      <c r="A38" s="67">
        <f t="shared" si="3"/>
        <v>33</v>
      </c>
      <c r="B38" s="57">
        <f t="shared" si="4"/>
        <v>135735631.49923146</v>
      </c>
      <c r="C38" s="57">
        <f t="shared" si="5"/>
        <v>1899620.1628317442</v>
      </c>
      <c r="D38" s="57">
        <f t="shared" si="38"/>
        <v>4364315.4615755994</v>
      </c>
      <c r="E38" s="57">
        <f t="shared" si="6"/>
        <v>6263935.6244073436</v>
      </c>
      <c r="F38" s="65">
        <f t="shared" si="43"/>
        <v>131371316.03765586</v>
      </c>
      <c r="G38" s="63">
        <v>9.2939999999999995E-2</v>
      </c>
      <c r="H38" s="63">
        <f t="shared" si="7"/>
        <v>7.4999999999999997E-2</v>
      </c>
      <c r="I38" s="8">
        <f t="shared" si="8"/>
        <v>1.3994999999999999E-2</v>
      </c>
      <c r="J38" s="2">
        <f t="shared" si="44"/>
        <v>6263935.6244073436</v>
      </c>
      <c r="K38" s="7">
        <f t="shared" ref="K38" si="53">+$B$4-A38</f>
        <v>25</v>
      </c>
      <c r="L38">
        <v>22</v>
      </c>
      <c r="M38">
        <f t="shared" si="35"/>
        <v>9</v>
      </c>
      <c r="N38">
        <f t="shared" si="36"/>
        <v>2027</v>
      </c>
      <c r="Z38" s="75"/>
      <c r="AA38" s="79"/>
      <c r="AB38" s="77"/>
    </row>
    <row r="39" spans="1:35" ht="14.45">
      <c r="A39" s="67">
        <f t="shared" si="3"/>
        <v>34</v>
      </c>
      <c r="B39" s="57">
        <f t="shared" si="4"/>
        <v>131371316.03765586</v>
      </c>
      <c r="C39" s="57">
        <f t="shared" si="5"/>
        <v>1838541.5679469935</v>
      </c>
      <c r="D39" s="57">
        <f t="shared" si="38"/>
        <v>4425394.0564603498</v>
      </c>
      <c r="E39" s="57">
        <f t="shared" si="6"/>
        <v>6263935.6244073436</v>
      </c>
      <c r="F39" s="65">
        <f t="shared" si="43"/>
        <v>126945921.98119551</v>
      </c>
      <c r="G39" s="63">
        <v>9.2939999999999995E-2</v>
      </c>
      <c r="H39" s="63">
        <f t="shared" si="7"/>
        <v>7.4999999999999997E-2</v>
      </c>
      <c r="I39" s="8">
        <f t="shared" si="8"/>
        <v>1.3994999999999999E-2</v>
      </c>
      <c r="J39" s="2">
        <f t="shared" si="44"/>
        <v>6263935.6244073436</v>
      </c>
      <c r="K39" s="7">
        <f t="shared" ref="K39" si="54">IF(A36=" "," ",+$B$4-A39)</f>
        <v>24</v>
      </c>
      <c r="L39">
        <v>22</v>
      </c>
      <c r="M39">
        <f t="shared" si="35"/>
        <v>10</v>
      </c>
      <c r="N39">
        <f t="shared" si="36"/>
        <v>2027</v>
      </c>
      <c r="Z39" s="75" t="s">
        <v>49</v>
      </c>
      <c r="AA39" s="76">
        <v>6676246</v>
      </c>
      <c r="AB39" s="84">
        <v>7.0000000000000007E-2</v>
      </c>
    </row>
    <row r="40" spans="1:35" ht="14.45">
      <c r="A40" s="67">
        <f t="shared" si="3"/>
        <v>35</v>
      </c>
      <c r="B40" s="57">
        <f t="shared" si="4"/>
        <v>126945921.98119551</v>
      </c>
      <c r="C40" s="57">
        <f t="shared" si="5"/>
        <v>1776608.1781268311</v>
      </c>
      <c r="D40" s="57">
        <f t="shared" si="38"/>
        <v>4487327.446280513</v>
      </c>
      <c r="E40" s="57">
        <f t="shared" si="6"/>
        <v>6263935.6244073436</v>
      </c>
      <c r="F40" s="65">
        <f t="shared" si="43"/>
        <v>122458594.534915</v>
      </c>
      <c r="G40" s="63">
        <v>9.2939999999999995E-2</v>
      </c>
      <c r="H40" s="63">
        <f t="shared" si="7"/>
        <v>7.4999999999999997E-2</v>
      </c>
      <c r="I40" s="8">
        <f t="shared" si="8"/>
        <v>1.3994999999999999E-2</v>
      </c>
      <c r="J40" s="2">
        <f t="shared" si="44"/>
        <v>6263935.6244073436</v>
      </c>
      <c r="K40" s="7">
        <f t="shared" ref="K40" si="55">+$B$4-A40</f>
        <v>23</v>
      </c>
      <c r="L40">
        <v>22</v>
      </c>
      <c r="M40">
        <f t="shared" si="35"/>
        <v>11</v>
      </c>
      <c r="N40">
        <f t="shared" si="36"/>
        <v>2027</v>
      </c>
      <c r="Z40" s="85" t="s">
        <v>50</v>
      </c>
      <c r="AA40" s="86">
        <f>+AA39*AB39</f>
        <v>467337.22000000003</v>
      </c>
      <c r="AB40" s="77"/>
    </row>
    <row r="41" spans="1:35" ht="14.45">
      <c r="A41" s="67">
        <f t="shared" si="3"/>
        <v>36</v>
      </c>
      <c r="B41" s="57">
        <f t="shared" si="4"/>
        <v>122458594.534915</v>
      </c>
      <c r="C41" s="57">
        <f t="shared" si="5"/>
        <v>1713808.0305161353</v>
      </c>
      <c r="D41" s="57">
        <f t="shared" si="38"/>
        <v>4550127.5938912081</v>
      </c>
      <c r="E41" s="57">
        <f t="shared" si="6"/>
        <v>6263935.6244073436</v>
      </c>
      <c r="F41" s="65">
        <f t="shared" si="43"/>
        <v>117908466.9410238</v>
      </c>
      <c r="G41" s="63">
        <v>9.2939999999999995E-2</v>
      </c>
      <c r="H41" s="63">
        <f t="shared" si="7"/>
        <v>7.4999999999999997E-2</v>
      </c>
      <c r="I41" s="8">
        <f t="shared" si="8"/>
        <v>1.3994999999999999E-2</v>
      </c>
      <c r="J41" s="2">
        <f t="shared" si="44"/>
        <v>6263935.6244073436</v>
      </c>
      <c r="K41" s="7">
        <f t="shared" ref="K41" si="56">IF(A38=" "," ",+$B$4-A41)</f>
        <v>22</v>
      </c>
      <c r="L41">
        <v>22</v>
      </c>
      <c r="M41">
        <f t="shared" si="35"/>
        <v>12</v>
      </c>
      <c r="N41">
        <f t="shared" si="36"/>
        <v>2027</v>
      </c>
      <c r="Z41" s="80"/>
      <c r="AA41" s="78">
        <f>+AA37-AA40</f>
        <v>-0.22000000003026798</v>
      </c>
      <c r="AB41" s="77"/>
    </row>
    <row r="42" spans="1:35" thickBot="1">
      <c r="A42" s="67">
        <f t="shared" si="3"/>
        <v>37</v>
      </c>
      <c r="B42" s="57">
        <f t="shared" si="4"/>
        <v>117908466.9410238</v>
      </c>
      <c r="C42" s="57">
        <f t="shared" si="5"/>
        <v>1650128.994839628</v>
      </c>
      <c r="D42" s="57">
        <f t="shared" si="38"/>
        <v>4613806.6295677153</v>
      </c>
      <c r="E42" s="57">
        <f t="shared" si="6"/>
        <v>6263935.6244073436</v>
      </c>
      <c r="F42" s="65">
        <f t="shared" ref="F42:F51" si="57">+B42-D42</f>
        <v>113294660.31145608</v>
      </c>
      <c r="G42" s="63">
        <v>9.2939999999999995E-2</v>
      </c>
      <c r="H42" s="63">
        <f t="shared" si="7"/>
        <v>7.4999999999999997E-2</v>
      </c>
      <c r="I42" s="8">
        <f t="shared" si="8"/>
        <v>1.3994999999999999E-2</v>
      </c>
      <c r="J42" s="2">
        <f t="shared" ref="J42:J51" si="58">PMT(I42,K42,-F42,0)</f>
        <v>6263935.6244073445</v>
      </c>
      <c r="K42" s="7">
        <f t="shared" ref="K42" si="59">+$B$4-A42</f>
        <v>21</v>
      </c>
      <c r="L42">
        <v>22</v>
      </c>
      <c r="M42">
        <f t="shared" si="35"/>
        <v>1</v>
      </c>
      <c r="N42">
        <f t="shared" si="36"/>
        <v>2028</v>
      </c>
      <c r="Z42" s="81"/>
      <c r="AA42" s="82"/>
      <c r="AB42" s="83"/>
    </row>
    <row r="43" spans="1:35" ht="14.45">
      <c r="A43" s="67">
        <f t="shared" si="3"/>
        <v>38</v>
      </c>
      <c r="B43" s="57">
        <f t="shared" si="4"/>
        <v>113294660.31145608</v>
      </c>
      <c r="C43" s="57">
        <f t="shared" si="5"/>
        <v>1585558.7710588279</v>
      </c>
      <c r="D43" s="57">
        <f t="shared" si="38"/>
        <v>4678376.8533485169</v>
      </c>
      <c r="E43" s="57">
        <f t="shared" si="6"/>
        <v>6263935.6244073445</v>
      </c>
      <c r="F43" s="65">
        <f t="shared" si="57"/>
        <v>108616283.45810756</v>
      </c>
      <c r="G43" s="63">
        <v>9.2939999999999995E-2</v>
      </c>
      <c r="H43" s="63">
        <f t="shared" si="7"/>
        <v>7.4999999999999997E-2</v>
      </c>
      <c r="I43" s="8">
        <f t="shared" si="8"/>
        <v>1.3994999999999999E-2</v>
      </c>
      <c r="J43" s="2">
        <f t="shared" si="58"/>
        <v>6263935.6244073436</v>
      </c>
      <c r="K43" s="7">
        <f t="shared" ref="K43" si="60">IF(A40=" "," ",+$B$4-A43)</f>
        <v>20</v>
      </c>
      <c r="L43">
        <v>22</v>
      </c>
      <c r="M43">
        <f t="shared" si="35"/>
        <v>2</v>
      </c>
      <c r="N43">
        <f t="shared" si="36"/>
        <v>2028</v>
      </c>
    </row>
    <row r="44" spans="1:35" ht="14.45">
      <c r="A44" s="67">
        <f t="shared" si="3"/>
        <v>39</v>
      </c>
      <c r="B44" s="57">
        <f t="shared" si="4"/>
        <v>108616283.45810756</v>
      </c>
      <c r="C44" s="57">
        <f t="shared" si="5"/>
        <v>1520084.8869962152</v>
      </c>
      <c r="D44" s="57">
        <f t="shared" si="38"/>
        <v>4743850.7374111284</v>
      </c>
      <c r="E44" s="57">
        <f t="shared" si="6"/>
        <v>6263935.6244073436</v>
      </c>
      <c r="F44" s="65">
        <f t="shared" si="57"/>
        <v>103872432.72069643</v>
      </c>
      <c r="G44" s="63">
        <v>9.2939999999999995E-2</v>
      </c>
      <c r="H44" s="63">
        <f t="shared" si="7"/>
        <v>7.4999999999999997E-2</v>
      </c>
      <c r="I44" s="8">
        <f t="shared" si="8"/>
        <v>1.3994999999999999E-2</v>
      </c>
      <c r="J44" s="2">
        <f t="shared" si="58"/>
        <v>6263935.6244073445</v>
      </c>
      <c r="K44" s="7">
        <f t="shared" ref="K44" si="61">+$B$4-A44</f>
        <v>19</v>
      </c>
      <c r="L44">
        <v>22</v>
      </c>
      <c r="M44">
        <f t="shared" si="35"/>
        <v>3</v>
      </c>
      <c r="N44">
        <f t="shared" si="36"/>
        <v>2028</v>
      </c>
    </row>
    <row r="45" spans="1:35" ht="14.45">
      <c r="A45" s="67">
        <f t="shared" si="3"/>
        <v>40</v>
      </c>
      <c r="B45" s="57">
        <f t="shared" si="4"/>
        <v>103872432.72069643</v>
      </c>
      <c r="C45" s="57">
        <f t="shared" si="5"/>
        <v>1453694.6959261466</v>
      </c>
      <c r="D45" s="57">
        <f t="shared" si="38"/>
        <v>4810240.9284811979</v>
      </c>
      <c r="E45" s="57">
        <f t="shared" si="6"/>
        <v>6263935.6244073445</v>
      </c>
      <c r="F45" s="65">
        <f t="shared" si="57"/>
        <v>99062191.792215243</v>
      </c>
      <c r="G45" s="63">
        <v>9.2939999999999995E-2</v>
      </c>
      <c r="H45" s="63">
        <f t="shared" si="7"/>
        <v>7.4999999999999997E-2</v>
      </c>
      <c r="I45" s="8">
        <f t="shared" si="8"/>
        <v>1.3994999999999999E-2</v>
      </c>
      <c r="J45" s="2">
        <f t="shared" si="58"/>
        <v>6263935.6244073436</v>
      </c>
      <c r="K45" s="7">
        <f t="shared" ref="K45" si="62">IF(A42=" "," ",+$B$4-A45)</f>
        <v>18</v>
      </c>
      <c r="L45">
        <v>22</v>
      </c>
      <c r="M45">
        <f t="shared" si="35"/>
        <v>4</v>
      </c>
      <c r="N45">
        <f t="shared" si="36"/>
        <v>2028</v>
      </c>
    </row>
    <row r="46" spans="1:35" ht="14.45">
      <c r="A46" s="67">
        <f t="shared" si="3"/>
        <v>41</v>
      </c>
      <c r="B46" s="57">
        <f t="shared" si="4"/>
        <v>99062191.792215243</v>
      </c>
      <c r="C46" s="57">
        <f t="shared" si="5"/>
        <v>1386375.3741320523</v>
      </c>
      <c r="D46" s="57">
        <f t="shared" si="38"/>
        <v>4877560.2502752915</v>
      </c>
      <c r="E46" s="57">
        <f t="shared" si="6"/>
        <v>6263935.6244073436</v>
      </c>
      <c r="F46" s="65">
        <f t="shared" si="57"/>
        <v>94184631.541939944</v>
      </c>
      <c r="G46" s="63">
        <v>9.2939999999999995E-2</v>
      </c>
      <c r="H46" s="63">
        <f t="shared" si="7"/>
        <v>7.4999999999999997E-2</v>
      </c>
      <c r="I46" s="8">
        <f t="shared" si="8"/>
        <v>1.3994999999999999E-2</v>
      </c>
      <c r="J46" s="2">
        <f t="shared" si="58"/>
        <v>6263935.6244073436</v>
      </c>
      <c r="K46" s="7">
        <f t="shared" ref="K46" si="63">+$B$4-A46</f>
        <v>17</v>
      </c>
      <c r="L46">
        <v>22</v>
      </c>
      <c r="M46">
        <f t="shared" si="35"/>
        <v>5</v>
      </c>
      <c r="N46">
        <f t="shared" si="36"/>
        <v>2028</v>
      </c>
    </row>
    <row r="47" spans="1:35" ht="14.45">
      <c r="A47" s="67">
        <f t="shared" si="3"/>
        <v>42</v>
      </c>
      <c r="B47" s="57">
        <f t="shared" si="4"/>
        <v>94184631.541939944</v>
      </c>
      <c r="C47" s="57">
        <f t="shared" si="5"/>
        <v>1318113.9184294494</v>
      </c>
      <c r="D47" s="57">
        <f t="shared" si="38"/>
        <v>4945821.7059778944</v>
      </c>
      <c r="E47" s="57">
        <f t="shared" si="6"/>
        <v>6263935.6244073436</v>
      </c>
      <c r="F47" s="65">
        <f t="shared" si="57"/>
        <v>89238809.835962057</v>
      </c>
      <c r="G47" s="63">
        <v>9.2939999999999995E-2</v>
      </c>
      <c r="H47" s="63">
        <f t="shared" si="7"/>
        <v>7.4999999999999997E-2</v>
      </c>
      <c r="I47" s="8">
        <f t="shared" si="8"/>
        <v>1.3994999999999999E-2</v>
      </c>
      <c r="J47" s="2">
        <f t="shared" si="58"/>
        <v>6263935.6244073436</v>
      </c>
      <c r="K47" s="7">
        <f t="shared" ref="K47" si="64">IF(A44=" "," ",+$B$4-A47)</f>
        <v>16</v>
      </c>
      <c r="L47">
        <v>22</v>
      </c>
      <c r="M47">
        <f t="shared" si="35"/>
        <v>6</v>
      </c>
      <c r="N47">
        <f t="shared" si="36"/>
        <v>2028</v>
      </c>
    </row>
    <row r="48" spans="1:35" ht="14.45">
      <c r="A48" s="67">
        <f t="shared" si="3"/>
        <v>43</v>
      </c>
      <c r="B48" s="57">
        <f t="shared" si="4"/>
        <v>89238809.835962057</v>
      </c>
      <c r="C48" s="57">
        <f t="shared" si="5"/>
        <v>1248897.143654289</v>
      </c>
      <c r="D48" s="57">
        <f t="shared" si="38"/>
        <v>5015038.4807530548</v>
      </c>
      <c r="E48" s="57">
        <f t="shared" si="6"/>
        <v>6263935.6244073436</v>
      </c>
      <c r="F48" s="65">
        <f t="shared" si="57"/>
        <v>84223771.355209008</v>
      </c>
      <c r="G48" s="63">
        <v>9.2939999999999995E-2</v>
      </c>
      <c r="H48" s="63">
        <f t="shared" si="7"/>
        <v>7.4999999999999997E-2</v>
      </c>
      <c r="I48" s="8">
        <f t="shared" si="8"/>
        <v>1.3994999999999999E-2</v>
      </c>
      <c r="J48" s="2">
        <f t="shared" si="58"/>
        <v>6263935.6244073445</v>
      </c>
      <c r="K48" s="7">
        <f t="shared" ref="K48" si="65">+$B$4-A48</f>
        <v>15</v>
      </c>
      <c r="L48">
        <v>22</v>
      </c>
      <c r="M48">
        <f t="shared" si="35"/>
        <v>7</v>
      </c>
      <c r="N48">
        <f t="shared" si="36"/>
        <v>2028</v>
      </c>
    </row>
    <row r="49" spans="1:14" ht="14.45">
      <c r="A49" s="67">
        <f t="shared" si="3"/>
        <v>44</v>
      </c>
      <c r="B49" s="57">
        <f t="shared" si="4"/>
        <v>84223771.355209008</v>
      </c>
      <c r="C49" s="57">
        <f t="shared" si="5"/>
        <v>1178711.6801161501</v>
      </c>
      <c r="D49" s="57">
        <f t="shared" si="38"/>
        <v>5085223.9442911949</v>
      </c>
      <c r="E49" s="57">
        <f t="shared" si="6"/>
        <v>6263935.6244073445</v>
      </c>
      <c r="F49" s="65">
        <f t="shared" si="57"/>
        <v>79138547.410917819</v>
      </c>
      <c r="G49" s="63">
        <v>9.2939999999999995E-2</v>
      </c>
      <c r="H49" s="63">
        <f t="shared" si="7"/>
        <v>7.4999999999999997E-2</v>
      </c>
      <c r="I49" s="8">
        <f t="shared" si="8"/>
        <v>1.3994999999999999E-2</v>
      </c>
      <c r="J49" s="2">
        <f t="shared" si="58"/>
        <v>6263935.6244073445</v>
      </c>
      <c r="K49" s="7">
        <f t="shared" ref="K49" si="66">IF(A46=" "," ",+$B$4-A49)</f>
        <v>14</v>
      </c>
      <c r="L49">
        <v>22</v>
      </c>
      <c r="M49">
        <f t="shared" si="35"/>
        <v>8</v>
      </c>
      <c r="N49">
        <f t="shared" si="36"/>
        <v>2028</v>
      </c>
    </row>
    <row r="50" spans="1:14" ht="14.45">
      <c r="A50" s="67">
        <f t="shared" si="3"/>
        <v>45</v>
      </c>
      <c r="B50" s="57">
        <f t="shared" si="4"/>
        <v>79138547.410917819</v>
      </c>
      <c r="C50" s="57">
        <f t="shared" si="5"/>
        <v>1107543.9710157947</v>
      </c>
      <c r="D50" s="57">
        <f t="shared" si="38"/>
        <v>5156391.6533915494</v>
      </c>
      <c r="E50" s="57">
        <f t="shared" si="6"/>
        <v>6263935.6244073445</v>
      </c>
      <c r="F50" s="65">
        <f t="shared" si="57"/>
        <v>73982155.757526264</v>
      </c>
      <c r="G50" s="63">
        <v>9.2939999999999995E-2</v>
      </c>
      <c r="H50" s="63">
        <f t="shared" si="7"/>
        <v>7.4999999999999997E-2</v>
      </c>
      <c r="I50" s="8">
        <f t="shared" si="8"/>
        <v>1.3994999999999999E-2</v>
      </c>
      <c r="J50" s="2">
        <f t="shared" si="58"/>
        <v>6263935.6244073436</v>
      </c>
      <c r="K50" s="7">
        <f t="shared" ref="K50" si="67">+$B$4-A50</f>
        <v>13</v>
      </c>
      <c r="L50">
        <v>22</v>
      </c>
      <c r="M50">
        <f t="shared" si="35"/>
        <v>9</v>
      </c>
      <c r="N50">
        <f t="shared" si="36"/>
        <v>2028</v>
      </c>
    </row>
    <row r="51" spans="1:14" ht="14.45">
      <c r="A51" s="67">
        <f t="shared" si="3"/>
        <v>46</v>
      </c>
      <c r="B51" s="57">
        <f t="shared" si="4"/>
        <v>73982155.757526264</v>
      </c>
      <c r="C51" s="57">
        <f t="shared" si="5"/>
        <v>1035380.26982658</v>
      </c>
      <c r="D51" s="57">
        <f t="shared" si="38"/>
        <v>5228555.3545807637</v>
      </c>
      <c r="E51" s="57">
        <f t="shared" si="6"/>
        <v>6263935.6244073436</v>
      </c>
      <c r="F51" s="65">
        <f t="shared" si="57"/>
        <v>68753600.402945504</v>
      </c>
      <c r="G51" s="63">
        <v>9.2939999999999995E-2</v>
      </c>
      <c r="H51" s="63">
        <f t="shared" si="7"/>
        <v>7.4999999999999997E-2</v>
      </c>
      <c r="I51" s="8">
        <f t="shared" si="8"/>
        <v>1.3994999999999999E-2</v>
      </c>
      <c r="J51" s="2">
        <f t="shared" si="58"/>
        <v>6263935.6244073445</v>
      </c>
      <c r="K51" s="7">
        <f t="shared" ref="K51" si="68">IF(A48=" "," ",+$B$4-A51)</f>
        <v>12</v>
      </c>
      <c r="L51">
        <v>22</v>
      </c>
      <c r="M51">
        <f t="shared" si="35"/>
        <v>10</v>
      </c>
      <c r="N51">
        <f t="shared" si="36"/>
        <v>2028</v>
      </c>
    </row>
    <row r="52" spans="1:14" ht="14.45">
      <c r="A52" s="67">
        <f t="shared" si="3"/>
        <v>47</v>
      </c>
      <c r="B52" s="57">
        <f t="shared" si="4"/>
        <v>68753600.402945504</v>
      </c>
      <c r="C52" s="57">
        <f t="shared" si="5"/>
        <v>962206.6376392222</v>
      </c>
      <c r="D52" s="57">
        <f t="shared" si="38"/>
        <v>5301728.9867681228</v>
      </c>
      <c r="E52" s="57">
        <f t="shared" si="6"/>
        <v>6263935.6244073445</v>
      </c>
      <c r="F52" s="65">
        <f t="shared" ref="F52" si="69">+B52-D52</f>
        <v>63451871.416177377</v>
      </c>
      <c r="G52" s="63">
        <v>9.2939999999999995E-2</v>
      </c>
      <c r="H52" s="63">
        <f t="shared" si="7"/>
        <v>7.4999999999999997E-2</v>
      </c>
      <c r="I52" s="8">
        <f t="shared" si="8"/>
        <v>1.3994999999999999E-2</v>
      </c>
      <c r="J52" s="2">
        <f t="shared" ref="J52:J61" si="70">PMT(I52,K52,-F52,0)</f>
        <v>6263935.6244073436</v>
      </c>
      <c r="K52" s="7">
        <f t="shared" ref="K52" si="71">+$B$4-A52</f>
        <v>11</v>
      </c>
      <c r="L52">
        <v>22</v>
      </c>
      <c r="M52">
        <f t="shared" ref="M52:M59" si="72">IF(AND(A54&lt;&gt;" ")*(M51=12),1,1+M51)</f>
        <v>11</v>
      </c>
      <c r="N52">
        <f t="shared" ref="N52:N59" si="73">IF(AND(A54&lt;&gt;" ")*(M52=1),1+N51,N51)</f>
        <v>2028</v>
      </c>
    </row>
    <row r="53" spans="1:14" ht="14.45">
      <c r="A53" s="67">
        <f t="shared" si="3"/>
        <v>48</v>
      </c>
      <c r="B53" s="57">
        <f t="shared" si="4"/>
        <v>63451871.416177377</v>
      </c>
      <c r="C53" s="57">
        <f t="shared" si="5"/>
        <v>888008.94046940235</v>
      </c>
      <c r="D53" s="57">
        <f t="shared" si="38"/>
        <v>5375926.6839379407</v>
      </c>
      <c r="E53" s="57">
        <f t="shared" si="6"/>
        <v>6263935.6244073436</v>
      </c>
      <c r="F53" s="65">
        <f t="shared" ref="F53:F60" si="74">+B53-D53</f>
        <v>58075944.73223944</v>
      </c>
      <c r="G53" s="63">
        <v>9.2939999999999995E-2</v>
      </c>
      <c r="H53" s="63">
        <f t="shared" si="7"/>
        <v>7.4999999999999997E-2</v>
      </c>
      <c r="I53" s="8">
        <f t="shared" si="8"/>
        <v>1.3994999999999999E-2</v>
      </c>
      <c r="J53" s="2">
        <f t="shared" si="70"/>
        <v>6263935.6244073445</v>
      </c>
      <c r="K53" s="7">
        <f t="shared" ref="K53" si="75">IF(A50=" "," ",+$B$4-A53)</f>
        <v>10</v>
      </c>
      <c r="L53">
        <v>22</v>
      </c>
      <c r="M53">
        <f t="shared" si="72"/>
        <v>12</v>
      </c>
      <c r="N53">
        <f t="shared" si="73"/>
        <v>2028</v>
      </c>
    </row>
    <row r="54" spans="1:14" ht="14.45">
      <c r="A54" s="67">
        <f t="shared" si="3"/>
        <v>49</v>
      </c>
      <c r="B54" s="57">
        <f t="shared" si="4"/>
        <v>58075944.73223944</v>
      </c>
      <c r="C54" s="57">
        <f t="shared" si="5"/>
        <v>812772.84652769088</v>
      </c>
      <c r="D54" s="57">
        <f t="shared" si="38"/>
        <v>5451162.7778796535</v>
      </c>
      <c r="E54" s="57">
        <f t="shared" si="6"/>
        <v>6263935.6244073445</v>
      </c>
      <c r="F54" s="65">
        <f t="shared" si="74"/>
        <v>52624781.954359785</v>
      </c>
      <c r="G54" s="63">
        <v>9.2939999999999995E-2</v>
      </c>
      <c r="H54" s="63">
        <f t="shared" si="7"/>
        <v>7.4999999999999997E-2</v>
      </c>
      <c r="I54" s="8">
        <f t="shared" si="8"/>
        <v>1.3994999999999999E-2</v>
      </c>
      <c r="J54" s="2">
        <f t="shared" si="70"/>
        <v>6263935.6244073445</v>
      </c>
      <c r="K54" s="7">
        <f t="shared" ref="K54" si="76">+$B$4-A54</f>
        <v>9</v>
      </c>
      <c r="L54">
        <v>22</v>
      </c>
      <c r="M54">
        <f t="shared" si="72"/>
        <v>1</v>
      </c>
      <c r="N54">
        <f t="shared" si="73"/>
        <v>2029</v>
      </c>
    </row>
    <row r="55" spans="1:14" ht="14.45">
      <c r="A55" s="67">
        <f t="shared" si="3"/>
        <v>50</v>
      </c>
      <c r="B55" s="57">
        <f t="shared" si="4"/>
        <v>52624781.954359785</v>
      </c>
      <c r="C55" s="57">
        <f t="shared" si="5"/>
        <v>736483.82345126511</v>
      </c>
      <c r="D55" s="57">
        <f t="shared" si="38"/>
        <v>5527451.8009560797</v>
      </c>
      <c r="E55" s="57">
        <f t="shared" si="6"/>
        <v>6263935.6244073445</v>
      </c>
      <c r="F55" s="65">
        <f t="shared" si="74"/>
        <v>47097330.153403707</v>
      </c>
      <c r="G55" s="63">
        <v>9.2939999999999995E-2</v>
      </c>
      <c r="H55" s="63">
        <f t="shared" si="7"/>
        <v>7.4999999999999997E-2</v>
      </c>
      <c r="I55" s="8">
        <f t="shared" si="8"/>
        <v>1.3994999999999999E-2</v>
      </c>
      <c r="J55" s="2">
        <f t="shared" si="70"/>
        <v>6263935.6244073445</v>
      </c>
      <c r="K55" s="7">
        <f t="shared" ref="K55" si="77">IF(A52=" "," ",+$B$4-A55)</f>
        <v>8</v>
      </c>
      <c r="L55">
        <v>22</v>
      </c>
      <c r="M55">
        <f t="shared" si="72"/>
        <v>2</v>
      </c>
      <c r="N55">
        <f t="shared" si="73"/>
        <v>2029</v>
      </c>
    </row>
    <row r="56" spans="1:14" ht="14.45">
      <c r="A56" s="67">
        <f t="shared" si="3"/>
        <v>51</v>
      </c>
      <c r="B56" s="57">
        <f t="shared" si="4"/>
        <v>47097330.153403707</v>
      </c>
      <c r="C56" s="57">
        <f t="shared" si="5"/>
        <v>659127.13549688482</v>
      </c>
      <c r="D56" s="57">
        <f t="shared" si="38"/>
        <v>5604808.4889104599</v>
      </c>
      <c r="E56" s="57">
        <f t="shared" si="6"/>
        <v>6263935.6244073445</v>
      </c>
      <c r="F56" s="65">
        <f t="shared" si="74"/>
        <v>41492521.664493248</v>
      </c>
      <c r="G56" s="63">
        <v>9.2939999999999995E-2</v>
      </c>
      <c r="H56" s="63">
        <f t="shared" si="7"/>
        <v>7.4999999999999997E-2</v>
      </c>
      <c r="I56" s="8">
        <f t="shared" si="8"/>
        <v>1.3994999999999999E-2</v>
      </c>
      <c r="J56" s="2">
        <f t="shared" si="70"/>
        <v>6263935.6244073445</v>
      </c>
      <c r="K56" s="7">
        <f t="shared" ref="K56" si="78">+$B$4-A56</f>
        <v>7</v>
      </c>
      <c r="L56">
        <v>22</v>
      </c>
      <c r="M56">
        <f t="shared" si="72"/>
        <v>3</v>
      </c>
      <c r="N56">
        <f t="shared" si="73"/>
        <v>2029</v>
      </c>
    </row>
    <row r="57" spans="1:14" ht="14.45">
      <c r="A57" s="67">
        <f t="shared" si="3"/>
        <v>52</v>
      </c>
      <c r="B57" s="57">
        <f t="shared" si="4"/>
        <v>41492521.664493248</v>
      </c>
      <c r="C57" s="57">
        <f t="shared" si="5"/>
        <v>580687.8406945829</v>
      </c>
      <c r="D57" s="57">
        <f t="shared" si="38"/>
        <v>5683247.7837127615</v>
      </c>
      <c r="E57" s="57">
        <f t="shared" si="6"/>
        <v>6263935.6244073445</v>
      </c>
      <c r="F57" s="65">
        <f t="shared" si="74"/>
        <v>35809273.880780488</v>
      </c>
      <c r="G57" s="63">
        <v>9.2939999999999995E-2</v>
      </c>
      <c r="H57" s="63">
        <f t="shared" si="7"/>
        <v>7.4999999999999997E-2</v>
      </c>
      <c r="I57" s="8">
        <f t="shared" si="8"/>
        <v>1.3994999999999999E-2</v>
      </c>
      <c r="J57" s="2">
        <f t="shared" si="70"/>
        <v>6263935.6244073454</v>
      </c>
      <c r="K57" s="7">
        <f t="shared" ref="K57" si="79">IF(A54=" "," ",+$B$4-A57)</f>
        <v>6</v>
      </c>
      <c r="L57">
        <v>22</v>
      </c>
      <c r="M57">
        <f t="shared" si="72"/>
        <v>4</v>
      </c>
      <c r="N57">
        <f t="shared" si="73"/>
        <v>2029</v>
      </c>
    </row>
    <row r="58" spans="1:14" ht="14.45">
      <c r="A58" s="67">
        <f t="shared" si="3"/>
        <v>53</v>
      </c>
      <c r="B58" s="57">
        <f t="shared" si="4"/>
        <v>35809273.880780488</v>
      </c>
      <c r="C58" s="57">
        <f t="shared" si="5"/>
        <v>501150.78796152287</v>
      </c>
      <c r="D58" s="57">
        <f t="shared" si="38"/>
        <v>5762784.8364458224</v>
      </c>
      <c r="E58" s="57">
        <f t="shared" si="6"/>
        <v>6263935.6244073454</v>
      </c>
      <c r="F58" s="65">
        <f t="shared" si="74"/>
        <v>30046489.044334665</v>
      </c>
      <c r="G58" s="63">
        <v>9.2939999999999995E-2</v>
      </c>
      <c r="H58" s="63">
        <f t="shared" si="7"/>
        <v>7.4999999999999997E-2</v>
      </c>
      <c r="I58" s="8">
        <f t="shared" si="8"/>
        <v>1.3994999999999999E-2</v>
      </c>
      <c r="J58" s="2">
        <f t="shared" si="70"/>
        <v>6263935.6244073445</v>
      </c>
      <c r="K58" s="7">
        <f t="shared" ref="K58" si="80">+$B$4-A58</f>
        <v>5</v>
      </c>
      <c r="L58">
        <v>22</v>
      </c>
      <c r="M58">
        <f t="shared" si="72"/>
        <v>5</v>
      </c>
      <c r="N58">
        <f t="shared" si="73"/>
        <v>2029</v>
      </c>
    </row>
    <row r="59" spans="1:14" ht="14.45">
      <c r="A59" s="67">
        <f t="shared" si="3"/>
        <v>54</v>
      </c>
      <c r="B59" s="57">
        <f t="shared" si="4"/>
        <v>30046489.044334665</v>
      </c>
      <c r="C59" s="57">
        <f t="shared" si="5"/>
        <v>420500.61417546362</v>
      </c>
      <c r="D59" s="57">
        <f t="shared" si="38"/>
        <v>5843435.0102318805</v>
      </c>
      <c r="E59" s="57">
        <f t="shared" si="6"/>
        <v>6263935.6244073445</v>
      </c>
      <c r="F59" s="65">
        <f t="shared" si="74"/>
        <v>24203054.034102783</v>
      </c>
      <c r="G59" s="63">
        <v>9.2939999999999995E-2</v>
      </c>
      <c r="H59" s="63">
        <f t="shared" si="7"/>
        <v>7.4999999999999997E-2</v>
      </c>
      <c r="I59" s="8">
        <f t="shared" si="8"/>
        <v>1.3994999999999999E-2</v>
      </c>
      <c r="J59" s="2">
        <f t="shared" si="70"/>
        <v>6263935.6244073454</v>
      </c>
      <c r="K59" s="7">
        <f t="shared" ref="K59" si="81">IF(A56=" "," ",+$B$4-A59)</f>
        <v>4</v>
      </c>
      <c r="L59">
        <v>22</v>
      </c>
      <c r="M59">
        <f t="shared" si="72"/>
        <v>6</v>
      </c>
      <c r="N59">
        <f t="shared" si="73"/>
        <v>2029</v>
      </c>
    </row>
    <row r="60" spans="1:14" ht="14.45">
      <c r="A60" s="67">
        <f t="shared" si="3"/>
        <v>55</v>
      </c>
      <c r="B60" s="57">
        <f t="shared" si="4"/>
        <v>24203054.034102783</v>
      </c>
      <c r="C60" s="57">
        <f t="shared" si="5"/>
        <v>338721.74120726844</v>
      </c>
      <c r="D60" s="57">
        <f t="shared" si="38"/>
        <v>5925213.8832000773</v>
      </c>
      <c r="E60" s="57">
        <f t="shared" si="6"/>
        <v>6263935.6244073454</v>
      </c>
      <c r="F60" s="65">
        <f t="shared" si="74"/>
        <v>18277840.150902703</v>
      </c>
      <c r="G60" s="63">
        <v>9.2939999999999995E-2</v>
      </c>
      <c r="H60" s="63">
        <f t="shared" si="7"/>
        <v>7.4999999999999997E-2</v>
      </c>
      <c r="I60" s="8">
        <f t="shared" si="8"/>
        <v>1.3994999999999999E-2</v>
      </c>
      <c r="J60" s="2">
        <f t="shared" si="70"/>
        <v>6263935.6244073445</v>
      </c>
      <c r="K60" s="7">
        <f t="shared" ref="K60" si="82">+$B$4-A60</f>
        <v>3</v>
      </c>
      <c r="L60">
        <v>22</v>
      </c>
      <c r="M60">
        <f>IF(AND(A62&lt;&gt;" ")*(M59=12),1,1+M59)</f>
        <v>7</v>
      </c>
      <c r="N60">
        <f>IF(AND(A62&lt;&gt;" ")*(M60=1),1+N59,N59)</f>
        <v>2029</v>
      </c>
    </row>
    <row r="61" spans="1:14" ht="14.45">
      <c r="A61" s="67">
        <f t="shared" si="3"/>
        <v>56</v>
      </c>
      <c r="B61" s="57">
        <f t="shared" si="4"/>
        <v>18277840.150902703</v>
      </c>
      <c r="C61" s="57">
        <f t="shared" si="5"/>
        <v>255798.37291188331</v>
      </c>
      <c r="D61" s="57">
        <f t="shared" si="38"/>
        <v>6008137.251495461</v>
      </c>
      <c r="E61" s="57">
        <f t="shared" si="6"/>
        <v>6263935.6244073445</v>
      </c>
      <c r="F61" s="65">
        <f>+B61-D61</f>
        <v>12269702.899407241</v>
      </c>
      <c r="G61" s="63">
        <v>9.2939999999999995E-2</v>
      </c>
      <c r="H61" s="63">
        <f t="shared" si="7"/>
        <v>7.4999999999999997E-2</v>
      </c>
      <c r="I61" s="8">
        <f t="shared" si="8"/>
        <v>1.3994999999999999E-2</v>
      </c>
      <c r="J61" s="2">
        <f t="shared" si="70"/>
        <v>6263935.6244073445</v>
      </c>
      <c r="K61" s="7">
        <f t="shared" ref="K61" si="83">IF(A58=" "," ",+$B$4-A61)</f>
        <v>2</v>
      </c>
      <c r="L61">
        <v>22</v>
      </c>
      <c r="M61">
        <f>IF(AND(A63&lt;&gt;" ")*(M60=12),1,1+M60)</f>
        <v>8</v>
      </c>
      <c r="N61">
        <f>IF(AND(A63&lt;&gt;" ")*(M61=1),1+N60,N60)</f>
        <v>2029</v>
      </c>
    </row>
    <row r="62" spans="1:14" ht="14.45">
      <c r="A62" s="67">
        <f t="shared" si="3"/>
        <v>57</v>
      </c>
      <c r="B62" s="57">
        <f t="shared" ref="B62:B63" si="84">IF(A62=" "," ",+F61)</f>
        <v>12269702.899407241</v>
      </c>
      <c r="C62" s="57">
        <f t="shared" ref="C62:C63" si="85">IF(A62=" "," ",+B62*I61)</f>
        <v>171714.49207720434</v>
      </c>
      <c r="D62" s="57">
        <f t="shared" ref="D62:D63" si="86">+E62-C62</f>
        <v>6092221.1323301401</v>
      </c>
      <c r="E62" s="57">
        <f t="shared" ref="E62:E63" si="87">IF(A62=" "," ",+J61)</f>
        <v>6263935.6244073445</v>
      </c>
      <c r="F62" s="65">
        <f t="shared" ref="F62" si="88">+B62-D62</f>
        <v>6177481.7670771014</v>
      </c>
      <c r="G62" s="63">
        <v>9.2939999999999995E-2</v>
      </c>
      <c r="H62" s="63">
        <f t="shared" ref="H62:H63" si="89">IF(A62=" "," ",+H61)</f>
        <v>7.4999999999999997E-2</v>
      </c>
      <c r="I62" s="8">
        <f t="shared" ref="I62:I63" si="90">IF(A62=" "," ",((G62+H62)/12))</f>
        <v>1.3994999999999999E-2</v>
      </c>
      <c r="J62" s="2">
        <f t="shared" ref="J62:J63" si="91">PMT(I62,K62,-F62,0)</f>
        <v>6263935.6244073454</v>
      </c>
      <c r="K62" s="7">
        <f t="shared" ref="K62" si="92">+$B$4-A62</f>
        <v>1</v>
      </c>
      <c r="L62">
        <v>22</v>
      </c>
      <c r="M62">
        <f>IF(AND(A64&lt;&gt;" ")*(M61=12),1,1+M61)</f>
        <v>9</v>
      </c>
      <c r="N62">
        <f>IF(AND(A64&lt;&gt;" ")*(M62=1),1+N61,N61)</f>
        <v>2029</v>
      </c>
    </row>
    <row r="63" spans="1:14" ht="14.45">
      <c r="A63" s="67">
        <f t="shared" si="3"/>
        <v>58</v>
      </c>
      <c r="B63" s="57">
        <f t="shared" si="84"/>
        <v>6177481.7670771014</v>
      </c>
      <c r="C63" s="57">
        <f t="shared" si="85"/>
        <v>86453.85733024402</v>
      </c>
      <c r="D63" s="57">
        <f t="shared" si="86"/>
        <v>6177481.7670771014</v>
      </c>
      <c r="E63" s="57">
        <f t="shared" si="87"/>
        <v>6263935.6244073454</v>
      </c>
      <c r="F63" s="65">
        <f>+B63-D63</f>
        <v>0</v>
      </c>
      <c r="G63" s="63">
        <v>9.2939999999999995E-2</v>
      </c>
      <c r="H63" s="63">
        <f t="shared" si="89"/>
        <v>7.4999999999999997E-2</v>
      </c>
      <c r="I63" s="8">
        <f t="shared" si="90"/>
        <v>1.3994999999999999E-2</v>
      </c>
      <c r="J63" s="2" t="e">
        <f t="shared" si="91"/>
        <v>#NUM!</v>
      </c>
      <c r="K63" s="7">
        <f t="shared" ref="K63" si="93">IF(A60=" "," ",+$B$4-A63)</f>
        <v>0</v>
      </c>
      <c r="L63">
        <v>22</v>
      </c>
      <c r="M63">
        <f>IF(AND(A65&lt;&gt;" ")*(M62=12),1,1+M62)</f>
        <v>10</v>
      </c>
      <c r="N63">
        <f>IF(AND(A65&lt;&gt;" ")*(M63=1),1+N62,N62)</f>
        <v>2029</v>
      </c>
    </row>
    <row r="71" spans="28:28" ht="15" customHeight="1">
      <c r="AB71" s="34"/>
    </row>
  </sheetData>
  <mergeCells count="1">
    <mergeCell ref="Q4:X4"/>
  </mergeCells>
  <pageMargins left="0.31496062992125984" right="0" top="0.74803149606299213" bottom="0.74803149606299213" header="0.31496062992125984" footer="0.31496062992125984"/>
  <pageSetup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73EF-0557-48D7-82B0-4957E8D9BB81}">
  <dimension ref="B1:D106"/>
  <sheetViews>
    <sheetView topLeftCell="A81" workbookViewId="0">
      <selection activeCell="C101" sqref="C101"/>
    </sheetView>
  </sheetViews>
  <sheetFormatPr defaultColWidth="11.42578125" defaultRowHeight="14.45"/>
  <cols>
    <col min="2" max="2" width="15.85546875" bestFit="1" customWidth="1"/>
    <col min="3" max="3" width="11.85546875" bestFit="1" customWidth="1"/>
  </cols>
  <sheetData>
    <row r="1" spans="2:4" ht="15" thickBot="1"/>
    <row r="2" spans="2:4">
      <c r="B2" s="92" t="s">
        <v>52</v>
      </c>
      <c r="C2" s="93"/>
      <c r="D2" s="94">
        <v>7.0000000000000007E-2</v>
      </c>
    </row>
    <row r="3" spans="2:4">
      <c r="B3" s="75" t="s">
        <v>53</v>
      </c>
      <c r="C3" s="76">
        <v>12360770</v>
      </c>
      <c r="D3" s="77"/>
    </row>
    <row r="4" spans="2:4">
      <c r="B4" s="75" t="s">
        <v>54</v>
      </c>
      <c r="C4" s="76">
        <v>11904772</v>
      </c>
      <c r="D4" s="77"/>
    </row>
    <row r="5" spans="2:4">
      <c r="B5" s="75" t="s">
        <v>55</v>
      </c>
      <c r="C5" s="76">
        <f>+C3-C4</f>
        <v>455998</v>
      </c>
      <c r="D5" s="77"/>
    </row>
    <row r="6" spans="2:4">
      <c r="B6" s="75" t="s">
        <v>56</v>
      </c>
      <c r="C6" s="76">
        <v>6514262</v>
      </c>
      <c r="D6" s="77"/>
    </row>
    <row r="7" spans="2:4" ht="15" thickBot="1">
      <c r="B7" s="81" t="s">
        <v>57</v>
      </c>
      <c r="C7" s="95">
        <f>+C6*D2</f>
        <v>455998.34</v>
      </c>
      <c r="D7" s="83"/>
    </row>
    <row r="8" spans="2:4" ht="15" thickBot="1"/>
    <row r="9" spans="2:4">
      <c r="B9" s="92" t="s">
        <v>52</v>
      </c>
      <c r="C9" s="93"/>
      <c r="D9" s="94">
        <v>7.0000000000000007E-2</v>
      </c>
    </row>
    <row r="10" spans="2:4">
      <c r="B10" s="75" t="s">
        <v>53</v>
      </c>
      <c r="C10" s="76">
        <v>12349624</v>
      </c>
      <c r="D10" s="77"/>
    </row>
    <row r="11" spans="2:4">
      <c r="B11" s="75" t="s">
        <v>54</v>
      </c>
      <c r="C11" s="76">
        <v>11885914</v>
      </c>
      <c r="D11" s="77"/>
    </row>
    <row r="12" spans="2:4">
      <c r="B12" s="75" t="s">
        <v>55</v>
      </c>
      <c r="C12" s="76">
        <f>+C10-C11</f>
        <v>463710</v>
      </c>
      <c r="D12" s="77"/>
    </row>
    <row r="13" spans="2:4">
      <c r="B13" s="75" t="s">
        <v>56</v>
      </c>
      <c r="C13" s="76">
        <v>6624435</v>
      </c>
      <c r="D13" s="77"/>
    </row>
    <row r="14" spans="2:4" ht="15" thickBot="1">
      <c r="B14" s="81" t="s">
        <v>57</v>
      </c>
      <c r="C14" s="95">
        <f>+C13*D9</f>
        <v>463710.45000000007</v>
      </c>
      <c r="D14" s="83"/>
    </row>
    <row r="15" spans="2:4" ht="15" thickBot="1"/>
    <row r="16" spans="2:4">
      <c r="B16" s="92" t="s">
        <v>58</v>
      </c>
      <c r="C16" s="93"/>
      <c r="D16" s="94">
        <v>7.0000000000000007E-2</v>
      </c>
    </row>
    <row r="17" spans="2:4">
      <c r="B17" s="75" t="s">
        <v>53</v>
      </c>
      <c r="C17" s="76">
        <v>12340016</v>
      </c>
      <c r="D17" s="77"/>
    </row>
    <row r="18" spans="2:4">
      <c r="B18" s="75" t="s">
        <v>54</v>
      </c>
      <c r="C18" s="76">
        <v>11898378</v>
      </c>
      <c r="D18" s="77"/>
    </row>
    <row r="19" spans="2:4">
      <c r="B19" s="75" t="s">
        <v>55</v>
      </c>
      <c r="C19" s="76">
        <f>+C17-C18</f>
        <v>441638</v>
      </c>
      <c r="D19" s="77"/>
    </row>
    <row r="20" spans="2:4">
      <c r="B20" s="75" t="s">
        <v>56</v>
      </c>
      <c r="C20" s="76">
        <v>6309116</v>
      </c>
      <c r="D20" s="77"/>
    </row>
    <row r="21" spans="2:4" ht="15" thickBot="1">
      <c r="B21" s="81" t="s">
        <v>57</v>
      </c>
      <c r="C21" s="95">
        <f>+C20*D16</f>
        <v>441638.12000000005</v>
      </c>
      <c r="D21" s="83"/>
    </row>
    <row r="22" spans="2:4" ht="15" thickBot="1"/>
    <row r="23" spans="2:4">
      <c r="B23" s="92" t="s">
        <v>59</v>
      </c>
      <c r="C23" s="93"/>
      <c r="D23" s="94">
        <v>7.0000000000000007E-2</v>
      </c>
    </row>
    <row r="24" spans="2:4">
      <c r="B24" s="75" t="s">
        <v>53</v>
      </c>
      <c r="C24" s="76">
        <v>12354231</v>
      </c>
      <c r="D24" s="77"/>
    </row>
    <row r="25" spans="2:4">
      <c r="B25" s="75" t="s">
        <v>54</v>
      </c>
      <c r="C25" s="76">
        <v>11902436</v>
      </c>
      <c r="D25" s="77"/>
    </row>
    <row r="26" spans="2:4">
      <c r="B26" s="75" t="s">
        <v>55</v>
      </c>
      <c r="C26" s="76">
        <f>+C24-C25</f>
        <v>451795</v>
      </c>
      <c r="D26" s="77"/>
    </row>
    <row r="27" spans="2:4">
      <c r="B27" s="75" t="s">
        <v>56</v>
      </c>
      <c r="C27" s="76">
        <v>6454223</v>
      </c>
      <c r="D27" s="77"/>
    </row>
    <row r="28" spans="2:4" ht="15" thickBot="1">
      <c r="B28" s="81" t="s">
        <v>57</v>
      </c>
      <c r="C28" s="95">
        <f>+C27*D23</f>
        <v>451795.61000000004</v>
      </c>
      <c r="D28" s="83"/>
    </row>
    <row r="29" spans="2:4" ht="15" thickBot="1"/>
    <row r="30" spans="2:4">
      <c r="B30" s="92" t="s">
        <v>60</v>
      </c>
      <c r="C30" s="93"/>
      <c r="D30" s="94">
        <v>7.0000000000000007E-2</v>
      </c>
    </row>
    <row r="31" spans="2:4">
      <c r="B31" s="75" t="s">
        <v>53</v>
      </c>
      <c r="C31" s="76">
        <v>12362826</v>
      </c>
      <c r="D31" s="77"/>
    </row>
    <row r="32" spans="2:4">
      <c r="B32" s="75" t="s">
        <v>54</v>
      </c>
      <c r="C32" s="76">
        <v>11945172</v>
      </c>
      <c r="D32" s="77"/>
    </row>
    <row r="33" spans="2:4">
      <c r="B33" s="75" t="s">
        <v>55</v>
      </c>
      <c r="C33" s="76">
        <f>+C31-C32</f>
        <v>417654</v>
      </c>
      <c r="D33" s="77"/>
    </row>
    <row r="34" spans="2:4">
      <c r="B34" s="75" t="s">
        <v>56</v>
      </c>
      <c r="C34" s="76">
        <v>5966487</v>
      </c>
      <c r="D34" s="77"/>
    </row>
    <row r="35" spans="2:4" ht="15" thickBot="1">
      <c r="B35" s="81" t="s">
        <v>57</v>
      </c>
      <c r="C35" s="95">
        <f>+C34*D30</f>
        <v>417654.09</v>
      </c>
      <c r="D35" s="83"/>
    </row>
    <row r="36" spans="2:4" ht="15" thickBot="1"/>
    <row r="37" spans="2:4">
      <c r="B37" s="92" t="s">
        <v>61</v>
      </c>
      <c r="C37" s="93"/>
      <c r="D37" s="94">
        <v>7.0000000000000007E-2</v>
      </c>
    </row>
    <row r="38" spans="2:4">
      <c r="B38" s="75" t="s">
        <v>53</v>
      </c>
      <c r="C38" s="76">
        <v>12354177</v>
      </c>
      <c r="D38" s="77"/>
    </row>
    <row r="39" spans="2:4">
      <c r="B39" s="75" t="s">
        <v>54</v>
      </c>
      <c r="C39" s="76">
        <v>11915224</v>
      </c>
      <c r="D39" s="77"/>
    </row>
    <row r="40" spans="2:4">
      <c r="B40" s="75" t="s">
        <v>55</v>
      </c>
      <c r="C40" s="76">
        <f>+C38-C39</f>
        <v>438953</v>
      </c>
      <c r="D40" s="77"/>
    </row>
    <row r="41" spans="2:4">
      <c r="B41" s="75" t="s">
        <v>56</v>
      </c>
      <c r="C41" s="76">
        <v>6270762</v>
      </c>
      <c r="D41" s="77"/>
    </row>
    <row r="42" spans="2:4" ht="15" thickBot="1">
      <c r="B42" s="81" t="s">
        <v>57</v>
      </c>
      <c r="C42" s="95">
        <f>+C41*D37</f>
        <v>438953.34</v>
      </c>
      <c r="D42" s="83"/>
    </row>
    <row r="43" spans="2:4" ht="15" thickBot="1"/>
    <row r="44" spans="2:4">
      <c r="B44" s="92" t="s">
        <v>62</v>
      </c>
      <c r="C44" s="93"/>
      <c r="D44" s="94">
        <v>7.0000000000000007E-2</v>
      </c>
    </row>
    <row r="45" spans="2:4">
      <c r="B45" s="75" t="s">
        <v>53</v>
      </c>
      <c r="C45" s="76">
        <v>12377063</v>
      </c>
      <c r="D45" s="77"/>
    </row>
    <row r="46" spans="2:4">
      <c r="B46" s="75" t="s">
        <v>54</v>
      </c>
      <c r="C46" s="76">
        <v>11971215</v>
      </c>
      <c r="D46" s="77"/>
    </row>
    <row r="47" spans="2:4">
      <c r="B47" s="75" t="s">
        <v>55</v>
      </c>
      <c r="C47" s="76">
        <f>+C45-C46</f>
        <v>405848</v>
      </c>
      <c r="D47" s="77"/>
    </row>
    <row r="48" spans="2:4">
      <c r="B48" s="75" t="s">
        <v>56</v>
      </c>
      <c r="C48" s="76">
        <v>5797840</v>
      </c>
      <c r="D48" s="77"/>
    </row>
    <row r="49" spans="2:4" ht="15" thickBot="1">
      <c r="B49" s="81" t="s">
        <v>57</v>
      </c>
      <c r="C49" s="95">
        <f>+C48*D44</f>
        <v>405848.80000000005</v>
      </c>
      <c r="D49" s="83"/>
    </row>
    <row r="51" spans="2:4">
      <c r="B51" s="92" t="s">
        <v>63</v>
      </c>
      <c r="C51" s="93"/>
      <c r="D51" s="94">
        <v>7.0000000000000007E-2</v>
      </c>
    </row>
    <row r="52" spans="2:4">
      <c r="B52" s="75" t="s">
        <v>53</v>
      </c>
      <c r="C52" s="76">
        <v>12372383</v>
      </c>
      <c r="D52" s="77"/>
    </row>
    <row r="53" spans="2:4">
      <c r="B53" s="75" t="s">
        <v>54</v>
      </c>
      <c r="C53" s="76">
        <v>11972250</v>
      </c>
      <c r="D53" s="77"/>
    </row>
    <row r="54" spans="2:4">
      <c r="B54" s="75" t="s">
        <v>55</v>
      </c>
      <c r="C54" s="76">
        <f>+C52-C53</f>
        <v>400133</v>
      </c>
      <c r="D54" s="77"/>
    </row>
    <row r="55" spans="2:4">
      <c r="B55" s="75" t="s">
        <v>56</v>
      </c>
      <c r="C55" s="76">
        <v>5712330</v>
      </c>
      <c r="D55" s="77"/>
    </row>
    <row r="56" spans="2:4">
      <c r="B56" s="81" t="s">
        <v>57</v>
      </c>
      <c r="C56" s="95">
        <f>+C55*D51</f>
        <v>399863.10000000003</v>
      </c>
      <c r="D56" s="83"/>
    </row>
    <row r="57" spans="2:4" ht="15" thickBot="1"/>
    <row r="58" spans="2:4">
      <c r="B58" s="92" t="s">
        <v>64</v>
      </c>
      <c r="C58" s="93"/>
      <c r="D58" s="94">
        <v>7.0000000000000007E-2</v>
      </c>
    </row>
    <row r="59" spans="2:4">
      <c r="B59" s="75" t="s">
        <v>53</v>
      </c>
      <c r="C59" s="76">
        <v>12461911</v>
      </c>
      <c r="D59" s="77"/>
    </row>
    <row r="60" spans="2:4">
      <c r="B60" s="75" t="s">
        <v>54</v>
      </c>
      <c r="C60" s="76">
        <v>12059854</v>
      </c>
      <c r="D60" s="77"/>
    </row>
    <row r="61" spans="2:4">
      <c r="B61" s="75" t="s">
        <v>55</v>
      </c>
      <c r="C61" s="76">
        <f>+C59-C60</f>
        <v>402057</v>
      </c>
      <c r="D61" s="77"/>
    </row>
    <row r="62" spans="2:4">
      <c r="B62" s="75" t="s">
        <v>56</v>
      </c>
      <c r="C62" s="76">
        <v>5743677</v>
      </c>
      <c r="D62" s="77"/>
    </row>
    <row r="63" spans="2:4" ht="15" thickBot="1">
      <c r="B63" s="81" t="s">
        <v>57</v>
      </c>
      <c r="C63" s="95">
        <f>+C62*D58</f>
        <v>402057.39</v>
      </c>
      <c r="D63" s="83"/>
    </row>
    <row r="64" spans="2:4" ht="15" thickBot="1"/>
    <row r="65" spans="2:4">
      <c r="B65" s="92" t="s">
        <v>65</v>
      </c>
      <c r="C65" s="93"/>
      <c r="D65" s="94">
        <v>7.0000000000000007E-2</v>
      </c>
    </row>
    <row r="66" spans="2:4">
      <c r="B66" s="75" t="s">
        <v>53</v>
      </c>
      <c r="C66" s="76">
        <v>12554648</v>
      </c>
      <c r="D66" s="77"/>
    </row>
    <row r="67" spans="2:4">
      <c r="B67" s="75" t="s">
        <v>54</v>
      </c>
      <c r="C67" s="76">
        <v>12146311</v>
      </c>
      <c r="D67" s="77"/>
    </row>
    <row r="68" spans="2:4">
      <c r="B68" s="75" t="s">
        <v>55</v>
      </c>
      <c r="C68" s="76">
        <f>+C66-C67</f>
        <v>408337</v>
      </c>
      <c r="D68" s="77"/>
    </row>
    <row r="69" spans="2:4">
      <c r="B69" s="75" t="s">
        <v>56</v>
      </c>
      <c r="C69" s="76">
        <v>5833392</v>
      </c>
      <c r="D69" s="77"/>
    </row>
    <row r="70" spans="2:4" ht="15" thickBot="1">
      <c r="B70" s="81" t="s">
        <v>57</v>
      </c>
      <c r="C70" s="95">
        <f>+C69*D65</f>
        <v>408337.44000000006</v>
      </c>
      <c r="D70" s="83"/>
    </row>
    <row r="71" spans="2:4" ht="15" thickBot="1"/>
    <row r="72" spans="2:4">
      <c r="B72" s="92" t="s">
        <v>45</v>
      </c>
      <c r="C72" s="93"/>
      <c r="D72" s="94">
        <v>7.0000000000000007E-2</v>
      </c>
    </row>
    <row r="73" spans="2:4">
      <c r="B73" s="75" t="s">
        <v>53</v>
      </c>
      <c r="C73" s="76">
        <v>6361104</v>
      </c>
      <c r="D73" s="77"/>
    </row>
    <row r="74" spans="2:4">
      <c r="B74" s="75" t="s">
        <v>54</v>
      </c>
      <c r="C74" s="76">
        <v>6152233</v>
      </c>
      <c r="D74" s="77"/>
    </row>
    <row r="75" spans="2:4">
      <c r="B75" s="75" t="s">
        <v>55</v>
      </c>
      <c r="C75" s="76">
        <f>+C73-C74</f>
        <v>208871</v>
      </c>
      <c r="D75" s="77"/>
    </row>
    <row r="76" spans="2:4">
      <c r="B76" s="75" t="s">
        <v>56</v>
      </c>
      <c r="C76" s="76">
        <v>2983884</v>
      </c>
      <c r="D76" s="77"/>
    </row>
    <row r="77" spans="2:4" ht="15" thickBot="1">
      <c r="B77" s="81" t="s">
        <v>57</v>
      </c>
      <c r="C77" s="95">
        <f>+C76*D72</f>
        <v>208871.88000000003</v>
      </c>
      <c r="D77" s="83"/>
    </row>
    <row r="78" spans="2:4" ht="15" thickBot="1"/>
    <row r="79" spans="2:4">
      <c r="B79" s="92" t="s">
        <v>51</v>
      </c>
      <c r="C79" s="93"/>
      <c r="D79" s="94">
        <v>7.0000000000000007E-2</v>
      </c>
    </row>
    <row r="80" spans="2:4">
      <c r="B80" s="75" t="s">
        <v>53</v>
      </c>
      <c r="C80" s="76">
        <v>6412409</v>
      </c>
      <c r="D80" s="77"/>
    </row>
    <row r="81" spans="2:4">
      <c r="B81" s="75" t="s">
        <v>54</v>
      </c>
      <c r="C81" s="76">
        <v>6186566</v>
      </c>
      <c r="D81" s="77"/>
    </row>
    <row r="82" spans="2:4">
      <c r="B82" s="75" t="s">
        <v>55</v>
      </c>
      <c r="C82" s="76">
        <f>+C80-C81</f>
        <v>225843</v>
      </c>
      <c r="D82" s="77"/>
    </row>
    <row r="83" spans="2:4">
      <c r="B83" s="75" t="s">
        <v>56</v>
      </c>
      <c r="C83" s="76">
        <v>3226337</v>
      </c>
      <c r="D83" s="77"/>
    </row>
    <row r="84" spans="2:4" ht="15" thickBot="1">
      <c r="B84" s="81" t="s">
        <v>57</v>
      </c>
      <c r="C84" s="95">
        <f>+C83*D79</f>
        <v>225843.59000000003</v>
      </c>
      <c r="D84" s="83"/>
    </row>
    <row r="86" spans="2:4">
      <c r="B86" s="92" t="s">
        <v>52</v>
      </c>
      <c r="C86" s="93"/>
      <c r="D86" s="94">
        <v>7.0000000000000007E-2</v>
      </c>
    </row>
    <row r="87" spans="2:4">
      <c r="B87" s="75" t="s">
        <v>53</v>
      </c>
      <c r="C87" s="76">
        <v>6390247</v>
      </c>
      <c r="D87" s="77"/>
    </row>
    <row r="88" spans="2:4">
      <c r="B88" s="75" t="s">
        <v>54</v>
      </c>
      <c r="C88" s="76">
        <v>6185222</v>
      </c>
      <c r="D88" s="77"/>
    </row>
    <row r="89" spans="2:4">
      <c r="B89" s="75" t="s">
        <v>55</v>
      </c>
      <c r="C89" s="76">
        <f>+C87-C88</f>
        <v>205025</v>
      </c>
      <c r="D89" s="77"/>
    </row>
    <row r="90" spans="2:4">
      <c r="B90" s="75" t="s">
        <v>56</v>
      </c>
      <c r="C90" s="76">
        <v>2928937</v>
      </c>
      <c r="D90" s="77"/>
    </row>
    <row r="91" spans="2:4">
      <c r="B91" s="81" t="s">
        <v>57</v>
      </c>
      <c r="C91" s="95">
        <f>+C90*D86</f>
        <v>205025.59000000003</v>
      </c>
      <c r="D91" s="83"/>
    </row>
    <row r="92" spans="2:4" ht="15"/>
    <row r="93" spans="2:4" ht="15">
      <c r="B93" s="92" t="s">
        <v>66</v>
      </c>
      <c r="C93" s="93"/>
      <c r="D93" s="94">
        <v>7.0000000000000007E-2</v>
      </c>
    </row>
    <row r="94" spans="2:4" ht="15">
      <c r="B94" s="75" t="s">
        <v>53</v>
      </c>
      <c r="C94" s="76">
        <v>6425375</v>
      </c>
      <c r="D94" s="77"/>
    </row>
    <row r="95" spans="2:4" ht="15">
      <c r="B95" s="75" t="s">
        <v>54</v>
      </c>
      <c r="C95" s="76">
        <v>6219979</v>
      </c>
      <c r="D95" s="77"/>
    </row>
    <row r="96" spans="2:4" ht="15">
      <c r="B96" s="75" t="s">
        <v>55</v>
      </c>
      <c r="C96" s="76">
        <f>+C94-C95</f>
        <v>205396</v>
      </c>
      <c r="D96" s="77"/>
    </row>
    <row r="97" spans="2:4" ht="15">
      <c r="B97" s="75" t="s">
        <v>56</v>
      </c>
      <c r="C97" s="76">
        <v>2934227</v>
      </c>
      <c r="D97" s="77"/>
    </row>
    <row r="98" spans="2:4" ht="15">
      <c r="B98" s="81" t="s">
        <v>57</v>
      </c>
      <c r="C98" s="95">
        <f>+C97*D93</f>
        <v>205395.89</v>
      </c>
      <c r="D98" s="83"/>
    </row>
    <row r="99" spans="2:4" ht="15"/>
    <row r="100" spans="2:4" ht="15">
      <c r="B100" s="92" t="s">
        <v>58</v>
      </c>
      <c r="C100" s="93"/>
      <c r="D100" s="94">
        <v>7.0000000000000007E-2</v>
      </c>
    </row>
    <row r="101" spans="2:4" ht="15">
      <c r="B101" s="75" t="s">
        <v>53</v>
      </c>
      <c r="C101" s="76">
        <v>6479752</v>
      </c>
      <c r="D101" s="77"/>
    </row>
    <row r="102" spans="2:4" ht="15">
      <c r="B102" s="75" t="s">
        <v>54</v>
      </c>
      <c r="C102" s="76">
        <v>6271890</v>
      </c>
      <c r="D102" s="77"/>
    </row>
    <row r="103" spans="2:4" ht="15">
      <c r="B103" s="75" t="s">
        <v>55</v>
      </c>
      <c r="C103" s="76">
        <f>+C101-C102</f>
        <v>207862</v>
      </c>
      <c r="D103" s="77"/>
    </row>
    <row r="104" spans="2:4" ht="15">
      <c r="B104" s="75" t="s">
        <v>56</v>
      </c>
      <c r="C104" s="76">
        <v>2969458</v>
      </c>
      <c r="D104" s="77"/>
    </row>
    <row r="105" spans="2:4" ht="15">
      <c r="B105" s="81" t="s">
        <v>57</v>
      </c>
      <c r="C105" s="95">
        <f>+C104*D100</f>
        <v>207862.06000000003</v>
      </c>
      <c r="D105" s="83"/>
    </row>
    <row r="106" spans="2:4" ht="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134" t="s">
        <v>23</v>
      </c>
      <c r="B2" s="135"/>
      <c r="C2" s="135"/>
      <c r="D2" s="136"/>
    </row>
    <row r="3" spans="1:4" ht="26.45">
      <c r="A3" s="24" t="s">
        <v>36</v>
      </c>
      <c r="B3" s="17" t="s">
        <v>37</v>
      </c>
      <c r="C3" s="18" t="s">
        <v>38</v>
      </c>
      <c r="D3" s="25" t="s">
        <v>42</v>
      </c>
    </row>
    <row r="4" spans="1:4">
      <c r="A4" s="26"/>
      <c r="B4" s="23"/>
      <c r="C4" s="23"/>
      <c r="D4" s="27"/>
    </row>
    <row r="5" spans="1:4">
      <c r="A5" s="26"/>
      <c r="B5" s="23"/>
      <c r="C5" s="23"/>
      <c r="D5" s="28"/>
    </row>
    <row r="6" spans="1:4" ht="15" thickBot="1">
      <c r="A6" s="29"/>
      <c r="B6" s="30"/>
      <c r="C6" s="31"/>
      <c r="D6" s="32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B18" sqref="B18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37" t="s">
        <v>67</v>
      </c>
      <c r="B2" s="137"/>
      <c r="C2" s="137"/>
      <c r="D2" s="137"/>
      <c r="G2" s="138" t="s">
        <v>68</v>
      </c>
      <c r="H2" s="138"/>
      <c r="I2" s="138"/>
      <c r="J2" s="138"/>
    </row>
    <row r="4" spans="1:10" ht="26.45">
      <c r="A4" s="42" t="s">
        <v>36</v>
      </c>
      <c r="B4" s="43" t="s">
        <v>37</v>
      </c>
      <c r="C4" s="44" t="s">
        <v>38</v>
      </c>
      <c r="D4" s="51" t="s">
        <v>42</v>
      </c>
      <c r="F4" s="45" t="s">
        <v>69</v>
      </c>
      <c r="G4" s="45" t="s">
        <v>36</v>
      </c>
      <c r="H4" s="46" t="s">
        <v>37</v>
      </c>
      <c r="I4" s="47" t="s">
        <v>38</v>
      </c>
      <c r="J4" s="47" t="s">
        <v>70</v>
      </c>
    </row>
    <row r="5" spans="1:10">
      <c r="A5" s="49">
        <v>45092</v>
      </c>
      <c r="B5" s="50">
        <v>11579428</v>
      </c>
      <c r="C5" s="50">
        <v>5047163</v>
      </c>
      <c r="D5" s="50">
        <f>+C5+B5</f>
        <v>16626591</v>
      </c>
      <c r="F5" s="48">
        <v>1</v>
      </c>
      <c r="G5" s="37">
        <v>45092</v>
      </c>
      <c r="H5" s="19">
        <v>11579428</v>
      </c>
      <c r="I5" s="19">
        <v>5047163</v>
      </c>
      <c r="J5" s="39">
        <f>+H5+I5</f>
        <v>16626591</v>
      </c>
    </row>
    <row r="6" spans="1:10">
      <c r="A6" s="37">
        <v>45121</v>
      </c>
      <c r="B6" s="50">
        <v>11095536</v>
      </c>
      <c r="C6" s="52">
        <v>5531054</v>
      </c>
      <c r="D6" s="50">
        <f>+C6+B6</f>
        <v>16626590</v>
      </c>
      <c r="F6" s="36">
        <v>2</v>
      </c>
      <c r="G6" s="37">
        <v>45122</v>
      </c>
      <c r="H6" s="23">
        <v>11478140</v>
      </c>
      <c r="I6" s="23">
        <v>5148450</v>
      </c>
      <c r="J6" s="39">
        <f>SUM(H6:I6)</f>
        <v>16626590</v>
      </c>
    </row>
    <row r="7" spans="1:10">
      <c r="A7" s="37">
        <v>45153</v>
      </c>
      <c r="B7" s="50"/>
      <c r="C7" s="50"/>
      <c r="D7" s="50">
        <f>+C7+B7</f>
        <v>0</v>
      </c>
      <c r="F7" s="36">
        <v>3</v>
      </c>
      <c r="G7" s="37">
        <v>45153</v>
      </c>
      <c r="H7" s="23">
        <v>11368085</v>
      </c>
      <c r="I7" s="23">
        <v>5247935</v>
      </c>
      <c r="J7" s="39">
        <f>SUM(H7:I7)</f>
        <v>16616020</v>
      </c>
    </row>
    <row r="8" spans="1:10">
      <c r="A8" s="38"/>
      <c r="B8" s="40"/>
      <c r="C8" s="39"/>
      <c r="D8" s="39"/>
    </row>
    <row r="11" spans="1:10">
      <c r="A11" s="139" t="s">
        <v>71</v>
      </c>
      <c r="B11" s="139"/>
      <c r="C11" s="139"/>
      <c r="D11" s="139"/>
    </row>
    <row r="13" spans="1:10">
      <c r="A13" s="41">
        <v>45047</v>
      </c>
      <c r="B13" s="41">
        <v>45078</v>
      </c>
      <c r="C13" s="41">
        <v>45108</v>
      </c>
    </row>
    <row r="14" spans="1:10">
      <c r="A14" s="22">
        <v>5789714.166666666</v>
      </c>
      <c r="B14" s="22">
        <v>5789714</v>
      </c>
      <c r="C14" s="22">
        <v>5356465.8998543695</v>
      </c>
    </row>
    <row r="15" spans="1:10">
      <c r="A15" s="34"/>
      <c r="B15" s="35">
        <v>5739070.1001456305</v>
      </c>
      <c r="C15" s="35">
        <v>5684042.6006204812</v>
      </c>
    </row>
    <row r="16" spans="1:10">
      <c r="A16" s="22">
        <f>SUM(A14:A15)</f>
        <v>5789714.166666666</v>
      </c>
      <c r="B16" s="22">
        <f>SUM(B14:B15)</f>
        <v>11528784.100145631</v>
      </c>
      <c r="C16" s="22">
        <f>SUM(C14:C15)</f>
        <v>11040508.500474852</v>
      </c>
    </row>
    <row r="18" spans="1:2">
      <c r="A18" s="22">
        <f>+A16+B14</f>
        <v>11579428.166666666</v>
      </c>
      <c r="B18" s="22">
        <f>+B15+C14</f>
        <v>11095536</v>
      </c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6B1A25-D6AB-4DD0-89E6-2ECCCE6929E6}"/>
</file>

<file path=customXml/itemProps2.xml><?xml version="1.0" encoding="utf-8"?>
<ds:datastoreItem xmlns:ds="http://schemas.openxmlformats.org/officeDocument/2006/customXml" ds:itemID="{6C6F6E56-5A43-482E-AAF1-9EBA54300BD5}"/>
</file>

<file path=customXml/itemProps3.xml><?xml version="1.0" encoding="utf-8"?>
<ds:datastoreItem xmlns:ds="http://schemas.openxmlformats.org/officeDocument/2006/customXml" ds:itemID="{2A2A8CE7-A36B-4136-AD2F-3297D6504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2026-08-20T15:09:10Z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