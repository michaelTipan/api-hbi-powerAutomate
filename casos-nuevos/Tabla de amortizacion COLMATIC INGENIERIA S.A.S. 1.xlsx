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olsacat.sharepoint.com/sites/OperacionesHBICapital/Documentos compartidos/INFORMACION CREDITOS-CLIENTES/COLMATIC/CREDITO # 135/"/>
    </mc:Choice>
  </mc:AlternateContent>
  <xr:revisionPtr revIDLastSave="0" documentId="8_{4B079F3F-74D3-40F2-AF06-A7D7DDC88FF0}" xr6:coauthVersionLast="47" xr6:coauthVersionMax="47" xr10:uidLastSave="{00000000-0000-0000-0000-000000000000}"/>
  <bookViews>
    <workbookView xWindow="-110" yWindow="-110" windowWidth="19420" windowHeight="10300" firstSheet="2" activeTab="2" xr2:uid="{0920E443-DC1E-47E3-8B6F-959661E6D6A8}"/>
  </bookViews>
  <sheets>
    <sheet name="TasaImplicita" sheetId="1" state="hidden" r:id="rId1"/>
    <sheet name="COLMATIC # 135" sheetId="2" r:id="rId2"/>
    <sheet name="RETENCIONES" sheetId="5" r:id="rId3"/>
    <sheet name="Calculo mora" sheetId="7" r:id="rId4"/>
    <sheet name="Hoja3" sheetId="6" r:id="rId5"/>
    <sheet name="Hoja1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0" i="2" l="1"/>
  <c r="AQ12" i="2"/>
  <c r="AQ11" i="2"/>
  <c r="O21" i="2"/>
  <c r="P21" i="2"/>
  <c r="D20" i="2"/>
  <c r="W21" i="2"/>
  <c r="D19" i="2"/>
  <c r="V20" i="2"/>
  <c r="D86" i="5"/>
  <c r="D85" i="5"/>
  <c r="V19" i="2"/>
  <c r="D87" i="5" l="1"/>
  <c r="C82" i="5" s="1"/>
  <c r="C84" i="5" s="1"/>
  <c r="D78" i="5"/>
  <c r="D77" i="5"/>
  <c r="D79" i="5" s="1"/>
  <c r="C75" i="5" s="1"/>
  <c r="D18" i="2"/>
  <c r="S18" i="2"/>
  <c r="R18" i="2"/>
  <c r="V18" i="2" s="1"/>
  <c r="D71" i="5" l="1"/>
  <c r="D70" i="5"/>
  <c r="D16" i="2"/>
  <c r="V17" i="2"/>
  <c r="D64" i="5"/>
  <c r="D63" i="5"/>
  <c r="O18" i="2"/>
  <c r="AO10" i="2" s="1"/>
  <c r="O17" i="2"/>
  <c r="V16" i="2"/>
  <c r="D57" i="5"/>
  <c r="D56" i="5"/>
  <c r="D58" i="5" s="1"/>
  <c r="C54" i="5" s="1"/>
  <c r="D14" i="2"/>
  <c r="V15" i="2"/>
  <c r="D50" i="5"/>
  <c r="D49" i="5"/>
  <c r="D48" i="5"/>
  <c r="D51" i="5" l="1"/>
  <c r="C46" i="5" s="1"/>
  <c r="D72" i="5"/>
  <c r="C68" i="5" s="1"/>
  <c r="D65" i="5"/>
  <c r="C61" i="5" s="1"/>
  <c r="O16" i="2"/>
  <c r="AM10" i="2" s="1"/>
  <c r="D13" i="2"/>
  <c r="V14" i="2"/>
  <c r="C41" i="5"/>
  <c r="C43" i="5"/>
  <c r="O15" i="2"/>
  <c r="AL10" i="2" s="1"/>
  <c r="AJ10" i="2"/>
  <c r="O14" i="2"/>
  <c r="AK10" i="2" s="1"/>
  <c r="D12" i="2"/>
  <c r="V13" i="2"/>
  <c r="C36" i="5"/>
  <c r="C33" i="5" s="1"/>
  <c r="C29" i="5"/>
  <c r="C26" i="5" s="1"/>
  <c r="D21" i="5"/>
  <c r="E21" i="5" s="1"/>
  <c r="D20" i="5"/>
  <c r="E20" i="5" s="1"/>
  <c r="D19" i="5"/>
  <c r="C14" i="5"/>
  <c r="C12" i="5"/>
  <c r="C7" i="5"/>
  <c r="C3" i="5" s="1"/>
  <c r="C5" i="5" s="1"/>
  <c r="O13" i="2"/>
  <c r="V12" i="2"/>
  <c r="D10" i="2"/>
  <c r="V11" i="2"/>
  <c r="P15" i="2" l="1"/>
  <c r="AK11" i="2" s="1"/>
  <c r="AK12" i="2" s="1"/>
  <c r="P14" i="2"/>
  <c r="AJ11" i="2" s="1"/>
  <c r="AJ12" i="2" s="1"/>
  <c r="P16" i="2"/>
  <c r="AL11" i="2" s="1"/>
  <c r="AL12" i="2" s="1"/>
  <c r="C40" i="5"/>
  <c r="D23" i="5"/>
  <c r="C11" i="5"/>
  <c r="E22" i="5"/>
  <c r="C18" i="5" s="1"/>
  <c r="D9" i="2"/>
  <c r="V10" i="2"/>
  <c r="C17" i="5" l="1"/>
  <c r="O11" i="2"/>
  <c r="C9" i="7"/>
  <c r="E9" i="7"/>
  <c r="E8" i="7"/>
  <c r="D8" i="7"/>
  <c r="C8" i="7"/>
  <c r="B8" i="7"/>
  <c r="E7" i="7"/>
  <c r="D7" i="7"/>
  <c r="C7" i="7"/>
  <c r="B7" i="7"/>
  <c r="E6" i="7"/>
  <c r="V9" i="2"/>
  <c r="P11" i="2" l="1"/>
  <c r="AG11" i="2" s="1"/>
  <c r="AH10" i="2"/>
  <c r="AC69" i="2"/>
  <c r="O8" i="2" l="1"/>
  <c r="D8" i="2" l="1"/>
  <c r="V8" i="2"/>
  <c r="AA73" i="2" l="1"/>
  <c r="AA76" i="2" s="1"/>
  <c r="AC75" i="2"/>
  <c r="AC71" i="2" l="1"/>
  <c r="H6" i="6"/>
  <c r="H5" i="6"/>
  <c r="J6" i="6"/>
  <c r="J5" i="6"/>
  <c r="AA61" i="2"/>
  <c r="AA64" i="2"/>
  <c r="AC57" i="2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D7" i="2"/>
  <c r="AC61" i="2" l="1"/>
  <c r="V7" i="2"/>
  <c r="AC46" i="2"/>
  <c r="O6" i="2"/>
  <c r="O7" i="2"/>
  <c r="AD7" i="2" s="1"/>
  <c r="D6" i="2"/>
  <c r="V6" i="2"/>
  <c r="AC35" i="2"/>
  <c r="AA38" i="2" s="1"/>
  <c r="AC38" i="2" s="1"/>
  <c r="AA4" i="2"/>
  <c r="O5" i="2"/>
  <c r="D5" i="2"/>
  <c r="V5" i="2"/>
  <c r="AA31" i="2"/>
  <c r="AB31" i="2" s="1"/>
  <c r="AC28" i="2"/>
  <c r="AC25" i="2"/>
  <c r="D4" i="2"/>
  <c r="V4" i="2"/>
  <c r="AB20" i="2"/>
  <c r="AC7" i="2" l="1"/>
  <c r="AB11" i="2"/>
  <c r="AC8" i="2"/>
  <c r="P6" i="2"/>
  <c r="P7" i="2"/>
  <c r="AC11" i="2" s="1"/>
  <c r="AD10" i="2" s="1"/>
  <c r="AC10" i="2"/>
  <c r="AB8" i="2"/>
  <c r="AA41" i="2"/>
  <c r="AA52" i="2"/>
  <c r="AC49" i="2"/>
  <c r="AC50" i="2" s="1"/>
  <c r="AC39" i="2"/>
  <c r="AC29" i="2"/>
  <c r="P5" i="2"/>
  <c r="AA11" i="2" s="1"/>
  <c r="AA8" i="2"/>
  <c r="H4" i="2"/>
  <c r="AB10" i="2" l="1"/>
  <c r="AB12" i="2" s="1"/>
  <c r="AA14" i="2"/>
  <c r="AC14" i="2"/>
  <c r="AC12" i="2"/>
  <c r="AB14" i="2"/>
  <c r="C12" i="1"/>
  <c r="G5" i="1"/>
  <c r="G2" i="1"/>
  <c r="G1" i="1"/>
  <c r="B9" i="1"/>
  <c r="B7" i="1"/>
  <c r="B4" i="2"/>
  <c r="AB7" i="2" l="1"/>
  <c r="F1" i="2"/>
  <c r="C4" i="2" s="1"/>
  <c r="I4" i="2"/>
  <c r="A4" i="2"/>
  <c r="A5" i="2" s="1"/>
  <c r="C11" i="1"/>
  <c r="B11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2" i="1" s="1"/>
  <c r="K1" i="1"/>
  <c r="K5" i="1" s="1"/>
  <c r="B4" i="1"/>
  <c r="B5" i="1" s="1"/>
  <c r="B12" i="1" s="1"/>
  <c r="B13" i="1" s="1"/>
  <c r="C13" i="1" s="1"/>
  <c r="O4" i="2" l="1"/>
  <c r="K4" i="2"/>
  <c r="F2" i="2"/>
  <c r="L5" i="2"/>
  <c r="M5" i="2"/>
  <c r="N5" i="2" s="1"/>
  <c r="A6" i="2"/>
  <c r="K5" i="2"/>
  <c r="H5" i="2"/>
  <c r="C132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P4" i="2" l="1"/>
  <c r="Z10" i="2" s="1"/>
  <c r="AA10" i="2" s="1"/>
  <c r="AA7" i="2"/>
  <c r="H6" i="2"/>
  <c r="I6" i="2" s="1"/>
  <c r="E4" i="2"/>
  <c r="A7" i="2"/>
  <c r="K7" i="2" s="1"/>
  <c r="M6" i="2"/>
  <c r="L6" i="2"/>
  <c r="I5" i="2"/>
  <c r="K6" i="2"/>
  <c r="B10" i="1"/>
  <c r="Z12" i="2" l="1"/>
  <c r="Z14" i="2"/>
  <c r="AA12" i="2"/>
  <c r="M7" i="2"/>
  <c r="F4" i="2"/>
  <c r="B5" i="2" s="1"/>
  <c r="C5" i="2" s="1"/>
  <c r="H7" i="2"/>
  <c r="I7" i="2" s="1"/>
  <c r="L7" i="2"/>
  <c r="A8" i="2"/>
  <c r="N6" i="2"/>
  <c r="N7" i="2" l="1"/>
  <c r="M8" i="2"/>
  <c r="J4" i="2"/>
  <c r="E5" i="2" s="1"/>
  <c r="A9" i="2"/>
  <c r="H8" i="2"/>
  <c r="I8" i="2" s="1"/>
  <c r="L8" i="2"/>
  <c r="K8" i="2"/>
  <c r="N8" i="2" l="1"/>
  <c r="A10" i="2"/>
  <c r="L10" i="2" s="1"/>
  <c r="K10" i="2"/>
  <c r="M9" i="2"/>
  <c r="M10" i="2" s="1"/>
  <c r="K9" i="2"/>
  <c r="F5" i="2"/>
  <c r="J5" i="2" s="1"/>
  <c r="E6" i="2" s="1"/>
  <c r="H9" i="2"/>
  <c r="A11" i="2" l="1"/>
  <c r="N9" i="2"/>
  <c r="N10" i="2" s="1"/>
  <c r="B6" i="2"/>
  <c r="C6" i="2" s="1"/>
  <c r="I9" i="2"/>
  <c r="H10" i="2"/>
  <c r="A12" i="2" l="1"/>
  <c r="K11" i="2"/>
  <c r="L11" i="2"/>
  <c r="M11" i="2"/>
  <c r="N11" i="2" s="1"/>
  <c r="I10" i="2"/>
  <c r="H11" i="2"/>
  <c r="M12" i="2" l="1"/>
  <c r="N12" i="2" s="1"/>
  <c r="L12" i="2"/>
  <c r="A13" i="2"/>
  <c r="K12" i="2"/>
  <c r="I11" i="2"/>
  <c r="H12" i="2"/>
  <c r="M13" i="2" l="1"/>
  <c r="N13" i="2" s="1"/>
  <c r="L13" i="2"/>
  <c r="A14" i="2"/>
  <c r="K13" i="2"/>
  <c r="I12" i="2"/>
  <c r="H13" i="2"/>
  <c r="M14" i="2" l="1"/>
  <c r="N14" i="2" s="1"/>
  <c r="L14" i="2"/>
  <c r="A15" i="2"/>
  <c r="K14" i="2"/>
  <c r="I13" i="2"/>
  <c r="H14" i="2"/>
  <c r="M15" i="2" l="1"/>
  <c r="N15" i="2" s="1"/>
  <c r="L15" i="2"/>
  <c r="A16" i="2"/>
  <c r="K15" i="2"/>
  <c r="I14" i="2"/>
  <c r="H15" i="2"/>
  <c r="M16" i="2" l="1"/>
  <c r="N16" i="2" s="1"/>
  <c r="L16" i="2"/>
  <c r="A17" i="2"/>
  <c r="K16" i="2"/>
  <c r="I15" i="2"/>
  <c r="H16" i="2"/>
  <c r="M17" i="2" l="1"/>
  <c r="N17" i="2" s="1"/>
  <c r="L17" i="2"/>
  <c r="A18" i="2"/>
  <c r="K17" i="2"/>
  <c r="I16" i="2"/>
  <c r="H17" i="2"/>
  <c r="M18" i="2" l="1"/>
  <c r="N18" i="2" s="1"/>
  <c r="L18" i="2"/>
  <c r="A19" i="2"/>
  <c r="K18" i="2"/>
  <c r="I17" i="2"/>
  <c r="H18" i="2"/>
  <c r="M19" i="2" l="1"/>
  <c r="N19" i="2" s="1"/>
  <c r="L19" i="2"/>
  <c r="K19" i="2"/>
  <c r="A20" i="2"/>
  <c r="I18" i="2"/>
  <c r="H19" i="2"/>
  <c r="M20" i="2" l="1"/>
  <c r="N20" i="2" s="1"/>
  <c r="L20" i="2"/>
  <c r="K20" i="2"/>
  <c r="A21" i="2"/>
  <c r="I19" i="2"/>
  <c r="H20" i="2"/>
  <c r="M21" i="2" l="1"/>
  <c r="N21" i="2" s="1"/>
  <c r="L21" i="2"/>
  <c r="K21" i="2"/>
  <c r="A22" i="2"/>
  <c r="I20" i="2"/>
  <c r="H21" i="2"/>
  <c r="M22" i="2" l="1"/>
  <c r="N22" i="2" s="1"/>
  <c r="L22" i="2"/>
  <c r="K22" i="2"/>
  <c r="A23" i="2"/>
  <c r="I21" i="2"/>
  <c r="H22" i="2"/>
  <c r="M23" i="2" l="1"/>
  <c r="N23" i="2" s="1"/>
  <c r="L23" i="2"/>
  <c r="K23" i="2"/>
  <c r="A24" i="2"/>
  <c r="I22" i="2"/>
  <c r="H23" i="2"/>
  <c r="M24" i="2" l="1"/>
  <c r="N24" i="2" s="1"/>
  <c r="L24" i="2"/>
  <c r="K24" i="2"/>
  <c r="A25" i="2"/>
  <c r="I23" i="2"/>
  <c r="H24" i="2"/>
  <c r="M25" i="2" l="1"/>
  <c r="N25" i="2" s="1"/>
  <c r="L25" i="2"/>
  <c r="K25" i="2"/>
  <c r="A26" i="2"/>
  <c r="I24" i="2"/>
  <c r="H25" i="2"/>
  <c r="M26" i="2" l="1"/>
  <c r="N26" i="2" s="1"/>
  <c r="L26" i="2"/>
  <c r="K26" i="2"/>
  <c r="A27" i="2"/>
  <c r="I25" i="2"/>
  <c r="H26" i="2"/>
  <c r="M27" i="2" l="1"/>
  <c r="N27" i="2" s="1"/>
  <c r="L27" i="2"/>
  <c r="K27" i="2"/>
  <c r="A28" i="2"/>
  <c r="I26" i="2"/>
  <c r="H27" i="2"/>
  <c r="M28" i="2" l="1"/>
  <c r="N28" i="2" s="1"/>
  <c r="L28" i="2"/>
  <c r="K28" i="2"/>
  <c r="A29" i="2"/>
  <c r="I27" i="2"/>
  <c r="H28" i="2"/>
  <c r="M29" i="2" l="1"/>
  <c r="N29" i="2" s="1"/>
  <c r="L29" i="2"/>
  <c r="K29" i="2"/>
  <c r="A30" i="2"/>
  <c r="I28" i="2"/>
  <c r="H29" i="2"/>
  <c r="L30" i="2" l="1"/>
  <c r="M30" i="2"/>
  <c r="N30" i="2" s="1"/>
  <c r="K30" i="2"/>
  <c r="A31" i="2"/>
  <c r="I29" i="2"/>
  <c r="H30" i="2"/>
  <c r="M31" i="2" l="1"/>
  <c r="N31" i="2" s="1"/>
  <c r="L31" i="2"/>
  <c r="K31" i="2"/>
  <c r="A32" i="2"/>
  <c r="I30" i="2"/>
  <c r="H31" i="2"/>
  <c r="M32" i="2" l="1"/>
  <c r="N32" i="2" s="1"/>
  <c r="L32" i="2"/>
  <c r="K32" i="2"/>
  <c r="A33" i="2"/>
  <c r="I31" i="2"/>
  <c r="H32" i="2"/>
  <c r="I32" i="2" s="1"/>
  <c r="M33" i="2" l="1"/>
  <c r="N33" i="2" s="1"/>
  <c r="L33" i="2"/>
  <c r="K33" i="2"/>
  <c r="A34" i="2"/>
  <c r="H33" i="2"/>
  <c r="I33" i="2" s="1"/>
  <c r="M34" i="2" l="1"/>
  <c r="N34" i="2" s="1"/>
  <c r="L34" i="2"/>
  <c r="K34" i="2"/>
  <c r="A35" i="2"/>
  <c r="H34" i="2"/>
  <c r="I34" i="2" s="1"/>
  <c r="M35" i="2" l="1"/>
  <c r="N35" i="2" s="1"/>
  <c r="L35" i="2"/>
  <c r="K35" i="2"/>
  <c r="A36" i="2"/>
  <c r="H35" i="2"/>
  <c r="I35" i="2" s="1"/>
  <c r="M36" i="2" l="1"/>
  <c r="N36" i="2" s="1"/>
  <c r="L36" i="2"/>
  <c r="K36" i="2"/>
  <c r="A37" i="2"/>
  <c r="H36" i="2"/>
  <c r="I36" i="2" s="1"/>
  <c r="L37" i="2" l="1"/>
  <c r="M37" i="2"/>
  <c r="N37" i="2" s="1"/>
  <c r="K37" i="2"/>
  <c r="A38" i="2"/>
  <c r="H37" i="2"/>
  <c r="I37" i="2" s="1"/>
  <c r="L38" i="2" l="1"/>
  <c r="M38" i="2"/>
  <c r="K38" i="2"/>
  <c r="A39" i="2"/>
  <c r="H38" i="2"/>
  <c r="I38" i="2" s="1"/>
  <c r="H39" i="2" l="1"/>
  <c r="I39" i="2" s="1"/>
  <c r="L39" i="2"/>
  <c r="K39" i="2"/>
  <c r="M39" i="2"/>
  <c r="N38" i="2"/>
  <c r="N39" i="2" l="1"/>
  <c r="F6" i="2"/>
  <c r="B7" i="2" s="1"/>
  <c r="C7" i="2" l="1"/>
  <c r="J6" i="2"/>
  <c r="E7" i="2" s="1"/>
  <c r="F7" i="2" l="1"/>
  <c r="J7" i="2" s="1"/>
  <c r="E8" i="2" s="1"/>
  <c r="B8" i="2" l="1"/>
  <c r="C8" i="2" s="1"/>
  <c r="F8" i="2" l="1"/>
  <c r="B9" i="2" s="1"/>
  <c r="C9" i="2" s="1"/>
  <c r="O9" i="2" l="1"/>
  <c r="P9" i="2" s="1"/>
  <c r="AE11" i="2" s="1"/>
  <c r="AF10" i="2" s="1"/>
  <c r="P8" i="2"/>
  <c r="AD11" i="2" s="1"/>
  <c r="AD8" i="2"/>
  <c r="J8" i="2"/>
  <c r="E9" i="2" s="1"/>
  <c r="AE10" i="2" l="1"/>
  <c r="AE12" i="2" s="1"/>
  <c r="AE14" i="2"/>
  <c r="AD12" i="2"/>
  <c r="F9" i="2"/>
  <c r="AD14" i="2" l="1"/>
  <c r="B10" i="2"/>
  <c r="C10" i="2" s="1"/>
  <c r="O10" i="2" s="1"/>
  <c r="J9" i="2"/>
  <c r="E10" i="2" s="1"/>
  <c r="P10" i="2" l="1"/>
  <c r="AF11" i="2" s="1"/>
  <c r="AG10" i="2" s="1"/>
  <c r="AF12" i="2" l="1"/>
  <c r="F10" i="2"/>
  <c r="B11" i="2" s="1"/>
  <c r="J10" i="2" l="1"/>
  <c r="E11" i="2" s="1"/>
  <c r="AG12" i="2"/>
  <c r="C11" i="2"/>
  <c r="F11" i="2" l="1"/>
  <c r="J11" i="2" s="1"/>
  <c r="E12" i="2" s="1"/>
  <c r="B12" i="2" l="1"/>
  <c r="C12" i="2" l="1"/>
  <c r="F12" i="2" l="1"/>
  <c r="J12" i="2" s="1"/>
  <c r="E13" i="2" s="1"/>
  <c r="O12" i="2"/>
  <c r="P12" i="2" l="1"/>
  <c r="AH11" i="2" s="1"/>
  <c r="AH12" i="2" s="1"/>
  <c r="AI10" i="2"/>
  <c r="B13" i="2"/>
  <c r="C13" i="2" s="1"/>
  <c r="F13" i="2" l="1"/>
  <c r="B14" i="2" s="1"/>
  <c r="C14" i="2" s="1"/>
  <c r="P13" i="2"/>
  <c r="AI11" i="2" s="1"/>
  <c r="AI12" i="2" s="1"/>
  <c r="J13" i="2" l="1"/>
  <c r="E14" i="2" s="1"/>
  <c r="F14" i="2" s="1"/>
  <c r="J14" i="2" s="1"/>
  <c r="E15" i="2" s="1"/>
  <c r="B15" i="2" l="1"/>
  <c r="C15" i="2" s="1"/>
  <c r="F15" i="2" s="1"/>
  <c r="J15" i="2" s="1"/>
  <c r="E16" i="2" s="1"/>
  <c r="B16" i="2"/>
  <c r="C16" i="2" s="1"/>
  <c r="F16" i="2" s="1"/>
  <c r="J16" i="2" l="1"/>
  <c r="E17" i="2" s="1"/>
  <c r="B17" i="2"/>
  <c r="C17" i="2" l="1"/>
  <c r="D17" i="2" l="1"/>
  <c r="F17" i="2" s="1"/>
  <c r="B18" i="2"/>
  <c r="J17" i="2"/>
  <c r="E18" i="2" s="1"/>
  <c r="P17" i="2" l="1"/>
  <c r="AM11" i="2" s="1"/>
  <c r="AM12" i="2" s="1"/>
  <c r="AN10" i="2"/>
  <c r="C18" i="2"/>
  <c r="F18" i="2" l="1"/>
  <c r="J18" i="2" s="1"/>
  <c r="E19" i="2" s="1"/>
  <c r="P18" i="2"/>
  <c r="AN11" i="2" s="1"/>
  <c r="AN12" i="2" s="1"/>
  <c r="B19" i="2"/>
  <c r="C19" i="2" l="1"/>
  <c r="F19" i="2" l="1"/>
  <c r="B20" i="2" s="1"/>
  <c r="O19" i="2"/>
  <c r="P19" i="2" l="1"/>
  <c r="AO11" i="2" s="1"/>
  <c r="AO12" i="2" s="1"/>
  <c r="AP10" i="2"/>
  <c r="J19" i="2"/>
  <c r="E20" i="2" s="1"/>
  <c r="C20" i="2"/>
  <c r="F20" i="2" l="1"/>
  <c r="B21" i="2" s="1"/>
  <c r="O20" i="2"/>
  <c r="P20" i="2" s="1"/>
  <c r="AP11" i="2" s="1"/>
  <c r="AP12" i="2" s="1"/>
  <c r="J20" i="2" l="1"/>
  <c r="E21" i="2" s="1"/>
  <c r="C21" i="2"/>
  <c r="D21" i="2" l="1"/>
  <c r="F21" i="2" s="1"/>
  <c r="B22" i="2"/>
  <c r="J21" i="2"/>
  <c r="E22" i="2" s="1"/>
  <c r="C22" i="2" l="1"/>
  <c r="D22" i="2" s="1"/>
  <c r="F22" i="2" s="1"/>
  <c r="J22" i="2" l="1"/>
  <c r="E23" i="2" s="1"/>
  <c r="B23" i="2"/>
  <c r="C23" i="2" l="1"/>
  <c r="D23" i="2" s="1"/>
  <c r="F23" i="2" s="1"/>
  <c r="J23" i="2" l="1"/>
  <c r="E24" i="2" s="1"/>
  <c r="B24" i="2"/>
  <c r="C24" i="2" l="1"/>
  <c r="D24" i="2" s="1"/>
  <c r="F24" i="2" s="1"/>
  <c r="J24" i="2" l="1"/>
  <c r="E25" i="2" s="1"/>
  <c r="B25" i="2"/>
  <c r="C25" i="2" l="1"/>
  <c r="D25" i="2" s="1"/>
  <c r="F25" i="2" s="1"/>
  <c r="B26" i="2" l="1"/>
  <c r="J25" i="2"/>
  <c r="E26" i="2" s="1"/>
  <c r="C26" i="2" l="1"/>
  <c r="D26" i="2" s="1"/>
  <c r="F26" i="2" s="1"/>
  <c r="J26" i="2" l="1"/>
  <c r="E27" i="2" s="1"/>
  <c r="B27" i="2"/>
  <c r="C27" i="2" l="1"/>
  <c r="D27" i="2" s="1"/>
  <c r="F27" i="2" s="1"/>
  <c r="B28" i="2" l="1"/>
  <c r="J27" i="2"/>
  <c r="E28" i="2" s="1"/>
  <c r="C28" i="2" l="1"/>
  <c r="D28" i="2" s="1"/>
  <c r="F28" i="2" s="1"/>
  <c r="J28" i="2" l="1"/>
  <c r="E29" i="2" s="1"/>
  <c r="B29" i="2"/>
  <c r="C29" i="2" l="1"/>
  <c r="D29" i="2" s="1"/>
  <c r="F29" i="2" s="1"/>
  <c r="B30" i="2" l="1"/>
  <c r="J29" i="2"/>
  <c r="E30" i="2" s="1"/>
  <c r="C30" i="2" l="1"/>
  <c r="D30" i="2" s="1"/>
  <c r="F30" i="2" s="1"/>
  <c r="J30" i="2" l="1"/>
  <c r="E31" i="2" s="1"/>
  <c r="B31" i="2"/>
  <c r="C31" i="2" l="1"/>
  <c r="D31" i="2" s="1"/>
  <c r="F31" i="2" s="1"/>
  <c r="J31" i="2" l="1"/>
  <c r="E32" i="2" s="1"/>
  <c r="B32" i="2"/>
  <c r="C32" i="2" l="1"/>
  <c r="D32" i="2" s="1"/>
  <c r="F32" i="2" s="1"/>
  <c r="J32" i="2" l="1"/>
  <c r="E33" i="2" s="1"/>
  <c r="B33" i="2"/>
  <c r="C33" i="2" l="1"/>
  <c r="D33" i="2" s="1"/>
  <c r="F33" i="2" s="1"/>
  <c r="J33" i="2" l="1"/>
  <c r="E34" i="2" s="1"/>
  <c r="B34" i="2"/>
  <c r="C34" i="2" l="1"/>
  <c r="D34" i="2" s="1"/>
  <c r="F34" i="2" s="1"/>
  <c r="J34" i="2" l="1"/>
  <c r="E35" i="2" s="1"/>
  <c r="B35" i="2"/>
  <c r="C35" i="2" l="1"/>
  <c r="D35" i="2" s="1"/>
  <c r="F35" i="2" s="1"/>
  <c r="B36" i="2" l="1"/>
  <c r="J35" i="2"/>
  <c r="E36" i="2" s="1"/>
  <c r="C36" i="2" l="1"/>
  <c r="D36" i="2" s="1"/>
  <c r="F36" i="2" s="1"/>
  <c r="J36" i="2" l="1"/>
  <c r="E37" i="2" s="1"/>
  <c r="B37" i="2"/>
  <c r="C37" i="2" l="1"/>
  <c r="D37" i="2" s="1"/>
  <c r="F37" i="2" s="1"/>
  <c r="B38" i="2" l="1"/>
  <c r="J37" i="2"/>
  <c r="E38" i="2" s="1"/>
  <c r="C38" i="2" l="1"/>
  <c r="D38" i="2" s="1"/>
  <c r="F38" i="2" s="1"/>
  <c r="J38" i="2" l="1"/>
  <c r="E39" i="2" s="1"/>
  <c r="B39" i="2"/>
  <c r="C39" i="2" s="1"/>
  <c r="D39" i="2" l="1"/>
  <c r="F39" i="2" s="1"/>
  <c r="J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T10" authorId="0" shapeId="0" xr:uid="{73D53A6B-5F86-47CD-8171-46E9910E608E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2940</t>
        </r>
      </text>
    </comment>
    <comment ref="T11" authorId="0" shapeId="0" xr:uid="{BD4CE56B-7BA6-47A2-A574-82EB97CC0EFA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3107</t>
        </r>
      </text>
    </comment>
    <comment ref="T13" authorId="0" shapeId="0" xr:uid="{299FA0FB-E2D4-4D2F-B6C5-DA3DF7440A33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3574</t>
        </r>
      </text>
    </comment>
    <comment ref="T14" authorId="0" shapeId="0" xr:uid="{A90167A2-3CAF-4034-82CC-ECC9F4FA5AA1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3945</t>
        </r>
      </text>
    </comment>
    <comment ref="T15" authorId="0" shapeId="0" xr:uid="{E8B86C36-AECA-4CC0-9486-CAF839E633D2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4174</t>
        </r>
      </text>
    </comment>
    <comment ref="T16" authorId="0" shapeId="0" xr:uid="{B96890E9-0D3F-4C08-AF95-399491020F5A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4463</t>
        </r>
      </text>
    </comment>
    <comment ref="T17" authorId="0" shapeId="0" xr:uid="{6EB654B0-258E-445E-818E-B54C4D3DBF30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4757</t>
        </r>
      </text>
    </comment>
    <comment ref="T18" authorId="0" shapeId="0" xr:uid="{0FB94E9E-ECF2-46AF-A054-953DDFF70F7D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5060</t>
        </r>
      </text>
    </comment>
    <comment ref="T19" authorId="0" shapeId="0" xr:uid="{2CD0968A-C0F1-4F98-93EA-CA3318579DCA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5342</t>
        </r>
      </text>
    </comment>
    <comment ref="T20" authorId="0" shapeId="0" xr:uid="{89771040-B107-4FEA-A227-67241837CBB6}">
      <text>
        <r>
          <rPr>
            <b/>
            <sz val="9"/>
            <color indexed="81"/>
            <rFont val="Tahoma"/>
            <family val="2"/>
          </rPr>
          <t>Patricia Bello Pedraza:</t>
        </r>
        <r>
          <rPr>
            <sz val="9"/>
            <color indexed="81"/>
            <rFont val="Tahoma"/>
            <family val="2"/>
          </rPr>
          <t xml:space="preserve">
5547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B2" authorId="0" shapeId="0" xr:uid="{7AF05CEC-F75D-419D-9CEE-B7BF5CE045C3}">
      <text>
        <r>
          <rPr>
            <b/>
            <sz val="9"/>
            <color indexed="81"/>
            <rFont val="Tahoma"/>
            <family val="2"/>
          </rPr>
          <t>Patricia Bello Pedraza: Esta retencion es de la factura del mes de Abril</t>
        </r>
      </text>
    </comment>
  </commentList>
</comments>
</file>

<file path=xl/sharedStrings.xml><?xml version="1.0" encoding="utf-8"?>
<sst xmlns="http://schemas.openxmlformats.org/spreadsheetml/2006/main" count="172" uniqueCount="113">
  <si>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</si>
  <si>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</si>
  <si>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</si>
  <si>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</si>
  <si>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</si>
  <si>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</si>
  <si>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</si>
  <si>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</si>
  <si>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</si>
  <si>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</si>
  <si>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</si>
  <si>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</si>
  <si>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</si>
  <si>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</si>
  <si>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</si>
  <si>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</si>
  <si>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</si>
  <si>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</si>
  <si>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</si>
  <si>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</si>
  <si>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</si>
  <si>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</si>
  <si>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</si>
  <si>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</si>
  <si>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</si>
  <si>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</si>
  <si>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</si>
  <si>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</si>
  <si>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</si>
  <si>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</si>
  <si>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</si>
  <si>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</si>
  <si>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</si>
  <si>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</si>
  <si>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</si>
  <si>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</si>
  <si>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</si>
  <si>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</si>
  <si>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</si>
  <si>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intereses mora</t>
  </si>
  <si>
    <t>Retenciones</t>
  </si>
  <si>
    <t>Valor pagado cliente</t>
  </si>
  <si>
    <t>Saldo a Capital</t>
  </si>
  <si>
    <t>Saldos Menores</t>
  </si>
  <si>
    <t>Ajuste cierre Abril</t>
  </si>
  <si>
    <t>ajuste may</t>
  </si>
  <si>
    <t>RETENCIONES 2025</t>
  </si>
  <si>
    <t>RETENCIONES</t>
  </si>
  <si>
    <t>HBIC-1427</t>
  </si>
  <si>
    <t>total pago</t>
  </si>
  <si>
    <t xml:space="preserve">ENERO </t>
  </si>
  <si>
    <t>FACT</t>
  </si>
  <si>
    <t>Extracto</t>
  </si>
  <si>
    <t xml:space="preserve">valor pagado </t>
  </si>
  <si>
    <t>otro extracto</t>
  </si>
  <si>
    <t xml:space="preserve">FEBRERO </t>
  </si>
  <si>
    <t>2012</t>
  </si>
  <si>
    <t>VALOR CONSIG</t>
  </si>
  <si>
    <t>2111</t>
  </si>
  <si>
    <t>MARZO</t>
  </si>
  <si>
    <t>2309</t>
  </si>
  <si>
    <t>Diferencia</t>
  </si>
  <si>
    <t>ABRIL</t>
  </si>
  <si>
    <t>RETENCIÓN</t>
  </si>
  <si>
    <t>Extracto 135</t>
  </si>
  <si>
    <t>Total EXTRACTO</t>
  </si>
  <si>
    <t>DIRERENCIA</t>
  </si>
  <si>
    <t>MAYO</t>
  </si>
  <si>
    <t>VALOR APLICAR</t>
  </si>
  <si>
    <t>VALOR PAGADO</t>
  </si>
  <si>
    <t>DIFERENCIA</t>
  </si>
  <si>
    <t>FACTURA 2508</t>
  </si>
  <si>
    <t>RETENCION</t>
  </si>
  <si>
    <t>JUNIO</t>
  </si>
  <si>
    <t xml:space="preserve">VALOR PAGADO </t>
  </si>
  <si>
    <t>FACTURA 2697</t>
  </si>
  <si>
    <t xml:space="preserve">RETENCIONES </t>
  </si>
  <si>
    <t>JULIO</t>
  </si>
  <si>
    <t>FACTURA 2900 C.</t>
  </si>
  <si>
    <t>FACTURA 2830</t>
  </si>
  <si>
    <t>FACTURA 2940</t>
  </si>
  <si>
    <t>TOTAL RETENCIONES</t>
  </si>
  <si>
    <t>AGOSTO</t>
  </si>
  <si>
    <t>FACTURA 3115</t>
  </si>
  <si>
    <t xml:space="preserve">RETENCION </t>
  </si>
  <si>
    <t>SEPTIEMBRE</t>
  </si>
  <si>
    <t>FACTURA 3341</t>
  </si>
  <si>
    <t>OCTUBRE</t>
  </si>
  <si>
    <t>FACTURA 3596</t>
  </si>
  <si>
    <t>NOVIEMBRE</t>
  </si>
  <si>
    <t>FACTURA 3842</t>
  </si>
  <si>
    <t>FACTURA 3945</t>
  </si>
  <si>
    <t>INTERESES EXT</t>
  </si>
  <si>
    <t>DICIEMBRE</t>
  </si>
  <si>
    <t>FACTURA 4104</t>
  </si>
  <si>
    <t>FACTURA 4174</t>
  </si>
  <si>
    <t>ENERO</t>
  </si>
  <si>
    <t>FACTURA 4410</t>
  </si>
  <si>
    <t>FACTURA 4463</t>
  </si>
  <si>
    <t>FEBRERO</t>
  </si>
  <si>
    <t>FACTURA 4703</t>
  </si>
  <si>
    <t>FACTURA 4757</t>
  </si>
  <si>
    <t>FACTURA 5001</t>
  </si>
  <si>
    <t>FACTURA 5060</t>
  </si>
  <si>
    <t xml:space="preserve">DIFERENCIA </t>
  </si>
  <si>
    <t>FACTURA 5300</t>
  </si>
  <si>
    <t>FACTURA 5342</t>
  </si>
  <si>
    <t>extracto cygnus</t>
  </si>
  <si>
    <t>m</t>
  </si>
  <si>
    <t>may</t>
  </si>
  <si>
    <t>jun</t>
  </si>
  <si>
    <t>jul</t>
  </si>
  <si>
    <t>EXTRACTOS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</si>
</sst>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D1D3E"/>
      <name val="Roboto"/>
      <family val="2"/>
      <charset val="1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 applyProtection="1"/>
    <xf numFmtId="164" fontId="0" fillId="0" borderId="0" xfId="1" applyNumberFormat="1" applyFont="1" applyProtection="1"/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4" fontId="0" fillId="0" borderId="0" xfId="1" applyNumberFormat="1" applyFont="1" applyFill="1"/>
    <xf numFmtId="165" fontId="0" fillId="0" borderId="0" xfId="2" applyNumberFormat="1" applyFont="1" applyFill="1" applyProtection="1">
      <protection locked="0"/>
    </xf>
    <xf numFmtId="165" fontId="0" fillId="0" borderId="0" xfId="2" applyNumberFormat="1" applyFont="1" applyFill="1"/>
    <xf numFmtId="0" fontId="2" fillId="0" borderId="0" xfId="0" applyFont="1" applyAlignment="1">
      <alignment horizontal="center"/>
    </xf>
    <xf numFmtId="0" fontId="6" fillId="0" borderId="0" xfId="0" applyFont="1"/>
    <xf numFmtId="43" fontId="5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43" fontId="5" fillId="0" borderId="0" xfId="1" applyFont="1" applyAlignment="1">
      <alignment horizontal="center"/>
    </xf>
    <xf numFmtId="43" fontId="6" fillId="0" borderId="0" xfId="0" applyNumberFormat="1" applyFont="1"/>
    <xf numFmtId="17" fontId="5" fillId="0" borderId="0" xfId="0" applyNumberFormat="1" applyFont="1" applyAlignment="1">
      <alignment horizontal="center"/>
    </xf>
    <xf numFmtId="43" fontId="6" fillId="3" borderId="0" xfId="0" applyNumberFormat="1" applyFont="1" applyFill="1"/>
    <xf numFmtId="43" fontId="0" fillId="0" borderId="13" xfId="0" applyNumberFormat="1" applyBorder="1"/>
    <xf numFmtId="164" fontId="1" fillId="0" borderId="0" xfId="1" applyNumberFormat="1" applyFont="1"/>
    <xf numFmtId="43" fontId="0" fillId="3" borderId="0" xfId="0" applyNumberFormat="1" applyFill="1"/>
    <xf numFmtId="43" fontId="5" fillId="3" borderId="0" xfId="0" applyNumberFormat="1" applyFont="1" applyFill="1"/>
    <xf numFmtId="0" fontId="6" fillId="3" borderId="0" xfId="0" applyFont="1" applyFill="1"/>
    <xf numFmtId="17" fontId="0" fillId="3" borderId="0" xfId="0" applyNumberFormat="1" applyFill="1" applyAlignment="1">
      <alignment horizontal="center"/>
    </xf>
    <xf numFmtId="14" fontId="6" fillId="0" borderId="0" xfId="0" applyNumberFormat="1" applyFont="1"/>
    <xf numFmtId="0" fontId="6" fillId="8" borderId="0" xfId="0" applyFont="1" applyFill="1"/>
    <xf numFmtId="43" fontId="0" fillId="3" borderId="0" xfId="1" applyFont="1" applyFill="1"/>
    <xf numFmtId="0" fontId="8" fillId="0" borderId="0" xfId="0" applyFont="1"/>
    <xf numFmtId="0" fontId="0" fillId="9" borderId="0" xfId="0" applyFill="1"/>
    <xf numFmtId="43" fontId="0" fillId="9" borderId="0" xfId="0" applyNumberFormat="1" applyFill="1"/>
    <xf numFmtId="49" fontId="0" fillId="0" borderId="0" xfId="0" applyNumberFormat="1"/>
    <xf numFmtId="0" fontId="0" fillId="10" borderId="0" xfId="0" applyFill="1"/>
    <xf numFmtId="43" fontId="0" fillId="10" borderId="0" xfId="0" applyNumberFormat="1" applyFill="1"/>
    <xf numFmtId="9" fontId="0" fillId="10" borderId="0" xfId="0" applyNumberFormat="1" applyFill="1"/>
    <xf numFmtId="43" fontId="0" fillId="11" borderId="0" xfId="0" applyNumberFormat="1" applyFill="1"/>
    <xf numFmtId="164" fontId="7" fillId="0" borderId="0" xfId="1" applyNumberFormat="1" applyFont="1" applyFill="1"/>
    <xf numFmtId="14" fontId="0" fillId="3" borderId="8" xfId="0" applyNumberFormat="1" applyFill="1" applyBorder="1"/>
    <xf numFmtId="0" fontId="5" fillId="10" borderId="0" xfId="0" applyFont="1" applyFill="1"/>
    <xf numFmtId="0" fontId="5" fillId="4" borderId="0" xfId="0" applyFont="1" applyFill="1"/>
    <xf numFmtId="0" fontId="0" fillId="4" borderId="0" xfId="0" applyFill="1"/>
    <xf numFmtId="43" fontId="0" fillId="12" borderId="0" xfId="0" applyNumberFormat="1" applyFill="1"/>
    <xf numFmtId="165" fontId="7" fillId="0" borderId="0" xfId="2" applyNumberFormat="1" applyFont="1" applyFill="1" applyProtection="1">
      <protection locked="0"/>
    </xf>
    <xf numFmtId="0" fontId="7" fillId="0" borderId="0" xfId="0" applyFont="1" applyAlignment="1">
      <alignment horizontal="center"/>
    </xf>
    <xf numFmtId="43" fontId="5" fillId="0" borderId="0" xfId="1" applyFont="1" applyFill="1" applyAlignment="1">
      <alignment horizontal="left"/>
    </xf>
    <xf numFmtId="43" fontId="5" fillId="12" borderId="0" xfId="0" applyNumberFormat="1" applyFont="1" applyFill="1"/>
    <xf numFmtId="164" fontId="5" fillId="0" borderId="0" xfId="0" applyNumberFormat="1" applyFont="1"/>
    <xf numFmtId="0" fontId="5" fillId="13" borderId="16" xfId="0" applyFont="1" applyFill="1" applyBorder="1"/>
    <xf numFmtId="0" fontId="0" fillId="0" borderId="17" xfId="0" applyBorder="1"/>
    <xf numFmtId="9" fontId="5" fillId="13" borderId="18" xfId="0" applyNumberFormat="1" applyFont="1" applyFill="1" applyBorder="1"/>
    <xf numFmtId="0" fontId="0" fillId="0" borderId="19" xfId="0" applyBorder="1"/>
    <xf numFmtId="164" fontId="0" fillId="0" borderId="0" xfId="1" applyNumberFormat="1" applyFont="1" applyBorder="1"/>
    <xf numFmtId="0" fontId="0" fillId="0" borderId="20" xfId="0" applyBorder="1"/>
    <xf numFmtId="164" fontId="0" fillId="13" borderId="0" xfId="1" applyNumberFormat="1" applyFont="1" applyFill="1" applyBorder="1"/>
    <xf numFmtId="43" fontId="0" fillId="0" borderId="19" xfId="1" applyFont="1" applyBorder="1" applyAlignment="1">
      <alignment horizontal="left"/>
    </xf>
    <xf numFmtId="164" fontId="0" fillId="0" borderId="20" xfId="1" applyNumberFormat="1" applyFont="1" applyBorder="1"/>
    <xf numFmtId="0" fontId="0" fillId="0" borderId="21" xfId="0" applyBorder="1"/>
    <xf numFmtId="164" fontId="0" fillId="13" borderId="22" xfId="1" applyNumberFormat="1" applyFont="1" applyFill="1" applyBorder="1"/>
    <xf numFmtId="0" fontId="0" fillId="0" borderId="23" xfId="0" applyBorder="1"/>
    <xf numFmtId="14" fontId="0" fillId="3" borderId="4" xfId="0" applyNumberFormat="1" applyFill="1" applyBorder="1"/>
    <xf numFmtId="0" fontId="0" fillId="0" borderId="4" xfId="0" applyBorder="1"/>
    <xf numFmtId="165" fontId="1" fillId="0" borderId="0" xfId="2" applyNumberFormat="1" applyFont="1"/>
    <xf numFmtId="0" fontId="10" fillId="3" borderId="0" xfId="0" applyFont="1" applyFill="1" applyAlignment="1">
      <alignment horizontal="center"/>
    </xf>
    <xf numFmtId="164" fontId="1" fillId="0" borderId="0" xfId="1" applyNumberFormat="1" applyFont="1" applyFill="1"/>
    <xf numFmtId="165" fontId="1" fillId="0" borderId="0" xfId="2" applyNumberFormat="1" applyFont="1" applyFill="1"/>
    <xf numFmtId="164" fontId="0" fillId="14" borderId="0" xfId="1" applyNumberFormat="1" applyFont="1" applyFill="1"/>
    <xf numFmtId="164" fontId="0" fillId="14" borderId="0" xfId="0" applyNumberFormat="1" applyFill="1"/>
    <xf numFmtId="43" fontId="1" fillId="0" borderId="0" xfId="1" applyFont="1" applyAlignment="1">
      <alignment horizontal="center"/>
    </xf>
    <xf numFmtId="0" fontId="5" fillId="9" borderId="0" xfId="0" applyFont="1" applyFill="1"/>
    <xf numFmtId="164" fontId="0" fillId="0" borderId="0" xfId="1" applyNumberFormat="1" applyFont="1" applyFill="1" applyBorder="1"/>
    <xf numFmtId="0" fontId="5" fillId="9" borderId="16" xfId="0" applyFont="1" applyFill="1" applyBorder="1"/>
    <xf numFmtId="0" fontId="0" fillId="9" borderId="17" xfId="0" applyFill="1" applyBorder="1"/>
    <xf numFmtId="9" fontId="0" fillId="9" borderId="18" xfId="0" applyNumberFormat="1" applyFill="1" applyBorder="1"/>
    <xf numFmtId="164" fontId="0" fillId="0" borderId="22" xfId="1" applyNumberFormat="1" applyFont="1" applyBorder="1"/>
    <xf numFmtId="0" fontId="10" fillId="0" borderId="0" xfId="0" applyFont="1" applyAlignment="1">
      <alignment horizontal="center"/>
    </xf>
    <xf numFmtId="43" fontId="1" fillId="0" borderId="0" xfId="1" applyFont="1" applyFill="1"/>
    <xf numFmtId="165" fontId="1" fillId="0" borderId="0" xfId="2" applyNumberFormat="1" applyFont="1" applyFill="1" applyProtection="1">
      <protection locked="0"/>
    </xf>
    <xf numFmtId="165" fontId="5" fillId="9" borderId="0" xfId="2" applyNumberFormat="1" applyFont="1" applyFill="1"/>
    <xf numFmtId="164" fontId="5" fillId="9" borderId="0" xfId="1" applyNumberFormat="1" applyFont="1" applyFill="1"/>
    <xf numFmtId="0" fontId="2" fillId="9" borderId="0" xfId="0" applyFont="1" applyFill="1" applyAlignment="1">
      <alignment horizontal="center"/>
    </xf>
    <xf numFmtId="165" fontId="5" fillId="9" borderId="0" xfId="2" applyNumberFormat="1" applyFont="1" applyFill="1" applyProtection="1">
      <protection locked="0"/>
    </xf>
    <xf numFmtId="0" fontId="5" fillId="9" borderId="0" xfId="0" applyFont="1" applyFill="1" applyAlignment="1">
      <alignment horizontal="center"/>
    </xf>
    <xf numFmtId="9" fontId="0" fillId="9" borderId="17" xfId="0" applyNumberFormat="1" applyFill="1" applyBorder="1"/>
    <xf numFmtId="0" fontId="0" fillId="0" borderId="18" xfId="0" applyBorder="1"/>
    <xf numFmtId="164" fontId="0" fillId="0" borderId="20" xfId="0" applyNumberFormat="1" applyBorder="1"/>
    <xf numFmtId="0" fontId="0" fillId="0" borderId="22" xfId="0" applyBorder="1"/>
    <xf numFmtId="0" fontId="0" fillId="9" borderId="18" xfId="0" applyFill="1" applyBorder="1"/>
    <xf numFmtId="14" fontId="0" fillId="3" borderId="6" xfId="1" applyNumberFormat="1" applyFont="1" applyFill="1" applyBorder="1"/>
    <xf numFmtId="14" fontId="0" fillId="0" borderId="4" xfId="0" applyNumberFormat="1" applyBorder="1"/>
    <xf numFmtId="164" fontId="0" fillId="3" borderId="0" xfId="1" applyNumberFormat="1" applyFont="1" applyFill="1"/>
    <xf numFmtId="164" fontId="0" fillId="0" borderId="22" xfId="0" applyNumberFormat="1" applyBorder="1"/>
    <xf numFmtId="165" fontId="12" fillId="0" borderId="0" xfId="2" applyNumberFormat="1" applyFont="1" applyFill="1" applyProtection="1">
      <protection locked="0"/>
    </xf>
    <xf numFmtId="164" fontId="0" fillId="0" borderId="4" xfId="1" applyNumberFormat="1" applyFont="1" applyBorder="1"/>
    <xf numFmtId="164" fontId="0" fillId="3" borderId="3" xfId="1" applyNumberFormat="1" applyFont="1" applyFill="1" applyBorder="1"/>
    <xf numFmtId="164" fontId="7" fillId="3" borderId="3" xfId="1" applyNumberFormat="1" applyFont="1" applyFill="1" applyBorder="1"/>
    <xf numFmtId="164" fontId="0" fillId="3" borderId="14" xfId="1" applyNumberFormat="1" applyFont="1" applyFill="1" applyBorder="1"/>
    <xf numFmtId="164" fontId="0" fillId="3" borderId="4" xfId="1" applyNumberFormat="1" applyFont="1" applyFill="1" applyBorder="1"/>
    <xf numFmtId="164" fontId="6" fillId="3" borderId="4" xfId="1" applyNumberFormat="1" applyFont="1" applyFill="1" applyBorder="1"/>
    <xf numFmtId="164" fontId="7" fillId="3" borderId="4" xfId="1" applyNumberFormat="1" applyFont="1" applyFill="1" applyBorder="1"/>
    <xf numFmtId="164" fontId="0" fillId="3" borderId="15" xfId="1" applyNumberFormat="1" applyFont="1" applyFill="1" applyBorder="1"/>
    <xf numFmtId="164" fontId="7" fillId="0" borderId="4" xfId="1" applyNumberFormat="1" applyFont="1" applyFill="1" applyBorder="1"/>
    <xf numFmtId="164" fontId="6" fillId="0" borderId="4" xfId="1" applyNumberFormat="1" applyFont="1" applyFill="1" applyBorder="1"/>
    <xf numFmtId="164" fontId="5" fillId="3" borderId="4" xfId="1" applyNumberFormat="1" applyFont="1" applyFill="1" applyBorder="1"/>
    <xf numFmtId="164" fontId="0" fillId="0" borderId="4" xfId="0" applyNumberFormat="1" applyBorder="1"/>
    <xf numFmtId="164" fontId="6" fillId="0" borderId="4" xfId="0" applyNumberFormat="1" applyFont="1" applyBorder="1"/>
    <xf numFmtId="164" fontId="6" fillId="0" borderId="4" xfId="1" applyNumberFormat="1" applyFont="1" applyBorder="1"/>
    <xf numFmtId="164" fontId="0" fillId="0" borderId="15" xfId="1" applyNumberFormat="1" applyFont="1" applyBorder="1"/>
    <xf numFmtId="0" fontId="0" fillId="0" borderId="15" xfId="0" applyBorder="1"/>
    <xf numFmtId="0" fontId="3" fillId="9" borderId="24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wrapText="1"/>
    </xf>
    <xf numFmtId="0" fontId="3" fillId="9" borderId="26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2D2D-7BC5-42E0-8280-90B22499A59F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 t="shared" ref="A14:A77" si="0">IF(AND(A13&lt;$B$6)*(A13&lt;&gt;0),1+A13," ")</f>
        <v>3</v>
      </c>
      <c r="B14" s="6">
        <f t="shared" ref="B14:B77" si="1">IF(A14&lt;&gt;" ",+B13*1," ")</f>
        <v>171000.69483453908</v>
      </c>
      <c r="C14" s="6">
        <f>IF(A14&lt;&gt;" ",+C13*1," ")</f>
        <v>171000.69483453908</v>
      </c>
    </row>
    <row r="15" spans="1:11">
      <c r="A15" s="7">
        <f t="shared" si="0"/>
        <v>4</v>
      </c>
      <c r="B15" s="6">
        <f t="shared" si="1"/>
        <v>171000.69483453908</v>
      </c>
      <c r="C15" s="6">
        <f t="shared" ref="C15:C78" si="2">IF(A15&lt;&gt;" ",+C14*1," ")</f>
        <v>171000.69483453908</v>
      </c>
    </row>
    <row r="16" spans="1:11">
      <c r="A16" s="7">
        <f t="shared" si="0"/>
        <v>5</v>
      </c>
      <c r="B16" s="6">
        <f t="shared" si="1"/>
        <v>171000.69483453908</v>
      </c>
      <c r="C16" s="6">
        <f t="shared" si="2"/>
        <v>171000.69483453908</v>
      </c>
    </row>
    <row r="17" spans="1:3">
      <c r="A17" s="7">
        <f t="shared" si="0"/>
        <v>6</v>
      </c>
      <c r="B17" s="6">
        <f t="shared" si="1"/>
        <v>171000.69483453908</v>
      </c>
      <c r="C17" s="6">
        <f t="shared" si="2"/>
        <v>171000.69483453908</v>
      </c>
    </row>
    <row r="18" spans="1:3">
      <c r="A18" s="7">
        <f t="shared" si="0"/>
        <v>7</v>
      </c>
      <c r="B18" s="6">
        <f t="shared" si="1"/>
        <v>171000.69483453908</v>
      </c>
      <c r="C18" s="6">
        <f t="shared" si="2"/>
        <v>171000.69483453908</v>
      </c>
    </row>
    <row r="19" spans="1:3">
      <c r="A19" s="7">
        <f t="shared" si="0"/>
        <v>8</v>
      </c>
      <c r="B19" s="6">
        <f t="shared" si="1"/>
        <v>171000.69483453908</v>
      </c>
      <c r="C19" s="6">
        <f t="shared" si="2"/>
        <v>171000.69483453908</v>
      </c>
    </row>
    <row r="20" spans="1:3">
      <c r="A20" s="7">
        <f t="shared" si="0"/>
        <v>9</v>
      </c>
      <c r="B20" s="6">
        <f t="shared" si="1"/>
        <v>171000.69483453908</v>
      </c>
      <c r="C20" s="6">
        <f t="shared" si="2"/>
        <v>171000.69483453908</v>
      </c>
    </row>
    <row r="21" spans="1:3">
      <c r="A21" s="7">
        <f t="shared" si="0"/>
        <v>10</v>
      </c>
      <c r="B21" s="6">
        <f t="shared" si="1"/>
        <v>171000.69483453908</v>
      </c>
      <c r="C21" s="6">
        <f t="shared" si="2"/>
        <v>171000.69483453908</v>
      </c>
    </row>
    <row r="22" spans="1:3">
      <c r="A22" s="7">
        <f t="shared" si="0"/>
        <v>11</v>
      </c>
      <c r="B22" s="6">
        <f t="shared" si="1"/>
        <v>171000.69483453908</v>
      </c>
      <c r="C22" s="6">
        <f t="shared" si="2"/>
        <v>171000.69483453908</v>
      </c>
    </row>
    <row r="23" spans="1:3">
      <c r="A23" s="7">
        <f t="shared" si="0"/>
        <v>12</v>
      </c>
      <c r="B23" s="6">
        <f t="shared" si="1"/>
        <v>171000.69483453908</v>
      </c>
      <c r="C23" s="6">
        <f t="shared" si="2"/>
        <v>171000.69483453908</v>
      </c>
    </row>
    <row r="24" spans="1:3">
      <c r="A24" s="7">
        <f t="shared" si="0"/>
        <v>13</v>
      </c>
      <c r="B24" s="6">
        <f t="shared" si="1"/>
        <v>171000.69483453908</v>
      </c>
      <c r="C24" s="6">
        <f t="shared" si="2"/>
        <v>171000.69483453908</v>
      </c>
    </row>
    <row r="25" spans="1:3">
      <c r="A25" s="7">
        <f t="shared" si="0"/>
        <v>14</v>
      </c>
      <c r="B25" s="6">
        <f t="shared" si="1"/>
        <v>171000.69483453908</v>
      </c>
      <c r="C25" s="6">
        <f t="shared" si="2"/>
        <v>171000.69483453908</v>
      </c>
    </row>
    <row r="26" spans="1:3">
      <c r="A26" s="7">
        <f t="shared" si="0"/>
        <v>15</v>
      </c>
      <c r="B26" s="6">
        <f t="shared" si="1"/>
        <v>171000.69483453908</v>
      </c>
      <c r="C26" s="6">
        <f t="shared" si="2"/>
        <v>171000.69483453908</v>
      </c>
    </row>
    <row r="27" spans="1:3">
      <c r="A27" s="7">
        <f t="shared" si="0"/>
        <v>16</v>
      </c>
      <c r="B27" s="6">
        <f t="shared" si="1"/>
        <v>171000.69483453908</v>
      </c>
      <c r="C27" s="6">
        <f t="shared" si="2"/>
        <v>171000.69483453908</v>
      </c>
    </row>
    <row r="28" spans="1:3">
      <c r="A28" s="7">
        <f t="shared" si="0"/>
        <v>17</v>
      </c>
      <c r="B28" s="6">
        <f t="shared" si="1"/>
        <v>171000.69483453908</v>
      </c>
      <c r="C28" s="6">
        <f t="shared" si="2"/>
        <v>171000.69483453908</v>
      </c>
    </row>
    <row r="29" spans="1:3">
      <c r="A29" s="7">
        <f t="shared" si="0"/>
        <v>18</v>
      </c>
      <c r="B29" s="6">
        <f t="shared" si="1"/>
        <v>171000.69483453908</v>
      </c>
      <c r="C29" s="6">
        <f t="shared" si="2"/>
        <v>171000.69483453908</v>
      </c>
    </row>
    <row r="30" spans="1:3">
      <c r="A30" s="7">
        <f t="shared" si="0"/>
        <v>19</v>
      </c>
      <c r="B30" s="6">
        <f t="shared" si="1"/>
        <v>171000.69483453908</v>
      </c>
      <c r="C30" s="6">
        <f t="shared" si="2"/>
        <v>171000.69483453908</v>
      </c>
    </row>
    <row r="31" spans="1:3">
      <c r="A31" s="7">
        <f t="shared" si="0"/>
        <v>20</v>
      </c>
      <c r="B31" s="6">
        <f t="shared" si="1"/>
        <v>171000.69483453908</v>
      </c>
      <c r="C31" s="6">
        <f t="shared" si="2"/>
        <v>171000.69483453908</v>
      </c>
    </row>
    <row r="32" spans="1:3">
      <c r="A32" s="7">
        <f t="shared" si="0"/>
        <v>21</v>
      </c>
      <c r="B32" s="6">
        <f t="shared" si="1"/>
        <v>171000.69483453908</v>
      </c>
      <c r="C32" s="6">
        <f t="shared" si="2"/>
        <v>171000.69483453908</v>
      </c>
    </row>
    <row r="33" spans="1:3">
      <c r="A33" s="7">
        <f t="shared" si="0"/>
        <v>22</v>
      </c>
      <c r="B33" s="6">
        <f t="shared" si="1"/>
        <v>171000.69483453908</v>
      </c>
      <c r="C33" s="6">
        <f t="shared" si="2"/>
        <v>171000.69483453908</v>
      </c>
    </row>
    <row r="34" spans="1:3">
      <c r="A34" s="7">
        <f t="shared" si="0"/>
        <v>23</v>
      </c>
      <c r="B34" s="6">
        <f t="shared" si="1"/>
        <v>171000.69483453908</v>
      </c>
      <c r="C34" s="6">
        <f t="shared" si="2"/>
        <v>171000.69483453908</v>
      </c>
    </row>
    <row r="35" spans="1:3">
      <c r="A35" s="7">
        <f t="shared" si="0"/>
        <v>24</v>
      </c>
      <c r="B35" s="6">
        <f t="shared" si="1"/>
        <v>171000.69483453908</v>
      </c>
      <c r="C35" s="6">
        <f t="shared" si="2"/>
        <v>171000.69483453908</v>
      </c>
    </row>
    <row r="36" spans="1:3">
      <c r="A36" s="7">
        <f t="shared" si="0"/>
        <v>25</v>
      </c>
      <c r="B36" s="6">
        <f t="shared" si="1"/>
        <v>171000.69483453908</v>
      </c>
      <c r="C36" s="6">
        <f t="shared" si="2"/>
        <v>171000.69483453908</v>
      </c>
    </row>
    <row r="37" spans="1:3">
      <c r="A37" s="7">
        <f t="shared" si="0"/>
        <v>26</v>
      </c>
      <c r="B37" s="6">
        <f t="shared" si="1"/>
        <v>171000.69483453908</v>
      </c>
      <c r="C37" s="6">
        <f t="shared" si="2"/>
        <v>171000.69483453908</v>
      </c>
    </row>
    <row r="38" spans="1:3">
      <c r="A38" s="7">
        <f t="shared" si="0"/>
        <v>27</v>
      </c>
      <c r="B38" s="6">
        <f t="shared" si="1"/>
        <v>171000.69483453908</v>
      </c>
      <c r="C38" s="6">
        <f t="shared" si="2"/>
        <v>171000.69483453908</v>
      </c>
    </row>
    <row r="39" spans="1:3">
      <c r="A39" s="7">
        <f t="shared" si="0"/>
        <v>28</v>
      </c>
      <c r="B39" s="6">
        <f t="shared" si="1"/>
        <v>171000.69483453908</v>
      </c>
      <c r="C39" s="6">
        <f t="shared" si="2"/>
        <v>171000.69483453908</v>
      </c>
    </row>
    <row r="40" spans="1:3">
      <c r="A40" s="7">
        <f t="shared" si="0"/>
        <v>29</v>
      </c>
      <c r="B40" s="6">
        <f t="shared" si="1"/>
        <v>171000.69483453908</v>
      </c>
      <c r="C40" s="6">
        <f t="shared" si="2"/>
        <v>171000.69483453908</v>
      </c>
    </row>
    <row r="41" spans="1:3">
      <c r="A41" s="7">
        <f t="shared" si="0"/>
        <v>30</v>
      </c>
      <c r="B41" s="6">
        <f t="shared" si="1"/>
        <v>171000.69483453908</v>
      </c>
      <c r="C41" s="6">
        <f t="shared" si="2"/>
        <v>171000.69483453908</v>
      </c>
    </row>
    <row r="42" spans="1:3">
      <c r="A42" s="7">
        <f t="shared" si="0"/>
        <v>31</v>
      </c>
      <c r="B42" s="6">
        <f t="shared" si="1"/>
        <v>171000.69483453908</v>
      </c>
      <c r="C42" s="6">
        <f t="shared" si="2"/>
        <v>171000.69483453908</v>
      </c>
    </row>
    <row r="43" spans="1:3">
      <c r="A43" s="7">
        <f t="shared" si="0"/>
        <v>32</v>
      </c>
      <c r="B43" s="6">
        <f t="shared" si="1"/>
        <v>171000.69483453908</v>
      </c>
      <c r="C43" s="6">
        <f t="shared" si="2"/>
        <v>171000.69483453908</v>
      </c>
    </row>
    <row r="44" spans="1:3">
      <c r="A44" s="7">
        <f t="shared" si="0"/>
        <v>33</v>
      </c>
      <c r="B44" s="6">
        <f t="shared" si="1"/>
        <v>171000.69483453908</v>
      </c>
      <c r="C44" s="6">
        <f t="shared" si="2"/>
        <v>171000.69483453908</v>
      </c>
    </row>
    <row r="45" spans="1:3">
      <c r="A45" s="7">
        <f t="shared" si="0"/>
        <v>34</v>
      </c>
      <c r="B45" s="6">
        <f t="shared" si="1"/>
        <v>171000.69483453908</v>
      </c>
      <c r="C45" s="6">
        <f t="shared" si="2"/>
        <v>171000.69483453908</v>
      </c>
    </row>
    <row r="46" spans="1:3">
      <c r="A46" s="7">
        <f t="shared" si="0"/>
        <v>35</v>
      </c>
      <c r="B46" s="6">
        <f t="shared" si="1"/>
        <v>171000.69483453908</v>
      </c>
      <c r="C46" s="6">
        <f t="shared" si="2"/>
        <v>171000.69483453908</v>
      </c>
    </row>
    <row r="47" spans="1:3">
      <c r="A47" s="7">
        <f t="shared" si="0"/>
        <v>36</v>
      </c>
      <c r="B47" s="6">
        <f t="shared" si="1"/>
        <v>171000.69483453908</v>
      </c>
      <c r="C47" s="6">
        <f t="shared" si="2"/>
        <v>171000.69483453908</v>
      </c>
    </row>
    <row r="48" spans="1:3">
      <c r="A48" s="7">
        <f t="shared" si="0"/>
        <v>37</v>
      </c>
      <c r="B48" s="6">
        <f t="shared" si="1"/>
        <v>171000.69483453908</v>
      </c>
      <c r="C48" s="6">
        <f t="shared" si="2"/>
        <v>171000.69483453908</v>
      </c>
    </row>
    <row r="49" spans="1:3">
      <c r="A49" s="7">
        <f t="shared" si="0"/>
        <v>38</v>
      </c>
      <c r="B49" s="6">
        <f t="shared" si="1"/>
        <v>171000.69483453908</v>
      </c>
      <c r="C49" s="6">
        <f t="shared" si="2"/>
        <v>171000.69483453908</v>
      </c>
    </row>
    <row r="50" spans="1:3">
      <c r="A50" s="7">
        <f t="shared" si="0"/>
        <v>39</v>
      </c>
      <c r="B50" s="6">
        <f t="shared" si="1"/>
        <v>171000.69483453908</v>
      </c>
      <c r="C50" s="6">
        <f t="shared" si="2"/>
        <v>171000.69483453908</v>
      </c>
    </row>
    <row r="51" spans="1:3">
      <c r="A51" s="7">
        <f t="shared" si="0"/>
        <v>40</v>
      </c>
      <c r="B51" s="6">
        <f t="shared" si="1"/>
        <v>171000.69483453908</v>
      </c>
      <c r="C51" s="6">
        <f t="shared" si="2"/>
        <v>171000.69483453908</v>
      </c>
    </row>
    <row r="52" spans="1:3">
      <c r="A52" s="7">
        <f t="shared" si="0"/>
        <v>41</v>
      </c>
      <c r="B52" s="6">
        <f t="shared" si="1"/>
        <v>171000.69483453908</v>
      </c>
      <c r="C52" s="6">
        <f t="shared" si="2"/>
        <v>171000.69483453908</v>
      </c>
    </row>
    <row r="53" spans="1:3">
      <c r="A53" s="7">
        <f t="shared" si="0"/>
        <v>42</v>
      </c>
      <c r="B53" s="6">
        <f t="shared" si="1"/>
        <v>171000.69483453908</v>
      </c>
      <c r="C53" s="6">
        <f t="shared" si="2"/>
        <v>171000.69483453908</v>
      </c>
    </row>
    <row r="54" spans="1:3">
      <c r="A54" s="7">
        <f t="shared" si="0"/>
        <v>43</v>
      </c>
      <c r="B54" s="6">
        <f t="shared" si="1"/>
        <v>171000.69483453908</v>
      </c>
      <c r="C54" s="6">
        <f t="shared" si="2"/>
        <v>171000.69483453908</v>
      </c>
    </row>
    <row r="55" spans="1:3">
      <c r="A55" s="7">
        <f t="shared" si="0"/>
        <v>44</v>
      </c>
      <c r="B55" s="6">
        <f t="shared" si="1"/>
        <v>171000.69483453908</v>
      </c>
      <c r="C55" s="6">
        <f t="shared" si="2"/>
        <v>171000.69483453908</v>
      </c>
    </row>
    <row r="56" spans="1:3">
      <c r="A56" s="7">
        <f t="shared" si="0"/>
        <v>45</v>
      </c>
      <c r="B56" s="6">
        <f t="shared" si="1"/>
        <v>171000.69483453908</v>
      </c>
      <c r="C56" s="6">
        <f t="shared" si="2"/>
        <v>171000.69483453908</v>
      </c>
    </row>
    <row r="57" spans="1:3">
      <c r="A57" s="7">
        <f t="shared" si="0"/>
        <v>46</v>
      </c>
      <c r="B57" s="6">
        <f t="shared" si="1"/>
        <v>171000.69483453908</v>
      </c>
      <c r="C57" s="6">
        <f t="shared" si="2"/>
        <v>171000.69483453908</v>
      </c>
    </row>
    <row r="58" spans="1:3">
      <c r="A58" s="7">
        <f t="shared" si="0"/>
        <v>47</v>
      </c>
      <c r="B58" s="6">
        <f t="shared" si="1"/>
        <v>171000.69483453908</v>
      </c>
      <c r="C58" s="6">
        <f t="shared" si="2"/>
        <v>171000.69483453908</v>
      </c>
    </row>
    <row r="59" spans="1:3">
      <c r="A59" s="7">
        <f t="shared" si="0"/>
        <v>48</v>
      </c>
      <c r="B59" s="6">
        <f t="shared" si="1"/>
        <v>171000.69483453908</v>
      </c>
      <c r="C59" s="6">
        <f t="shared" si="2"/>
        <v>171000.69483453908</v>
      </c>
    </row>
    <row r="60" spans="1:3">
      <c r="A60" s="7">
        <f t="shared" si="0"/>
        <v>49</v>
      </c>
      <c r="B60" s="6">
        <f t="shared" si="1"/>
        <v>171000.69483453908</v>
      </c>
      <c r="C60" s="6">
        <f t="shared" si="2"/>
        <v>171000.69483453908</v>
      </c>
    </row>
    <row r="61" spans="1:3">
      <c r="A61" s="7">
        <f t="shared" si="0"/>
        <v>50</v>
      </c>
      <c r="B61" s="6">
        <f t="shared" si="1"/>
        <v>171000.69483453908</v>
      </c>
      <c r="C61" s="6">
        <f t="shared" si="2"/>
        <v>171000.69483453908</v>
      </c>
    </row>
    <row r="62" spans="1:3">
      <c r="A62" s="7">
        <f t="shared" si="0"/>
        <v>51</v>
      </c>
      <c r="B62" s="6">
        <f t="shared" si="1"/>
        <v>171000.69483453908</v>
      </c>
      <c r="C62" s="6">
        <f t="shared" si="2"/>
        <v>171000.69483453908</v>
      </c>
    </row>
    <row r="63" spans="1:3">
      <c r="A63" s="7">
        <f t="shared" si="0"/>
        <v>52</v>
      </c>
      <c r="B63" s="6">
        <f t="shared" si="1"/>
        <v>171000.69483453908</v>
      </c>
      <c r="C63" s="6">
        <f t="shared" si="2"/>
        <v>171000.69483453908</v>
      </c>
    </row>
    <row r="64" spans="1:3">
      <c r="A64" s="7">
        <f t="shared" si="0"/>
        <v>53</v>
      </c>
      <c r="B64" s="6">
        <f t="shared" si="1"/>
        <v>171000.69483453908</v>
      </c>
      <c r="C64" s="6">
        <f t="shared" si="2"/>
        <v>171000.69483453908</v>
      </c>
    </row>
    <row r="65" spans="1:3">
      <c r="A65" s="7">
        <f t="shared" si="0"/>
        <v>54</v>
      </c>
      <c r="B65" s="6">
        <f t="shared" si="1"/>
        <v>171000.69483453908</v>
      </c>
      <c r="C65" s="6">
        <f t="shared" si="2"/>
        <v>171000.69483453908</v>
      </c>
    </row>
    <row r="66" spans="1:3">
      <c r="A66" s="7">
        <f t="shared" si="0"/>
        <v>55</v>
      </c>
      <c r="B66" s="6">
        <f t="shared" si="1"/>
        <v>171000.69483453908</v>
      </c>
      <c r="C66" s="6">
        <f t="shared" si="2"/>
        <v>171000.69483453908</v>
      </c>
    </row>
    <row r="67" spans="1:3">
      <c r="A67" s="7">
        <f t="shared" si="0"/>
        <v>56</v>
      </c>
      <c r="B67" s="6">
        <f t="shared" si="1"/>
        <v>171000.69483453908</v>
      </c>
      <c r="C67" s="6">
        <f t="shared" si="2"/>
        <v>171000.69483453908</v>
      </c>
    </row>
    <row r="68" spans="1:3">
      <c r="A68" s="7">
        <f t="shared" si="0"/>
        <v>57</v>
      </c>
      <c r="B68" s="6">
        <f t="shared" si="1"/>
        <v>171000.69483453908</v>
      </c>
      <c r="C68" s="6">
        <f t="shared" si="2"/>
        <v>171000.69483453908</v>
      </c>
    </row>
    <row r="69" spans="1:3">
      <c r="A69" s="7">
        <f t="shared" si="0"/>
        <v>58</v>
      </c>
      <c r="B69" s="6">
        <f t="shared" si="1"/>
        <v>171000.69483453908</v>
      </c>
      <c r="C69" s="6">
        <f t="shared" si="2"/>
        <v>171000.69483453908</v>
      </c>
    </row>
    <row r="70" spans="1:3">
      <c r="A70" s="7">
        <f t="shared" si="0"/>
        <v>59</v>
      </c>
      <c r="B70" s="6">
        <f t="shared" si="1"/>
        <v>171000.69483453908</v>
      </c>
      <c r="C70" s="6">
        <f t="shared" si="2"/>
        <v>171000.69483453908</v>
      </c>
    </row>
    <row r="71" spans="1:3">
      <c r="A71" s="7">
        <f t="shared" si="0"/>
        <v>60</v>
      </c>
      <c r="B71" s="6">
        <f t="shared" si="1"/>
        <v>171000.69483453908</v>
      </c>
      <c r="C71" s="6">
        <f t="shared" si="2"/>
        <v>171000.69483453908</v>
      </c>
    </row>
    <row r="72" spans="1:3">
      <c r="A72" s="7">
        <f t="shared" si="0"/>
        <v>61</v>
      </c>
      <c r="B72" s="6">
        <f t="shared" si="1"/>
        <v>171000.69483453908</v>
      </c>
      <c r="C72" s="6">
        <f t="shared" si="2"/>
        <v>171000.69483453908</v>
      </c>
    </row>
    <row r="73" spans="1:3">
      <c r="A73" s="7">
        <f t="shared" si="0"/>
        <v>62</v>
      </c>
      <c r="B73" s="6">
        <f t="shared" si="1"/>
        <v>171000.69483453908</v>
      </c>
      <c r="C73" s="6">
        <f t="shared" si="2"/>
        <v>171000.69483453908</v>
      </c>
    </row>
    <row r="74" spans="1:3">
      <c r="A74" s="7">
        <f t="shared" si="0"/>
        <v>63</v>
      </c>
      <c r="B74" s="6">
        <f t="shared" si="1"/>
        <v>171000.69483453908</v>
      </c>
      <c r="C74" s="6">
        <f t="shared" si="2"/>
        <v>171000.69483453908</v>
      </c>
    </row>
    <row r="75" spans="1:3">
      <c r="A75" s="7">
        <f t="shared" si="0"/>
        <v>64</v>
      </c>
      <c r="B75" s="6">
        <f t="shared" si="1"/>
        <v>171000.69483453908</v>
      </c>
      <c r="C75" s="6">
        <f t="shared" si="2"/>
        <v>171000.69483453908</v>
      </c>
    </row>
    <row r="76" spans="1:3">
      <c r="A76" s="7">
        <f t="shared" si="0"/>
        <v>65</v>
      </c>
      <c r="B76" s="6">
        <f t="shared" si="1"/>
        <v>171000.69483453908</v>
      </c>
      <c r="C76" s="6">
        <f t="shared" si="2"/>
        <v>171000.69483453908</v>
      </c>
    </row>
    <row r="77" spans="1:3">
      <c r="A77" s="7">
        <f t="shared" si="0"/>
        <v>66</v>
      </c>
      <c r="B77" s="6">
        <f t="shared" si="1"/>
        <v>171000.69483453908</v>
      </c>
      <c r="C77" s="6">
        <f t="shared" si="2"/>
        <v>171000.69483453908</v>
      </c>
    </row>
    <row r="78" spans="1:3">
      <c r="A78" s="7">
        <f t="shared" ref="A78:A132" si="3">IF(AND(A77&lt;$B$6)*(A77&lt;&gt;0),1+A77," ")</f>
        <v>67</v>
      </c>
      <c r="B78" s="6">
        <f t="shared" ref="B78:B132" si="4">IF(A78&lt;&gt;" ",+B77*1," ")</f>
        <v>171000.69483453908</v>
      </c>
      <c r="C78" s="6">
        <f t="shared" si="2"/>
        <v>171000.69483453908</v>
      </c>
    </row>
    <row r="79" spans="1:3">
      <c r="A79" s="7">
        <f t="shared" si="3"/>
        <v>68</v>
      </c>
      <c r="B79" s="6">
        <f t="shared" si="4"/>
        <v>171000.69483453908</v>
      </c>
      <c r="C79" s="6">
        <f t="shared" ref="C79:C132" si="5">IF(A79&lt;&gt;" ",+C78*1," ")</f>
        <v>171000.69483453908</v>
      </c>
    </row>
    <row r="80" spans="1:3">
      <c r="A80" s="7">
        <f t="shared" si="3"/>
        <v>69</v>
      </c>
      <c r="B80" s="6">
        <f t="shared" si="4"/>
        <v>171000.69483453908</v>
      </c>
      <c r="C80" s="6">
        <f t="shared" si="5"/>
        <v>171000.69483453908</v>
      </c>
    </row>
    <row r="81" spans="1:3">
      <c r="A81" s="7">
        <f t="shared" si="3"/>
        <v>70</v>
      </c>
      <c r="B81" s="6">
        <f t="shared" si="4"/>
        <v>171000.69483453908</v>
      </c>
      <c r="C81" s="6">
        <f t="shared" si="5"/>
        <v>171000.69483453908</v>
      </c>
    </row>
    <row r="82" spans="1:3">
      <c r="A82" s="7">
        <f t="shared" si="3"/>
        <v>71</v>
      </c>
      <c r="B82" s="6">
        <f t="shared" si="4"/>
        <v>171000.69483453908</v>
      </c>
      <c r="C82" s="6">
        <f t="shared" si="5"/>
        <v>171000.69483453908</v>
      </c>
    </row>
    <row r="83" spans="1:3">
      <c r="A83" s="7">
        <f t="shared" si="3"/>
        <v>72</v>
      </c>
      <c r="B83" s="6">
        <f t="shared" si="4"/>
        <v>171000.69483453908</v>
      </c>
      <c r="C83" s="6">
        <f t="shared" si="5"/>
        <v>171000.69483453908</v>
      </c>
    </row>
    <row r="84" spans="1:3">
      <c r="A84" s="7">
        <f t="shared" si="3"/>
        <v>73</v>
      </c>
      <c r="B84" s="6">
        <f t="shared" si="4"/>
        <v>171000.69483453908</v>
      </c>
      <c r="C84" s="6">
        <f t="shared" si="5"/>
        <v>171000.69483453908</v>
      </c>
    </row>
    <row r="85" spans="1:3">
      <c r="A85" s="7">
        <f t="shared" si="3"/>
        <v>74</v>
      </c>
      <c r="B85" s="6">
        <f t="shared" si="4"/>
        <v>171000.69483453908</v>
      </c>
      <c r="C85" s="6">
        <f t="shared" si="5"/>
        <v>171000.69483453908</v>
      </c>
    </row>
    <row r="86" spans="1:3">
      <c r="A86" s="7">
        <f t="shared" si="3"/>
        <v>75</v>
      </c>
      <c r="B86" s="6">
        <f t="shared" si="4"/>
        <v>171000.69483453908</v>
      </c>
      <c r="C86" s="6">
        <f t="shared" si="5"/>
        <v>171000.69483453908</v>
      </c>
    </row>
    <row r="87" spans="1:3">
      <c r="A87" s="7">
        <f t="shared" si="3"/>
        <v>76</v>
      </c>
      <c r="B87" s="6">
        <f t="shared" si="4"/>
        <v>171000.69483453908</v>
      </c>
      <c r="C87" s="6">
        <f t="shared" si="5"/>
        <v>171000.69483453908</v>
      </c>
    </row>
    <row r="88" spans="1:3">
      <c r="A88" s="7">
        <f t="shared" si="3"/>
        <v>77</v>
      </c>
      <c r="B88" s="6">
        <f t="shared" si="4"/>
        <v>171000.69483453908</v>
      </c>
      <c r="C88" s="6">
        <f t="shared" si="5"/>
        <v>171000.69483453908</v>
      </c>
    </row>
    <row r="89" spans="1:3">
      <c r="A89" s="7">
        <f t="shared" si="3"/>
        <v>78</v>
      </c>
      <c r="B89" s="6">
        <f t="shared" si="4"/>
        <v>171000.69483453908</v>
      </c>
      <c r="C89" s="6">
        <f t="shared" si="5"/>
        <v>171000.69483453908</v>
      </c>
    </row>
    <row r="90" spans="1:3">
      <c r="A90" s="7">
        <f t="shared" si="3"/>
        <v>79</v>
      </c>
      <c r="B90" s="6">
        <f t="shared" si="4"/>
        <v>171000.69483453908</v>
      </c>
      <c r="C90" s="6">
        <f t="shared" si="5"/>
        <v>171000.69483453908</v>
      </c>
    </row>
    <row r="91" spans="1:3">
      <c r="A91" s="7">
        <f t="shared" si="3"/>
        <v>80</v>
      </c>
      <c r="B91" s="6">
        <f t="shared" si="4"/>
        <v>171000.69483453908</v>
      </c>
      <c r="C91" s="6">
        <f t="shared" si="5"/>
        <v>171000.69483453908</v>
      </c>
    </row>
    <row r="92" spans="1:3">
      <c r="A92" s="7">
        <f t="shared" si="3"/>
        <v>81</v>
      </c>
      <c r="B92" s="6">
        <f t="shared" si="4"/>
        <v>171000.69483453908</v>
      </c>
      <c r="C92" s="6">
        <f t="shared" si="5"/>
        <v>171000.69483453908</v>
      </c>
    </row>
    <row r="93" spans="1:3">
      <c r="A93" s="7">
        <f t="shared" si="3"/>
        <v>82</v>
      </c>
      <c r="B93" s="6">
        <f t="shared" si="4"/>
        <v>171000.69483453908</v>
      </c>
      <c r="C93" s="6">
        <f t="shared" si="5"/>
        <v>171000.69483453908</v>
      </c>
    </row>
    <row r="94" spans="1:3">
      <c r="A94" s="7">
        <f t="shared" si="3"/>
        <v>83</v>
      </c>
      <c r="B94" s="6">
        <f t="shared" si="4"/>
        <v>171000.69483453908</v>
      </c>
      <c r="C94" s="6">
        <f t="shared" si="5"/>
        <v>171000.69483453908</v>
      </c>
    </row>
    <row r="95" spans="1:3">
      <c r="A95" s="7">
        <f t="shared" si="3"/>
        <v>84</v>
      </c>
      <c r="B95" s="6">
        <f t="shared" si="4"/>
        <v>171000.69483453908</v>
      </c>
      <c r="C95" s="6">
        <f t="shared" si="5"/>
        <v>171000.69483453908</v>
      </c>
    </row>
    <row r="96" spans="1:3">
      <c r="A96" s="7">
        <f t="shared" si="3"/>
        <v>85</v>
      </c>
      <c r="B96" s="6">
        <f t="shared" si="4"/>
        <v>171000.69483453908</v>
      </c>
      <c r="C96" s="6">
        <f t="shared" si="5"/>
        <v>171000.69483453908</v>
      </c>
    </row>
    <row r="97" spans="1:3">
      <c r="A97" s="7">
        <f t="shared" si="3"/>
        <v>86</v>
      </c>
      <c r="B97" s="6">
        <f t="shared" si="4"/>
        <v>171000.69483453908</v>
      </c>
      <c r="C97" s="6">
        <f t="shared" si="5"/>
        <v>171000.69483453908</v>
      </c>
    </row>
    <row r="98" spans="1:3">
      <c r="A98" s="7">
        <f t="shared" si="3"/>
        <v>87</v>
      </c>
      <c r="B98" s="6">
        <f t="shared" si="4"/>
        <v>171000.69483453908</v>
      </c>
      <c r="C98" s="6">
        <f t="shared" si="5"/>
        <v>171000.69483453908</v>
      </c>
    </row>
    <row r="99" spans="1:3">
      <c r="A99" s="7">
        <f t="shared" si="3"/>
        <v>88</v>
      </c>
      <c r="B99" s="6">
        <f t="shared" si="4"/>
        <v>171000.69483453908</v>
      </c>
      <c r="C99" s="6">
        <f t="shared" si="5"/>
        <v>171000.69483453908</v>
      </c>
    </row>
    <row r="100" spans="1:3">
      <c r="A100" s="7">
        <f t="shared" si="3"/>
        <v>89</v>
      </c>
      <c r="B100" s="6">
        <f t="shared" si="4"/>
        <v>171000.69483453908</v>
      </c>
      <c r="C100" s="6">
        <f t="shared" si="5"/>
        <v>171000.69483453908</v>
      </c>
    </row>
    <row r="101" spans="1:3">
      <c r="A101" s="7">
        <f t="shared" si="3"/>
        <v>90</v>
      </c>
      <c r="B101" s="6">
        <f t="shared" si="4"/>
        <v>171000.69483453908</v>
      </c>
      <c r="C101" s="6">
        <f t="shared" si="5"/>
        <v>171000.69483453908</v>
      </c>
    </row>
    <row r="102" spans="1:3">
      <c r="A102" s="7">
        <f t="shared" si="3"/>
        <v>91</v>
      </c>
      <c r="B102" s="6">
        <f t="shared" si="4"/>
        <v>171000.69483453908</v>
      </c>
      <c r="C102" s="6">
        <f t="shared" si="5"/>
        <v>171000.69483453908</v>
      </c>
    </row>
    <row r="103" spans="1:3">
      <c r="A103" s="7">
        <f t="shared" si="3"/>
        <v>92</v>
      </c>
      <c r="B103" s="6">
        <f t="shared" si="4"/>
        <v>171000.69483453908</v>
      </c>
      <c r="C103" s="6">
        <f t="shared" si="5"/>
        <v>171000.69483453908</v>
      </c>
    </row>
    <row r="104" spans="1:3">
      <c r="A104" s="7">
        <f t="shared" si="3"/>
        <v>93</v>
      </c>
      <c r="B104" s="6">
        <f t="shared" si="4"/>
        <v>171000.69483453908</v>
      </c>
      <c r="C104" s="6">
        <f t="shared" si="5"/>
        <v>171000.69483453908</v>
      </c>
    </row>
    <row r="105" spans="1:3">
      <c r="A105" s="7">
        <f t="shared" si="3"/>
        <v>94</v>
      </c>
      <c r="B105" s="6">
        <f t="shared" si="4"/>
        <v>171000.69483453908</v>
      </c>
      <c r="C105" s="6">
        <f t="shared" si="5"/>
        <v>171000.69483453908</v>
      </c>
    </row>
    <row r="106" spans="1:3">
      <c r="A106" s="7">
        <f t="shared" si="3"/>
        <v>95</v>
      </c>
      <c r="B106" s="6">
        <f t="shared" si="4"/>
        <v>171000.69483453908</v>
      </c>
      <c r="C106" s="6">
        <f t="shared" si="5"/>
        <v>171000.69483453908</v>
      </c>
    </row>
    <row r="107" spans="1:3">
      <c r="A107" s="7">
        <f t="shared" si="3"/>
        <v>96</v>
      </c>
      <c r="B107" s="6">
        <f t="shared" si="4"/>
        <v>171000.69483453908</v>
      </c>
      <c r="C107" s="6">
        <f t="shared" si="5"/>
        <v>171000.69483453908</v>
      </c>
    </row>
    <row r="108" spans="1:3">
      <c r="A108" s="7">
        <f t="shared" si="3"/>
        <v>97</v>
      </c>
      <c r="B108" s="6">
        <f t="shared" si="4"/>
        <v>171000.69483453908</v>
      </c>
      <c r="C108" s="6">
        <f t="shared" si="5"/>
        <v>171000.69483453908</v>
      </c>
    </row>
    <row r="109" spans="1:3">
      <c r="A109" s="7">
        <f t="shared" si="3"/>
        <v>98</v>
      </c>
      <c r="B109" s="6">
        <f t="shared" si="4"/>
        <v>171000.69483453908</v>
      </c>
      <c r="C109" s="6">
        <f t="shared" si="5"/>
        <v>171000.69483453908</v>
      </c>
    </row>
    <row r="110" spans="1:3">
      <c r="A110" s="7">
        <f t="shared" si="3"/>
        <v>99</v>
      </c>
      <c r="B110" s="6">
        <f t="shared" si="4"/>
        <v>171000.69483453908</v>
      </c>
      <c r="C110" s="6">
        <f t="shared" si="5"/>
        <v>171000.69483453908</v>
      </c>
    </row>
    <row r="111" spans="1:3">
      <c r="A111" s="7">
        <f t="shared" si="3"/>
        <v>100</v>
      </c>
      <c r="B111" s="6">
        <f t="shared" si="4"/>
        <v>171000.69483453908</v>
      </c>
      <c r="C111" s="6">
        <f t="shared" si="5"/>
        <v>171000.69483453908</v>
      </c>
    </row>
    <row r="112" spans="1:3">
      <c r="A112" s="7">
        <f t="shared" si="3"/>
        <v>101</v>
      </c>
      <c r="B112" s="6">
        <f t="shared" si="4"/>
        <v>171000.69483453908</v>
      </c>
      <c r="C112" s="6">
        <f t="shared" si="5"/>
        <v>171000.69483453908</v>
      </c>
    </row>
    <row r="113" spans="1:3">
      <c r="A113" s="7">
        <f t="shared" si="3"/>
        <v>102</v>
      </c>
      <c r="B113" s="6">
        <f t="shared" si="4"/>
        <v>171000.69483453908</v>
      </c>
      <c r="C113" s="6">
        <f t="shared" si="5"/>
        <v>171000.69483453908</v>
      </c>
    </row>
    <row r="114" spans="1:3">
      <c r="A114" s="7">
        <f t="shared" si="3"/>
        <v>103</v>
      </c>
      <c r="B114" s="6">
        <f t="shared" si="4"/>
        <v>171000.69483453908</v>
      </c>
      <c r="C114" s="6">
        <f t="shared" si="5"/>
        <v>171000.69483453908</v>
      </c>
    </row>
    <row r="115" spans="1:3">
      <c r="A115" s="7">
        <f t="shared" si="3"/>
        <v>104</v>
      </c>
      <c r="B115" s="6">
        <f t="shared" si="4"/>
        <v>171000.69483453908</v>
      </c>
      <c r="C115" s="6">
        <f t="shared" si="5"/>
        <v>171000.69483453908</v>
      </c>
    </row>
    <row r="116" spans="1:3">
      <c r="A116" s="7">
        <f t="shared" si="3"/>
        <v>105</v>
      </c>
      <c r="B116" s="6">
        <f t="shared" si="4"/>
        <v>171000.69483453908</v>
      </c>
      <c r="C116" s="6">
        <f t="shared" si="5"/>
        <v>171000.69483453908</v>
      </c>
    </row>
    <row r="117" spans="1:3">
      <c r="A117" s="7">
        <f t="shared" si="3"/>
        <v>106</v>
      </c>
      <c r="B117" s="6">
        <f t="shared" si="4"/>
        <v>171000.69483453908</v>
      </c>
      <c r="C117" s="6">
        <f t="shared" si="5"/>
        <v>171000.69483453908</v>
      </c>
    </row>
    <row r="118" spans="1:3">
      <c r="A118" s="7">
        <f t="shared" si="3"/>
        <v>107</v>
      </c>
      <c r="B118" s="6">
        <f t="shared" si="4"/>
        <v>171000.69483453908</v>
      </c>
      <c r="C118" s="6">
        <f t="shared" si="5"/>
        <v>171000.69483453908</v>
      </c>
    </row>
    <row r="119" spans="1:3">
      <c r="A119" s="7">
        <f t="shared" si="3"/>
        <v>108</v>
      </c>
      <c r="B119" s="6">
        <f t="shared" si="4"/>
        <v>171000.69483453908</v>
      </c>
      <c r="C119" s="6">
        <f t="shared" si="5"/>
        <v>171000.69483453908</v>
      </c>
    </row>
    <row r="120" spans="1:3">
      <c r="A120" s="7">
        <f t="shared" si="3"/>
        <v>109</v>
      </c>
      <c r="B120" s="6">
        <f t="shared" si="4"/>
        <v>171000.69483453908</v>
      </c>
      <c r="C120" s="6">
        <f t="shared" si="5"/>
        <v>171000.69483453908</v>
      </c>
    </row>
    <row r="121" spans="1:3">
      <c r="A121" s="7">
        <f t="shared" si="3"/>
        <v>110</v>
      </c>
      <c r="B121" s="6">
        <f t="shared" si="4"/>
        <v>171000.69483453908</v>
      </c>
      <c r="C121" s="6">
        <f t="shared" si="5"/>
        <v>171000.69483453908</v>
      </c>
    </row>
    <row r="122" spans="1:3">
      <c r="A122" s="7">
        <f t="shared" si="3"/>
        <v>111</v>
      </c>
      <c r="B122" s="6">
        <f t="shared" si="4"/>
        <v>171000.69483453908</v>
      </c>
      <c r="C122" s="6">
        <f t="shared" si="5"/>
        <v>171000.69483453908</v>
      </c>
    </row>
    <row r="123" spans="1:3">
      <c r="A123" s="7">
        <f t="shared" si="3"/>
        <v>112</v>
      </c>
      <c r="B123" s="6">
        <f t="shared" si="4"/>
        <v>171000.69483453908</v>
      </c>
      <c r="C123" s="6">
        <f t="shared" si="5"/>
        <v>171000.69483453908</v>
      </c>
    </row>
    <row r="124" spans="1:3">
      <c r="A124" s="7">
        <f t="shared" si="3"/>
        <v>113</v>
      </c>
      <c r="B124" s="6">
        <f t="shared" si="4"/>
        <v>171000.69483453908</v>
      </c>
      <c r="C124" s="6">
        <f t="shared" si="5"/>
        <v>171000.69483453908</v>
      </c>
    </row>
    <row r="125" spans="1:3">
      <c r="A125" s="7">
        <f t="shared" si="3"/>
        <v>114</v>
      </c>
      <c r="B125" s="6">
        <f t="shared" si="4"/>
        <v>171000.69483453908</v>
      </c>
      <c r="C125" s="6">
        <f t="shared" si="5"/>
        <v>171000.69483453908</v>
      </c>
    </row>
    <row r="126" spans="1:3">
      <c r="A126" s="7">
        <f t="shared" si="3"/>
        <v>115</v>
      </c>
      <c r="B126" s="6">
        <f t="shared" si="4"/>
        <v>171000.69483453908</v>
      </c>
      <c r="C126" s="6">
        <f t="shared" si="5"/>
        <v>171000.69483453908</v>
      </c>
    </row>
    <row r="127" spans="1:3">
      <c r="A127" s="7">
        <f t="shared" si="3"/>
        <v>116</v>
      </c>
      <c r="B127" s="6">
        <f t="shared" si="4"/>
        <v>171000.69483453908</v>
      </c>
      <c r="C127" s="6">
        <f t="shared" si="5"/>
        <v>171000.69483453908</v>
      </c>
    </row>
    <row r="128" spans="1:3">
      <c r="A128" s="7">
        <f t="shared" si="3"/>
        <v>117</v>
      </c>
      <c r="B128" s="6">
        <f t="shared" si="4"/>
        <v>171000.69483453908</v>
      </c>
      <c r="C128" s="6">
        <f t="shared" si="5"/>
        <v>171000.69483453908</v>
      </c>
    </row>
    <row r="129" spans="1:3">
      <c r="A129" s="7">
        <f t="shared" si="3"/>
        <v>118</v>
      </c>
      <c r="B129" s="6">
        <f t="shared" si="4"/>
        <v>171000.69483453908</v>
      </c>
      <c r="C129" s="6">
        <f t="shared" si="5"/>
        <v>171000.69483453908</v>
      </c>
    </row>
    <row r="130" spans="1:3">
      <c r="A130" s="7">
        <f t="shared" si="3"/>
        <v>119</v>
      </c>
      <c r="B130" s="6">
        <f t="shared" si="4"/>
        <v>171000.69483453908</v>
      </c>
      <c r="C130" s="6">
        <f t="shared" si="5"/>
        <v>171000.69483453908</v>
      </c>
    </row>
    <row r="131" spans="1:3">
      <c r="A131" s="7">
        <f t="shared" si="3"/>
        <v>120</v>
      </c>
      <c r="B131" s="6">
        <f t="shared" si="4"/>
        <v>171000.69483453908</v>
      </c>
      <c r="C131" s="6">
        <f t="shared" si="5"/>
        <v>171000.69483453908</v>
      </c>
    </row>
    <row r="132" spans="1:3">
      <c r="A132" s="7" t="str">
        <f t="shared" si="3"/>
        <v xml:space="preserve"> </v>
      </c>
      <c r="B132" s="6" t="str">
        <f t="shared" si="4"/>
        <v xml:space="preserve"> </v>
      </c>
      <c r="C132" s="6" t="str">
        <f t="shared" si="5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865-5C16-4C76-BC6B-21BC7364AB1F}">
  <dimension ref="A1:AQ118"/>
  <sheetViews>
    <sheetView topLeftCell="O1" zoomScale="90" zoomScaleNormal="90" workbookViewId="0">
      <pane ySplit="3" topLeftCell="AB7" activePane="bottomLeft" state="frozen"/>
      <selection pane="bottomLeft" activeCell="AO21" sqref="AO21"/>
    </sheetView>
  </sheetViews>
  <sheetFormatPr defaultColWidth="11.42578125" defaultRowHeight="15" customHeight="1"/>
  <cols>
    <col min="1" max="1" width="11.42578125" customWidth="1"/>
    <col min="2" max="2" width="14.140625" bestFit="1" customWidth="1"/>
    <col min="3" max="5" width="12.140625" bestFit="1" customWidth="1"/>
    <col min="6" max="6" width="13.7109375" bestFit="1" customWidth="1"/>
    <col min="7" max="7" width="12.140625" bestFit="1" customWidth="1"/>
    <col min="8" max="8" width="10.42578125" bestFit="1" customWidth="1"/>
    <col min="9" max="9" width="9.7109375" bestFit="1" customWidth="1"/>
    <col min="10" max="10" width="12.140625" bestFit="1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3.7109375" bestFit="1" customWidth="1"/>
    <col min="16" max="16" width="19" customWidth="1"/>
    <col min="17" max="17" width="15.7109375" customWidth="1"/>
    <col min="18" max="18" width="15.85546875" bestFit="1" customWidth="1"/>
    <col min="19" max="19" width="16.28515625" bestFit="1" customWidth="1"/>
    <col min="20" max="21" width="16.28515625" customWidth="1"/>
    <col min="22" max="22" width="14.5703125" bestFit="1" customWidth="1"/>
    <col min="23" max="23" width="17.140625" bestFit="1" customWidth="1"/>
    <col min="24" max="24" width="17.140625" customWidth="1"/>
    <col min="25" max="26" width="16" customWidth="1"/>
    <col min="27" max="27" width="17.42578125" customWidth="1"/>
    <col min="28" max="28" width="16.140625" customWidth="1"/>
    <col min="29" max="29" width="16.85546875" customWidth="1"/>
    <col min="30" max="30" width="16" customWidth="1"/>
    <col min="31" max="31" width="13.140625" bestFit="1" customWidth="1"/>
    <col min="32" max="32" width="17.42578125" bestFit="1" customWidth="1"/>
    <col min="33" max="33" width="12.7109375" bestFit="1" customWidth="1"/>
    <col min="34" max="43" width="13.7109375" bestFit="1" customWidth="1"/>
  </cols>
  <sheetData>
    <row r="1" spans="1:43" thickBot="1">
      <c r="A1" s="10" t="s">
        <v>16</v>
      </c>
      <c r="B1" s="13">
        <v>403648000</v>
      </c>
      <c r="C1" s="10" t="s">
        <v>17</v>
      </c>
      <c r="D1" s="12">
        <v>9.2109999999999997E-2</v>
      </c>
      <c r="E1" s="10" t="s">
        <v>18</v>
      </c>
      <c r="F1" s="15">
        <f>((D1+D2)/12)</f>
        <v>1.3759166666666664E-2</v>
      </c>
      <c r="H1" s="20" t="s">
        <v>19</v>
      </c>
      <c r="J1" s="51">
        <v>45608</v>
      </c>
      <c r="P1" s="52"/>
      <c r="Q1" s="52"/>
    </row>
    <row r="2" spans="1:43" thickBot="1">
      <c r="A2" s="10" t="s">
        <v>20</v>
      </c>
      <c r="B2" s="14">
        <v>60</v>
      </c>
      <c r="C2" s="10" t="s">
        <v>21</v>
      </c>
      <c r="D2" s="12">
        <v>7.2999999999999995E-2</v>
      </c>
      <c r="E2" s="10" t="s">
        <v>22</v>
      </c>
      <c r="F2" s="16">
        <f>+PMT(F1,B2,-B1,0)</f>
        <v>9925866.2689407133</v>
      </c>
      <c r="G2" s="16"/>
      <c r="J2" s="38">
        <v>135</v>
      </c>
      <c r="Q2" s="142" t="s">
        <v>23</v>
      </c>
      <c r="R2" s="143"/>
      <c r="S2" s="143"/>
      <c r="T2" s="143"/>
      <c r="U2" s="143"/>
      <c r="V2" s="143"/>
      <c r="W2" s="143"/>
      <c r="X2" s="144"/>
    </row>
    <row r="3" spans="1:43" ht="27" thickBot="1">
      <c r="B3" s="40" t="s">
        <v>24</v>
      </c>
      <c r="C3" s="40" t="s">
        <v>25</v>
      </c>
      <c r="D3" s="40" t="s">
        <v>26</v>
      </c>
      <c r="E3" s="40" t="s">
        <v>13</v>
      </c>
      <c r="F3" s="40" t="s">
        <v>27</v>
      </c>
      <c r="G3" s="9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7" t="s">
        <v>35</v>
      </c>
      <c r="Q3" s="134" t="s">
        <v>36</v>
      </c>
      <c r="R3" s="135" t="s">
        <v>37</v>
      </c>
      <c r="S3" s="136" t="s">
        <v>38</v>
      </c>
      <c r="T3" s="136" t="s">
        <v>39</v>
      </c>
      <c r="U3" s="136" t="s">
        <v>40</v>
      </c>
      <c r="V3" s="137" t="s">
        <v>41</v>
      </c>
      <c r="W3" s="135" t="s">
        <v>42</v>
      </c>
      <c r="X3" s="138" t="s">
        <v>43</v>
      </c>
    </row>
    <row r="4" spans="1:43" ht="14.45">
      <c r="A4" s="69">
        <f>+TasaImplicita!A12</f>
        <v>1</v>
      </c>
      <c r="B4" s="62">
        <f>+B1</f>
        <v>403648000</v>
      </c>
      <c r="C4" s="62">
        <f>+B4*F1</f>
        <v>5553860.1066666655</v>
      </c>
      <c r="D4" s="62">
        <f t="shared" ref="D4:D8" si="0">+S4</f>
        <v>4187647</v>
      </c>
      <c r="E4" s="62">
        <f>+F2</f>
        <v>9925866.2689407133</v>
      </c>
      <c r="F4" s="62">
        <f>+B4-D4</f>
        <v>399460353</v>
      </c>
      <c r="G4" s="68">
        <v>8.8999999999999996E-2</v>
      </c>
      <c r="H4" s="68">
        <f>+D2</f>
        <v>7.2999999999999995E-2</v>
      </c>
      <c r="I4" s="8">
        <f>((G4+H4)/12)</f>
        <v>1.3499999999999998E-2</v>
      </c>
      <c r="J4" s="2">
        <f>PMT(I4,K4,-F4,0)</f>
        <v>9864362.7118814066</v>
      </c>
      <c r="K4" s="7">
        <f>+$B$2-A4</f>
        <v>59</v>
      </c>
      <c r="L4" s="5">
        <v>12</v>
      </c>
      <c r="M4" s="5">
        <v>12</v>
      </c>
      <c r="N4" s="5">
        <v>2024</v>
      </c>
      <c r="O4" s="53">
        <f>+C4/30</f>
        <v>185128.67022222219</v>
      </c>
      <c r="P4" s="33">
        <f t="shared" ref="P4:P11" si="1">+O4*18</f>
        <v>3332316.0639999993</v>
      </c>
      <c r="Q4" s="113">
        <v>45636</v>
      </c>
      <c r="R4" s="119">
        <v>5183603</v>
      </c>
      <c r="S4" s="119">
        <v>4187647</v>
      </c>
      <c r="T4" s="119"/>
      <c r="U4" s="120">
        <v>9371250</v>
      </c>
      <c r="V4" s="121">
        <f>+R4+S4</f>
        <v>9371250</v>
      </c>
      <c r="W4" s="121">
        <f>+B1-S4</f>
        <v>399460353</v>
      </c>
      <c r="X4" s="119"/>
      <c r="Y4" s="5"/>
      <c r="AA4" s="4">
        <f>+R4+AA5</f>
        <v>5550019</v>
      </c>
      <c r="AI4" s="38"/>
      <c r="AK4" s="22"/>
    </row>
    <row r="5" spans="1:43" ht="14.45">
      <c r="A5" s="69">
        <f>IF(AND(A4&lt;$B$2)*(A4&lt;&gt;0),1+A4," ")</f>
        <v>2</v>
      </c>
      <c r="B5" s="62">
        <f>IF(A5=" "," ",+F4)</f>
        <v>399460353</v>
      </c>
      <c r="C5" s="62">
        <f>IF(A5=" "," ",+B5*I4)</f>
        <v>5392714.7654999988</v>
      </c>
      <c r="D5" s="62">
        <f t="shared" si="0"/>
        <v>3729175</v>
      </c>
      <c r="E5" s="62">
        <f>IF(A5=" "," ",+J4)</f>
        <v>9864362.7118814066</v>
      </c>
      <c r="F5" s="62">
        <f>IF(A5=" "," ",+B5-D5)</f>
        <v>395731178</v>
      </c>
      <c r="G5" s="68">
        <v>8.9249999999999996E-2</v>
      </c>
      <c r="H5" s="68">
        <f>IF(A5=" "," ",+H4)</f>
        <v>7.2999999999999995E-2</v>
      </c>
      <c r="I5" s="8">
        <f>IF(A5=" "," ",((G5+H5)/12))</f>
        <v>1.3520833333333334E-2</v>
      </c>
      <c r="J5" s="2">
        <f>IF(A5=" "," ",PMT(I5,K5,-F5,0))</f>
        <v>9888142.9350044783</v>
      </c>
      <c r="K5" s="7">
        <f>IF(A2=" "," ",+$B$2-A5)</f>
        <v>58</v>
      </c>
      <c r="L5">
        <f>IF(A5&lt;&gt;" ",+L4," ")</f>
        <v>12</v>
      </c>
      <c r="M5">
        <f>IF(AND(A5&lt;&gt;" ")*(M4=12),1,1+M4)</f>
        <v>1</v>
      </c>
      <c r="N5">
        <f>IF(AND(A5&lt;&gt;" ")*(M5=1),1+N4,N4)</f>
        <v>2025</v>
      </c>
      <c r="O5" s="21">
        <f>5421503/30</f>
        <v>180716.76666666666</v>
      </c>
      <c r="P5" s="33">
        <f t="shared" si="1"/>
        <v>3252901.8</v>
      </c>
      <c r="Q5" s="63">
        <v>45673</v>
      </c>
      <c r="R5" s="122">
        <v>5756590</v>
      </c>
      <c r="S5" s="122">
        <v>3729175</v>
      </c>
      <c r="T5" s="123">
        <v>14045</v>
      </c>
      <c r="U5" s="124">
        <v>383211</v>
      </c>
      <c r="V5" s="125">
        <f t="shared" ref="V5:V19" si="2">+R5+S5+T5-U5</f>
        <v>9116599</v>
      </c>
      <c r="W5" s="125">
        <f>+W4-S5</f>
        <v>395731178</v>
      </c>
      <c r="X5" s="122"/>
      <c r="Y5" s="5"/>
      <c r="AA5" s="4">
        <v>366416</v>
      </c>
      <c r="AB5" s="4"/>
    </row>
    <row r="6" spans="1:43" ht="14.45">
      <c r="A6" s="69">
        <f t="shared" ref="A6:A39" si="3">IF(AND(A5&lt;$B$2)*(A5&lt;&gt;0),1+A5," ")</f>
        <v>3</v>
      </c>
      <c r="B6" s="62">
        <f t="shared" ref="B6:B39" si="4">IF(A6=" "," ",+F5)</f>
        <v>395731178</v>
      </c>
      <c r="C6" s="62">
        <f t="shared" ref="C6:C38" si="5">IF(A6=" "," ",+B6*I5)</f>
        <v>5350615.3025416667</v>
      </c>
      <c r="D6" s="62">
        <f t="shared" si="0"/>
        <v>5449482</v>
      </c>
      <c r="E6" s="62">
        <f t="shared" ref="E6:E38" si="6">IF(A6=" "," ",+J5)</f>
        <v>9888142.9350044783</v>
      </c>
      <c r="F6" s="62">
        <f t="shared" ref="F6:F38" si="7">IF(A6=" "," ",+B6-D6)</f>
        <v>390281696</v>
      </c>
      <c r="G6" s="68">
        <v>8.9810000000000001E-2</v>
      </c>
      <c r="H6" s="68">
        <f t="shared" ref="H6:H38" si="8">IF(A6=" "," ",+H5)</f>
        <v>7.2999999999999995E-2</v>
      </c>
      <c r="I6" s="8">
        <f t="shared" ref="I6:I39" si="9">IF(A6=" "," ",((G6+H6)/12))</f>
        <v>1.3567500000000001E-2</v>
      </c>
      <c r="J6" s="2">
        <f>IF(A6=" "," ",PMT(I6,K6,-F6,0))</f>
        <v>9876632.7175131533</v>
      </c>
      <c r="K6" s="7">
        <f t="shared" ref="K6:K38" si="10">IF(A3=" "," ",+$B$2-A6)</f>
        <v>57</v>
      </c>
      <c r="L6">
        <f t="shared" ref="L6:L38" si="11">IF(A6&lt;&gt;" ",+L5," ")</f>
        <v>12</v>
      </c>
      <c r="M6">
        <f t="shared" ref="M6:M38" si="12">IF(AND(A6&lt;&gt;" ")*(M5=12),1,1+M5)</f>
        <v>2</v>
      </c>
      <c r="N6">
        <f t="shared" ref="N6:N38" si="13">IF(AND(A6&lt;&gt;" ")*(M6=1),1+N5,N5)</f>
        <v>2025</v>
      </c>
      <c r="O6" s="21">
        <f>5338060/30</f>
        <v>177935.33333333334</v>
      </c>
      <c r="P6" s="33">
        <f t="shared" si="1"/>
        <v>3202836</v>
      </c>
      <c r="Q6" s="63">
        <v>45702</v>
      </c>
      <c r="R6" s="122">
        <v>5338060</v>
      </c>
      <c r="S6" s="122">
        <v>5449482</v>
      </c>
      <c r="T6" s="123">
        <v>21983</v>
      </c>
      <c r="U6" s="124">
        <v>373808</v>
      </c>
      <c r="V6" s="125">
        <f t="shared" si="2"/>
        <v>10435717</v>
      </c>
      <c r="W6" s="125">
        <f t="shared" ref="W6:W19" si="14">+W5-S6</f>
        <v>390281696</v>
      </c>
      <c r="X6" s="122"/>
      <c r="Y6" s="5"/>
      <c r="AA6" s="22"/>
      <c r="AB6" s="22"/>
      <c r="AC6" s="22"/>
      <c r="AD6" s="22"/>
      <c r="AE6" s="22"/>
      <c r="AF6" s="71" t="s">
        <v>44</v>
      </c>
      <c r="AG6" s="22"/>
      <c r="AH6" s="22"/>
      <c r="AI6" s="22"/>
      <c r="AJ6" s="22"/>
      <c r="AK6" s="22"/>
      <c r="AL6" s="22"/>
    </row>
    <row r="7" spans="1:43" ht="14.45">
      <c r="A7" s="69">
        <f t="shared" si="3"/>
        <v>4</v>
      </c>
      <c r="B7" s="62">
        <f t="shared" si="4"/>
        <v>390281696</v>
      </c>
      <c r="C7" s="62">
        <f>IF(A7=" "," ",+B7*I6)</f>
        <v>5295146.910480001</v>
      </c>
      <c r="D7" s="62">
        <f t="shared" si="0"/>
        <v>4549208</v>
      </c>
      <c r="E7" s="62">
        <f t="shared" si="6"/>
        <v>9876632.7175131533</v>
      </c>
      <c r="F7" s="62">
        <f t="shared" si="7"/>
        <v>385732488</v>
      </c>
      <c r="G7" s="68">
        <v>8.9499999999999996E-2</v>
      </c>
      <c r="H7" s="68">
        <f t="shared" si="8"/>
        <v>7.2999999999999995E-2</v>
      </c>
      <c r="I7" s="8">
        <f t="shared" si="9"/>
        <v>1.3541666666666665E-2</v>
      </c>
      <c r="J7" s="2">
        <f t="shared" ref="J7:J38" si="15">IF(A7=" "," ",PMT(I7,K7,-F7,0))</f>
        <v>9871163.4695312493</v>
      </c>
      <c r="K7" s="7">
        <f t="shared" si="10"/>
        <v>56</v>
      </c>
      <c r="L7">
        <f t="shared" si="11"/>
        <v>12</v>
      </c>
      <c r="M7">
        <f t="shared" si="12"/>
        <v>3</v>
      </c>
      <c r="N7">
        <f t="shared" si="13"/>
        <v>2025</v>
      </c>
      <c r="O7" s="21">
        <f>5295066/30</f>
        <v>176502.2</v>
      </c>
      <c r="P7" s="33">
        <f t="shared" si="1"/>
        <v>3177039.6</v>
      </c>
      <c r="Q7" s="63">
        <v>45730</v>
      </c>
      <c r="R7" s="122">
        <v>5295066</v>
      </c>
      <c r="S7" s="122">
        <v>4549208</v>
      </c>
      <c r="T7" s="123">
        <v>5363</v>
      </c>
      <c r="U7" s="124"/>
      <c r="V7" s="125">
        <f t="shared" si="2"/>
        <v>9849637</v>
      </c>
      <c r="W7" s="125">
        <f t="shared" si="14"/>
        <v>385732488</v>
      </c>
      <c r="X7" s="122"/>
      <c r="Y7" s="5"/>
      <c r="AA7" s="22">
        <f>+O4*12</f>
        <v>2221544.0426666662</v>
      </c>
      <c r="AB7" s="22">
        <f>+AB10/12</f>
        <v>178106.01666666669</v>
      </c>
      <c r="AC7" s="22">
        <f>+O6*12</f>
        <v>2135224</v>
      </c>
      <c r="AD7" s="22">
        <f>+O7*12</f>
        <v>2118026.4000000004</v>
      </c>
      <c r="AE7" s="22"/>
      <c r="AF7" s="71">
        <v>-71290</v>
      </c>
      <c r="AG7" t="s">
        <v>45</v>
      </c>
      <c r="AH7" s="21">
        <v>344018</v>
      </c>
      <c r="AI7" s="22"/>
      <c r="AJ7" s="22"/>
      <c r="AK7" s="22"/>
      <c r="AL7" s="22"/>
    </row>
    <row r="8" spans="1:43" ht="14.45">
      <c r="A8" s="69">
        <f t="shared" si="3"/>
        <v>5</v>
      </c>
      <c r="B8" s="62">
        <f t="shared" si="4"/>
        <v>385732488</v>
      </c>
      <c r="C8" s="62">
        <f t="shared" si="5"/>
        <v>5223460.7749999994</v>
      </c>
      <c r="D8" s="62">
        <f t="shared" si="0"/>
        <v>4685416</v>
      </c>
      <c r="E8" s="62">
        <f t="shared" si="6"/>
        <v>9871163.4695312493</v>
      </c>
      <c r="F8" s="62">
        <f t="shared" si="7"/>
        <v>381047072</v>
      </c>
      <c r="G8" s="68">
        <v>8.9510000000000006E-2</v>
      </c>
      <c r="H8" s="68">
        <f t="shared" si="8"/>
        <v>7.2999999999999995E-2</v>
      </c>
      <c r="I8" s="87">
        <f t="shared" si="9"/>
        <v>1.3542499999999999E-2</v>
      </c>
      <c r="J8" s="46">
        <f t="shared" si="15"/>
        <v>9870386.5579862129</v>
      </c>
      <c r="K8" s="88">
        <f t="shared" si="10"/>
        <v>55</v>
      </c>
      <c r="L8">
        <f t="shared" si="11"/>
        <v>12</v>
      </c>
      <c r="M8">
        <f t="shared" si="12"/>
        <v>4</v>
      </c>
      <c r="N8">
        <f t="shared" si="13"/>
        <v>2025</v>
      </c>
      <c r="O8" s="21">
        <f>+R8/30</f>
        <v>175689.36666666667</v>
      </c>
      <c r="P8" s="33">
        <f t="shared" si="1"/>
        <v>3162408.6</v>
      </c>
      <c r="Q8" s="63">
        <v>45761</v>
      </c>
      <c r="R8" s="122">
        <v>5270681</v>
      </c>
      <c r="S8" s="122">
        <v>4685416</v>
      </c>
      <c r="T8" s="123">
        <v>6190</v>
      </c>
      <c r="U8" s="126">
        <v>739486</v>
      </c>
      <c r="V8" s="125">
        <f t="shared" si="2"/>
        <v>9222801</v>
      </c>
      <c r="W8" s="125">
        <f t="shared" si="14"/>
        <v>381047072</v>
      </c>
      <c r="X8" s="122"/>
      <c r="Y8" s="5"/>
      <c r="AA8" s="22">
        <f>+O5*18</f>
        <v>3252901.8</v>
      </c>
      <c r="AB8" s="22">
        <f>+O6*18</f>
        <v>3202836</v>
      </c>
      <c r="AC8" s="22">
        <f>+O7*18</f>
        <v>3177039.6</v>
      </c>
      <c r="AD8" s="22">
        <f>+O8*18</f>
        <v>3162408.6</v>
      </c>
      <c r="AE8" s="22"/>
      <c r="AF8" s="70"/>
      <c r="AG8" s="22"/>
      <c r="AH8" s="22"/>
      <c r="AI8" s="22"/>
      <c r="AJ8" s="22"/>
      <c r="AK8" s="22"/>
      <c r="AL8" s="22"/>
    </row>
    <row r="9" spans="1:43">
      <c r="A9" s="69">
        <f t="shared" si="3"/>
        <v>6</v>
      </c>
      <c r="B9" s="62">
        <f t="shared" si="4"/>
        <v>381047072</v>
      </c>
      <c r="C9" s="62">
        <f>IF(A9=" "," ",+B9*I8)</f>
        <v>5160329.9725599997</v>
      </c>
      <c r="D9" s="62">
        <f>+S9+287248</f>
        <v>4710057</v>
      </c>
      <c r="E9" s="62">
        <f t="shared" si="6"/>
        <v>9870386.5579862129</v>
      </c>
      <c r="F9" s="62">
        <f t="shared" si="7"/>
        <v>376337015</v>
      </c>
      <c r="G9" s="68">
        <v>8.7590000000000001E-2</v>
      </c>
      <c r="H9" s="68">
        <f t="shared" si="8"/>
        <v>7.2999999999999995E-2</v>
      </c>
      <c r="I9" s="90">
        <f t="shared" si="9"/>
        <v>1.33825E-2</v>
      </c>
      <c r="J9" s="89">
        <f t="shared" si="15"/>
        <v>9832624.7014203407</v>
      </c>
      <c r="K9" s="100">
        <f t="shared" si="10"/>
        <v>54</v>
      </c>
      <c r="L9">
        <v>12</v>
      </c>
      <c r="M9">
        <f t="shared" si="12"/>
        <v>5</v>
      </c>
      <c r="N9">
        <f t="shared" si="13"/>
        <v>2025</v>
      </c>
      <c r="O9" s="101">
        <f>+C9/30</f>
        <v>172010.99908533331</v>
      </c>
      <c r="P9" s="33">
        <f t="shared" si="1"/>
        <v>3096197.9835359994</v>
      </c>
      <c r="Q9" s="63">
        <v>45811</v>
      </c>
      <c r="R9" s="122">
        <v>5112593</v>
      </c>
      <c r="S9" s="122">
        <v>4422809</v>
      </c>
      <c r="T9" s="127">
        <v>59183</v>
      </c>
      <c r="U9" s="124">
        <v>367967</v>
      </c>
      <c r="V9" s="125">
        <f t="shared" si="2"/>
        <v>9226618</v>
      </c>
      <c r="W9" s="125">
        <f t="shared" si="14"/>
        <v>376624263</v>
      </c>
      <c r="X9" s="122"/>
      <c r="Y9" s="53"/>
      <c r="Z9" s="43">
        <v>45597</v>
      </c>
      <c r="AA9" s="43">
        <v>45627</v>
      </c>
      <c r="AB9" s="43">
        <v>45658</v>
      </c>
      <c r="AC9" s="43">
        <v>45689</v>
      </c>
      <c r="AD9" s="43">
        <v>45717</v>
      </c>
      <c r="AE9" s="43">
        <v>45748</v>
      </c>
      <c r="AF9" s="43">
        <v>45778</v>
      </c>
      <c r="AG9" s="43">
        <v>45809</v>
      </c>
      <c r="AH9" s="43">
        <v>45839</v>
      </c>
      <c r="AI9" s="43">
        <v>45870</v>
      </c>
      <c r="AJ9" s="43">
        <v>45901</v>
      </c>
      <c r="AK9" s="43">
        <v>45931</v>
      </c>
      <c r="AL9" s="43">
        <v>45962</v>
      </c>
      <c r="AM9" s="43">
        <v>45992</v>
      </c>
      <c r="AN9" s="43">
        <v>46023</v>
      </c>
      <c r="AO9" s="43">
        <v>46054</v>
      </c>
      <c r="AP9" s="43">
        <v>46082</v>
      </c>
      <c r="AQ9" s="43">
        <v>46113</v>
      </c>
    </row>
    <row r="10" spans="1:43">
      <c r="A10" s="69">
        <f t="shared" si="3"/>
        <v>7</v>
      </c>
      <c r="B10" s="62">
        <f>IF(A10=" "," ",+F9)</f>
        <v>376337015</v>
      </c>
      <c r="C10" s="62">
        <f>IF(A10=" "," ",+B10*I9)</f>
        <v>5036330.1032375004</v>
      </c>
      <c r="D10" s="62">
        <f>4572550+223745</f>
        <v>4796295</v>
      </c>
      <c r="E10" s="62">
        <f t="shared" si="6"/>
        <v>9832624.7014203407</v>
      </c>
      <c r="F10" s="62">
        <f t="shared" si="7"/>
        <v>371540720</v>
      </c>
      <c r="G10" s="68">
        <v>8.7569999999999995E-2</v>
      </c>
      <c r="H10" s="68">
        <f t="shared" si="8"/>
        <v>7.2999999999999995E-2</v>
      </c>
      <c r="I10" s="90">
        <f t="shared" si="9"/>
        <v>1.3380833333333333E-2</v>
      </c>
      <c r="J10" s="89">
        <f t="shared" si="15"/>
        <v>9832237.9632094074</v>
      </c>
      <c r="K10" s="100">
        <f t="shared" si="10"/>
        <v>53</v>
      </c>
      <c r="L10">
        <f t="shared" si="11"/>
        <v>12</v>
      </c>
      <c r="M10">
        <f t="shared" si="12"/>
        <v>6</v>
      </c>
      <c r="N10">
        <f t="shared" si="13"/>
        <v>2025</v>
      </c>
      <c r="O10" s="101">
        <f>+C10/30</f>
        <v>167877.67010791667</v>
      </c>
      <c r="P10" s="33">
        <f t="shared" si="1"/>
        <v>3021798.0619425001</v>
      </c>
      <c r="Q10" s="63">
        <v>45826</v>
      </c>
      <c r="R10" s="122">
        <v>5332615</v>
      </c>
      <c r="S10" s="122">
        <v>4859798</v>
      </c>
      <c r="T10" s="127">
        <v>19988</v>
      </c>
      <c r="U10" s="122">
        <v>351025</v>
      </c>
      <c r="V10" s="125">
        <f t="shared" si="2"/>
        <v>9861376</v>
      </c>
      <c r="W10" s="125">
        <f t="shared" si="14"/>
        <v>371764465</v>
      </c>
      <c r="X10" s="122"/>
      <c r="Y10" s="5"/>
      <c r="Z10" s="39">
        <f>+P4</f>
        <v>3332316.0639999993</v>
      </c>
      <c r="AA10" s="39">
        <f>+C4-Z10</f>
        <v>2221544.0426666662</v>
      </c>
      <c r="AB10" s="39">
        <f>5390174-AA11</f>
        <v>2137272.2000000002</v>
      </c>
      <c r="AC10" s="39">
        <f>+R6-AB11</f>
        <v>2135224</v>
      </c>
      <c r="AD10" s="39">
        <f>5295066-AC11</f>
        <v>2118026.4</v>
      </c>
      <c r="AE10" s="41">
        <f>+R8-AD11</f>
        <v>2108272.4</v>
      </c>
      <c r="AF10" s="22">
        <f>+C9-AE11+AF7</f>
        <v>1992841.9890240002</v>
      </c>
      <c r="AG10" s="93">
        <f>5036330-AF11+AH7</f>
        <v>2358549.9380574999</v>
      </c>
      <c r="AH10" s="93">
        <f>+O11*11-45445</f>
        <v>1777447.1333333333</v>
      </c>
      <c r="AI10" s="93">
        <f>+O12*11-4426</f>
        <v>1785255.6911111106</v>
      </c>
      <c r="AJ10" s="93">
        <f>+O13*12+5</f>
        <v>1933964.5999999999</v>
      </c>
      <c r="AK10" s="93">
        <f>+O14*12+3838</f>
        <v>1909093.5999999999</v>
      </c>
      <c r="AL10" s="93">
        <f>+O15*12-3841</f>
        <v>1876615.4000000001</v>
      </c>
      <c r="AM10" s="93">
        <f>+O16*12+3</f>
        <v>1852476.2</v>
      </c>
      <c r="AN10" s="93">
        <f>+O17*12</f>
        <v>1834025.6</v>
      </c>
      <c r="AO10" s="93">
        <f>+O18*12+4</f>
        <v>1815866.7999999998</v>
      </c>
      <c r="AP10" s="93">
        <f>+O19*12</f>
        <v>1868861.7343277298</v>
      </c>
      <c r="AQ10" s="93">
        <f>+O20*12+2</f>
        <v>1883843.8201959087</v>
      </c>
    </row>
    <row r="11" spans="1:43" ht="14.45">
      <c r="A11" s="69">
        <f t="shared" si="3"/>
        <v>8</v>
      </c>
      <c r="B11" s="62">
        <f t="shared" si="4"/>
        <v>371540720</v>
      </c>
      <c r="C11" s="62">
        <f t="shared" si="5"/>
        <v>4971524.4508666666</v>
      </c>
      <c r="D11" s="62">
        <v>5469465</v>
      </c>
      <c r="E11" s="62">
        <f t="shared" si="6"/>
        <v>9832237.9632094074</v>
      </c>
      <c r="F11" s="62">
        <f t="shared" si="7"/>
        <v>366071255</v>
      </c>
      <c r="G11" s="102">
        <v>8.6999999999999994E-2</v>
      </c>
      <c r="H11" s="102">
        <f t="shared" si="8"/>
        <v>7.2999999999999995E-2</v>
      </c>
      <c r="I11" s="90">
        <f t="shared" si="9"/>
        <v>1.3333333333333331E-2</v>
      </c>
      <c r="J11" s="89">
        <f t="shared" si="15"/>
        <v>9805092.186566649</v>
      </c>
      <c r="K11" s="100">
        <f t="shared" si="10"/>
        <v>52</v>
      </c>
      <c r="L11">
        <f t="shared" si="11"/>
        <v>12</v>
      </c>
      <c r="M11">
        <f t="shared" si="12"/>
        <v>7</v>
      </c>
      <c r="N11">
        <f t="shared" si="13"/>
        <v>2025</v>
      </c>
      <c r="O11" s="101">
        <f>4971524/30</f>
        <v>165717.46666666667</v>
      </c>
      <c r="P11" s="33">
        <f t="shared" si="1"/>
        <v>2982914.4000000004</v>
      </c>
      <c r="Q11" s="63">
        <v>45849</v>
      </c>
      <c r="R11" s="122">
        <v>4805807</v>
      </c>
      <c r="S11" s="122">
        <v>5693210</v>
      </c>
      <c r="T11" s="127">
        <v>3785</v>
      </c>
      <c r="U11" s="122">
        <v>379284</v>
      </c>
      <c r="V11" s="125">
        <f t="shared" si="2"/>
        <v>10123518</v>
      </c>
      <c r="W11" s="125">
        <f t="shared" si="14"/>
        <v>366071255</v>
      </c>
      <c r="X11" s="122"/>
      <c r="Z11" s="22"/>
      <c r="AA11" s="22">
        <f>+P5</f>
        <v>3252901.8</v>
      </c>
      <c r="AB11" s="22">
        <f>+O6*18</f>
        <v>3202836</v>
      </c>
      <c r="AC11" s="22">
        <f>+P7</f>
        <v>3177039.6</v>
      </c>
      <c r="AD11" s="22">
        <f>+P8</f>
        <v>3162408.6</v>
      </c>
      <c r="AE11" s="22">
        <f>+P9</f>
        <v>3096197.9835359994</v>
      </c>
      <c r="AF11" s="22">
        <f>+P10</f>
        <v>3021798.0619425001</v>
      </c>
      <c r="AG11" s="22">
        <f>+P11</f>
        <v>2982914.4000000004</v>
      </c>
      <c r="AH11" s="22">
        <f>+P12</f>
        <v>3091268.3755555544</v>
      </c>
      <c r="AI11" s="22">
        <f>+P13</f>
        <v>3062102.6999999997</v>
      </c>
      <c r="AJ11" s="22">
        <f>+P14</f>
        <v>2857883.4</v>
      </c>
      <c r="AK11" s="22">
        <f>+P15</f>
        <v>2820684.6</v>
      </c>
      <c r="AL11" s="22">
        <f>+P16</f>
        <v>2778709.8</v>
      </c>
      <c r="AM11" s="22">
        <f>+P17</f>
        <v>2751038.4000000004</v>
      </c>
      <c r="AN11" s="22">
        <f>+P18</f>
        <v>2723794.1999999997</v>
      </c>
      <c r="AO11" s="22">
        <f>+P19</f>
        <v>2803292.6014915947</v>
      </c>
      <c r="AP11" s="22">
        <f>+P20</f>
        <v>2825762.730293863</v>
      </c>
      <c r="AQ11" s="22">
        <f>+P21</f>
        <v>2875169.8898063805</v>
      </c>
    </row>
    <row r="12" spans="1:43" ht="14.45">
      <c r="A12" s="11">
        <f t="shared" si="3"/>
        <v>9</v>
      </c>
      <c r="B12" s="89">
        <f t="shared" si="4"/>
        <v>366071255</v>
      </c>
      <c r="C12" s="89">
        <f>IF(A12=" "," ",+B12*I11)</f>
        <v>4880950.0666666655</v>
      </c>
      <c r="D12" s="89">
        <f>+S12+14352</f>
        <v>4763554</v>
      </c>
      <c r="E12" s="89">
        <f t="shared" si="6"/>
        <v>9805092.186566649</v>
      </c>
      <c r="F12" s="62">
        <f t="shared" si="7"/>
        <v>361307701</v>
      </c>
      <c r="G12" s="102">
        <v>8.7580000000000005E-2</v>
      </c>
      <c r="H12" s="102">
        <f t="shared" si="8"/>
        <v>7.2999999999999995E-2</v>
      </c>
      <c r="I12" s="90">
        <f t="shared" si="9"/>
        <v>1.3381666666666667E-2</v>
      </c>
      <c r="J12" s="89">
        <f t="shared" si="15"/>
        <v>9820287.8708202932</v>
      </c>
      <c r="K12" s="100">
        <f t="shared" si="10"/>
        <v>51</v>
      </c>
      <c r="L12">
        <f t="shared" si="11"/>
        <v>12</v>
      </c>
      <c r="M12">
        <f t="shared" si="12"/>
        <v>8</v>
      </c>
      <c r="N12">
        <f t="shared" si="13"/>
        <v>2025</v>
      </c>
      <c r="O12" s="101">
        <f>+C12/30</f>
        <v>162698.3355555555</v>
      </c>
      <c r="P12" s="33">
        <f>+O12*19</f>
        <v>3091268.3755555544</v>
      </c>
      <c r="Q12" s="85">
        <v>45880</v>
      </c>
      <c r="R12" s="122">
        <v>4880950</v>
      </c>
      <c r="S12" s="122">
        <v>4749202</v>
      </c>
      <c r="T12" s="128">
        <v>0</v>
      </c>
      <c r="U12" s="122">
        <v>340810</v>
      </c>
      <c r="V12" s="125">
        <f t="shared" si="2"/>
        <v>9289342</v>
      </c>
      <c r="W12" s="125">
        <f t="shared" si="14"/>
        <v>361322053</v>
      </c>
      <c r="X12" s="122"/>
      <c r="Z12" s="45">
        <f>+Z10</f>
        <v>3332316.0639999993</v>
      </c>
      <c r="AA12" s="45">
        <f>+AA10+AA11</f>
        <v>5474445.842666666</v>
      </c>
      <c r="AB12" s="45">
        <f>+AB11+AB10</f>
        <v>5340108.2</v>
      </c>
      <c r="AC12" s="45">
        <f t="shared" ref="AC12:AQ12" si="16">+AC11+AC10</f>
        <v>5312263.5999999996</v>
      </c>
      <c r="AD12" s="45">
        <f t="shared" si="16"/>
        <v>5280435</v>
      </c>
      <c r="AE12" s="45">
        <f t="shared" si="16"/>
        <v>5204470.3835359998</v>
      </c>
      <c r="AF12" s="45">
        <f t="shared" si="16"/>
        <v>5014640.0509665003</v>
      </c>
      <c r="AG12" s="45">
        <f t="shared" si="16"/>
        <v>5341464.3380575003</v>
      </c>
      <c r="AH12" s="45">
        <f t="shared" si="16"/>
        <v>4868715.5088888872</v>
      </c>
      <c r="AI12" s="45">
        <f t="shared" si="16"/>
        <v>4847358.3911111103</v>
      </c>
      <c r="AJ12" s="45">
        <f t="shared" si="16"/>
        <v>4791848</v>
      </c>
      <c r="AK12" s="45">
        <f t="shared" si="16"/>
        <v>4729778.2</v>
      </c>
      <c r="AL12" s="45">
        <f t="shared" si="16"/>
        <v>4655325.2</v>
      </c>
      <c r="AM12" s="45">
        <f t="shared" si="16"/>
        <v>4603514.6000000006</v>
      </c>
      <c r="AN12" s="45">
        <f t="shared" si="16"/>
        <v>4557819.8</v>
      </c>
      <c r="AO12" s="45">
        <f t="shared" si="16"/>
        <v>4619159.4014915945</v>
      </c>
      <c r="AP12" s="45">
        <f t="shared" si="16"/>
        <v>4694624.4646215923</v>
      </c>
      <c r="AQ12" s="45">
        <f t="shared" si="16"/>
        <v>4759013.7100022892</v>
      </c>
    </row>
    <row r="13" spans="1:43" ht="14.45">
      <c r="A13" s="11">
        <f t="shared" si="3"/>
        <v>10</v>
      </c>
      <c r="B13" s="89">
        <f t="shared" si="4"/>
        <v>361307701</v>
      </c>
      <c r="C13" s="89">
        <f t="shared" si="5"/>
        <v>4834899.2188816667</v>
      </c>
      <c r="D13" s="89">
        <f>4825487+159902</f>
        <v>4985389</v>
      </c>
      <c r="E13" s="89">
        <f t="shared" si="6"/>
        <v>9820287.8708202932</v>
      </c>
      <c r="F13" s="62">
        <f t="shared" si="7"/>
        <v>356322312</v>
      </c>
      <c r="G13" s="68">
        <v>8.7410000000000002E-2</v>
      </c>
      <c r="H13" s="102">
        <f t="shared" si="8"/>
        <v>7.2999999999999995E-2</v>
      </c>
      <c r="I13" s="90">
        <f t="shared" si="9"/>
        <v>1.3367499999999999E-2</v>
      </c>
      <c r="J13" s="89">
        <f t="shared" si="15"/>
        <v>9817164.6729168743</v>
      </c>
      <c r="K13" s="100">
        <f t="shared" si="10"/>
        <v>50</v>
      </c>
      <c r="L13">
        <f t="shared" si="11"/>
        <v>12</v>
      </c>
      <c r="M13">
        <f t="shared" si="12"/>
        <v>9</v>
      </c>
      <c r="N13">
        <f t="shared" si="13"/>
        <v>2025</v>
      </c>
      <c r="O13" s="21">
        <f>4834899/30</f>
        <v>161163.29999999999</v>
      </c>
      <c r="P13" s="33">
        <f>+O13*19</f>
        <v>3062102.6999999997</v>
      </c>
      <c r="Q13" s="114">
        <v>45916</v>
      </c>
      <c r="R13" s="118">
        <v>4995487</v>
      </c>
      <c r="S13" s="118">
        <v>4839839</v>
      </c>
      <c r="T13" s="127">
        <v>11768</v>
      </c>
      <c r="U13" s="118">
        <v>339315</v>
      </c>
      <c r="V13" s="118">
        <f t="shared" si="2"/>
        <v>9507779</v>
      </c>
      <c r="W13" s="125">
        <f t="shared" si="14"/>
        <v>356482214</v>
      </c>
      <c r="X13" s="122"/>
      <c r="AA13" s="22"/>
      <c r="AB13" s="22"/>
      <c r="AC13" s="22"/>
      <c r="AD13" s="22"/>
      <c r="AE13" s="22"/>
      <c r="AF13" s="22"/>
      <c r="AG13" s="22"/>
      <c r="AH13" s="42"/>
      <c r="AI13" s="42"/>
      <c r="AJ13" s="44"/>
      <c r="AK13" s="42"/>
      <c r="AL13" s="22"/>
      <c r="AM13" s="22"/>
      <c r="AN13" s="22"/>
    </row>
    <row r="14" spans="1:43" ht="14.45">
      <c r="A14" s="11">
        <f t="shared" si="3"/>
        <v>11</v>
      </c>
      <c r="B14" s="89">
        <f t="shared" si="4"/>
        <v>356322312</v>
      </c>
      <c r="C14" s="89">
        <f t="shared" si="5"/>
        <v>4763138.5056599993</v>
      </c>
      <c r="D14" s="89">
        <f>5021539+32487</f>
        <v>5054026</v>
      </c>
      <c r="E14" s="89">
        <f t="shared" si="6"/>
        <v>9817164.6729168743</v>
      </c>
      <c r="F14" s="62">
        <f t="shared" si="7"/>
        <v>351268286</v>
      </c>
      <c r="G14" s="68">
        <v>8.7599999999999997E-2</v>
      </c>
      <c r="H14" s="102">
        <f t="shared" si="8"/>
        <v>7.2999999999999995E-2</v>
      </c>
      <c r="I14" s="90">
        <f t="shared" si="9"/>
        <v>1.3383333333333332E-2</v>
      </c>
      <c r="J14" s="89">
        <f t="shared" si="15"/>
        <v>9820595.1968029737</v>
      </c>
      <c r="K14" s="100">
        <f t="shared" si="10"/>
        <v>49</v>
      </c>
      <c r="L14">
        <f t="shared" si="11"/>
        <v>12</v>
      </c>
      <c r="M14">
        <f t="shared" si="12"/>
        <v>10</v>
      </c>
      <c r="N14">
        <f t="shared" si="13"/>
        <v>2025</v>
      </c>
      <c r="O14" s="21">
        <f>4763139/30</f>
        <v>158771.29999999999</v>
      </c>
      <c r="P14" s="33">
        <f t="shared" ref="P14:P19" si="17">+O14*18</f>
        <v>2857883.4</v>
      </c>
      <c r="Q14" s="114">
        <v>45953</v>
      </c>
      <c r="R14" s="129">
        <v>4763139</v>
      </c>
      <c r="S14" s="129">
        <v>5181441</v>
      </c>
      <c r="T14" s="130">
        <v>34999</v>
      </c>
      <c r="U14" s="129">
        <v>335429</v>
      </c>
      <c r="V14" s="118">
        <f t="shared" si="2"/>
        <v>9644150</v>
      </c>
      <c r="W14" s="125">
        <f t="shared" si="14"/>
        <v>351300773</v>
      </c>
      <c r="X14" s="122"/>
      <c r="Z14" s="22">
        <f>+Z10+AA10</f>
        <v>5553860.1066666655</v>
      </c>
      <c r="AA14" s="22">
        <f>+AA11+AB10</f>
        <v>5390174</v>
      </c>
      <c r="AB14" s="22">
        <f t="shared" ref="AB14:AE14" si="18">+AB11+AC10</f>
        <v>5338060</v>
      </c>
      <c r="AC14" s="22">
        <f t="shared" si="18"/>
        <v>5295066</v>
      </c>
      <c r="AD14" s="22">
        <f t="shared" si="18"/>
        <v>5270681</v>
      </c>
      <c r="AE14" s="22">
        <f t="shared" si="18"/>
        <v>5089039.9725599997</v>
      </c>
      <c r="AF14" s="47"/>
      <c r="AG14" s="47"/>
      <c r="AH14" s="47"/>
      <c r="AI14" s="47"/>
      <c r="AJ14" s="47"/>
      <c r="AK14" s="47"/>
      <c r="AL14" s="22"/>
      <c r="AM14" s="22"/>
    </row>
    <row r="15" spans="1:43" ht="14.45">
      <c r="A15" s="11">
        <f t="shared" si="3"/>
        <v>12</v>
      </c>
      <c r="B15" s="89">
        <f t="shared" si="4"/>
        <v>351268286</v>
      </c>
      <c r="C15" s="89">
        <f t="shared" si="5"/>
        <v>4701140.5609666659</v>
      </c>
      <c r="D15" s="89">
        <v>5119454</v>
      </c>
      <c r="E15" s="89">
        <f t="shared" si="6"/>
        <v>9820595.1968029737</v>
      </c>
      <c r="F15" s="62">
        <f t="shared" si="7"/>
        <v>346148832</v>
      </c>
      <c r="G15" s="117">
        <v>8.7550000000000003E-2</v>
      </c>
      <c r="H15" s="102">
        <f t="shared" si="8"/>
        <v>7.2999999999999995E-2</v>
      </c>
      <c r="I15" s="90">
        <f t="shared" si="9"/>
        <v>1.3379166666666666E-2</v>
      </c>
      <c r="J15" s="89">
        <f t="shared" si="15"/>
        <v>9819708.2897119485</v>
      </c>
      <c r="K15" s="100">
        <f t="shared" si="10"/>
        <v>48</v>
      </c>
      <c r="L15">
        <f t="shared" si="11"/>
        <v>12</v>
      </c>
      <c r="M15">
        <f t="shared" si="12"/>
        <v>11</v>
      </c>
      <c r="N15">
        <f t="shared" si="13"/>
        <v>2025</v>
      </c>
      <c r="O15" s="21">
        <f>4701141/30</f>
        <v>156704.70000000001</v>
      </c>
      <c r="P15" s="33">
        <f t="shared" si="17"/>
        <v>2820684.6</v>
      </c>
      <c r="Q15" s="114">
        <v>45979</v>
      </c>
      <c r="R15" s="118">
        <v>4724265</v>
      </c>
      <c r="S15" s="118">
        <v>5151941</v>
      </c>
      <c r="T15" s="131">
        <v>18354</v>
      </c>
      <c r="U15" s="118">
        <v>333988</v>
      </c>
      <c r="V15" s="118">
        <f t="shared" si="2"/>
        <v>9560572</v>
      </c>
      <c r="W15" s="125">
        <f t="shared" si="14"/>
        <v>346148832</v>
      </c>
      <c r="X15" s="122"/>
      <c r="AA15" s="22"/>
      <c r="AB15" s="22"/>
      <c r="AC15" s="47"/>
      <c r="AD15" s="47"/>
      <c r="AE15" s="47"/>
      <c r="AF15" s="47"/>
      <c r="AG15" s="47"/>
      <c r="AH15" s="47"/>
      <c r="AI15" s="47"/>
      <c r="AJ15" s="47"/>
      <c r="AK15" s="47"/>
      <c r="AL15" s="22"/>
      <c r="AM15" s="22"/>
      <c r="AP15" s="22"/>
    </row>
    <row r="16" spans="1:43" ht="14.45">
      <c r="A16" s="11">
        <f t="shared" si="3"/>
        <v>13</v>
      </c>
      <c r="B16" s="89">
        <f t="shared" si="4"/>
        <v>346148832</v>
      </c>
      <c r="C16" s="89">
        <f t="shared" si="5"/>
        <v>4631182.9147999994</v>
      </c>
      <c r="D16" s="89">
        <f>+S16+17600</f>
        <v>5188525</v>
      </c>
      <c r="E16" s="89">
        <f t="shared" si="6"/>
        <v>9819708.2897119485</v>
      </c>
      <c r="F16" s="62">
        <f t="shared" si="7"/>
        <v>340960307</v>
      </c>
      <c r="G16" s="117">
        <v>8.8370000000000004E-2</v>
      </c>
      <c r="H16" s="102">
        <f t="shared" si="8"/>
        <v>7.2999999999999995E-2</v>
      </c>
      <c r="I16" s="90">
        <f t="shared" si="9"/>
        <v>1.3447500000000001E-2</v>
      </c>
      <c r="J16" s="89">
        <f t="shared" si="15"/>
        <v>9833997.0572063103</v>
      </c>
      <c r="K16" s="100">
        <f t="shared" si="10"/>
        <v>47</v>
      </c>
      <c r="L16">
        <f t="shared" si="11"/>
        <v>12</v>
      </c>
      <c r="M16">
        <f t="shared" si="12"/>
        <v>12</v>
      </c>
      <c r="N16">
        <f t="shared" si="13"/>
        <v>2025</v>
      </c>
      <c r="O16" s="21">
        <f>4631183/30</f>
        <v>154372.76666666666</v>
      </c>
      <c r="P16" s="33">
        <f t="shared" si="17"/>
        <v>2778709.8</v>
      </c>
      <c r="Q16" s="114">
        <v>46015</v>
      </c>
      <c r="R16" s="118">
        <v>4608059</v>
      </c>
      <c r="S16" s="118">
        <v>5170925</v>
      </c>
      <c r="T16" s="131">
        <v>35955</v>
      </c>
      <c r="U16" s="118">
        <v>327157</v>
      </c>
      <c r="V16" s="118">
        <f t="shared" si="2"/>
        <v>9487782</v>
      </c>
      <c r="W16" s="125">
        <f>+W15-S16</f>
        <v>340977907</v>
      </c>
      <c r="X16" s="122"/>
      <c r="AC16" s="5"/>
      <c r="AD16" s="5"/>
      <c r="AE16" s="5"/>
      <c r="AF16" s="5"/>
      <c r="AG16" s="5"/>
      <c r="AH16" s="5"/>
      <c r="AI16" s="47"/>
      <c r="AJ16" s="47"/>
      <c r="AK16" s="47"/>
      <c r="AL16" s="22"/>
      <c r="AO16" s="22"/>
      <c r="AQ16" s="22"/>
    </row>
    <row r="17" spans="1:40" ht="14.45">
      <c r="A17" s="11">
        <f t="shared" si="3"/>
        <v>14</v>
      </c>
      <c r="B17" s="89">
        <f t="shared" si="4"/>
        <v>340960307</v>
      </c>
      <c r="C17" s="89">
        <f t="shared" si="5"/>
        <v>4585063.7283825008</v>
      </c>
      <c r="D17" s="89">
        <f t="shared" ref="D17:D38" si="19">IF(A17=" "," ",+E17-C17)</f>
        <v>5248933.3288238095</v>
      </c>
      <c r="E17" s="89">
        <f t="shared" si="6"/>
        <v>9833997.0572063103</v>
      </c>
      <c r="F17" s="62">
        <f t="shared" si="7"/>
        <v>335711373.6711762</v>
      </c>
      <c r="G17" s="117">
        <v>8.9270000000000002E-2</v>
      </c>
      <c r="H17" s="102">
        <f t="shared" si="8"/>
        <v>7.2999999999999995E-2</v>
      </c>
      <c r="I17" s="90">
        <f t="shared" si="9"/>
        <v>1.35225E-2</v>
      </c>
      <c r="J17" s="89">
        <f t="shared" si="15"/>
        <v>9849403.6191341225</v>
      </c>
      <c r="K17" s="100">
        <f t="shared" si="10"/>
        <v>46</v>
      </c>
      <c r="L17">
        <f t="shared" si="11"/>
        <v>12</v>
      </c>
      <c r="M17">
        <f t="shared" si="12"/>
        <v>1</v>
      </c>
      <c r="N17">
        <f t="shared" si="13"/>
        <v>2026</v>
      </c>
      <c r="O17" s="21">
        <f>4585064/30</f>
        <v>152835.46666666667</v>
      </c>
      <c r="P17" s="33">
        <f t="shared" si="17"/>
        <v>2751038.4000000004</v>
      </c>
      <c r="Q17" s="114">
        <v>46043</v>
      </c>
      <c r="R17" s="118">
        <v>4587650</v>
      </c>
      <c r="S17" s="118">
        <v>5266533</v>
      </c>
      <c r="T17" s="131">
        <v>26938</v>
      </c>
      <c r="U17" s="118">
        <v>324763</v>
      </c>
      <c r="V17" s="118">
        <f t="shared" si="2"/>
        <v>9556358</v>
      </c>
      <c r="W17" s="125">
        <f t="shared" si="14"/>
        <v>335711374</v>
      </c>
      <c r="X17" s="122"/>
      <c r="Z17" s="141" t="s">
        <v>46</v>
      </c>
      <c r="AA17" s="141"/>
      <c r="AB17" s="141"/>
      <c r="AC17" s="141"/>
      <c r="AD17" s="141"/>
      <c r="AE17" s="141"/>
      <c r="AF17" s="55"/>
      <c r="AG17" s="56"/>
      <c r="AH17" s="55"/>
      <c r="AI17" s="55"/>
      <c r="AJ17" s="55"/>
      <c r="AK17" s="55"/>
      <c r="AL17" s="55"/>
      <c r="AN17" s="22"/>
    </row>
    <row r="18" spans="1:40" ht="14.45">
      <c r="A18" s="11">
        <f t="shared" si="3"/>
        <v>15</v>
      </c>
      <c r="B18" s="89">
        <f t="shared" si="4"/>
        <v>335711373.6711762</v>
      </c>
      <c r="C18" s="89">
        <f t="shared" si="5"/>
        <v>4539657.0504684802</v>
      </c>
      <c r="D18" s="89">
        <f>5290023+19724</f>
        <v>5309747</v>
      </c>
      <c r="E18" s="89">
        <f t="shared" si="6"/>
        <v>9849403.6191341225</v>
      </c>
      <c r="F18" s="62">
        <f t="shared" si="7"/>
        <v>330401626.6711762</v>
      </c>
      <c r="G18" s="117">
        <v>9.6689999999999998E-2</v>
      </c>
      <c r="H18" s="102">
        <f t="shared" si="8"/>
        <v>7.2999999999999995E-2</v>
      </c>
      <c r="I18" s="90">
        <f t="shared" si="9"/>
        <v>1.4140833333333333E-2</v>
      </c>
      <c r="J18" s="89">
        <f t="shared" si="15"/>
        <v>9974525.3203279506</v>
      </c>
      <c r="K18" s="100">
        <f t="shared" si="10"/>
        <v>45</v>
      </c>
      <c r="L18">
        <f t="shared" si="11"/>
        <v>12</v>
      </c>
      <c r="M18">
        <f t="shared" si="12"/>
        <v>2</v>
      </c>
      <c r="N18">
        <f t="shared" si="13"/>
        <v>2026</v>
      </c>
      <c r="O18" s="21">
        <f>4539657/30</f>
        <v>151321.9</v>
      </c>
      <c r="P18" s="33">
        <f t="shared" si="17"/>
        <v>2723794.1999999997</v>
      </c>
      <c r="Q18" s="114">
        <v>46072</v>
      </c>
      <c r="R18" s="118">
        <f>4537071+7283</f>
        <v>4544354</v>
      </c>
      <c r="S18" s="118">
        <f>5290023+19724</f>
        <v>5309747</v>
      </c>
      <c r="T18" s="131">
        <v>21610</v>
      </c>
      <c r="U18" s="118">
        <v>320933</v>
      </c>
      <c r="V18" s="118">
        <f t="shared" si="2"/>
        <v>9554778</v>
      </c>
      <c r="W18" s="125">
        <f t="shared" si="14"/>
        <v>330401627</v>
      </c>
      <c r="X18" s="122"/>
      <c r="Z18" t="s">
        <v>47</v>
      </c>
      <c r="AC18" s="5"/>
      <c r="AD18" s="5"/>
      <c r="AE18" s="5"/>
      <c r="AF18" s="5"/>
      <c r="AG18" s="5"/>
      <c r="AH18" s="5"/>
      <c r="AI18" s="5"/>
      <c r="AJ18" s="5"/>
      <c r="AK18" s="5"/>
    </row>
    <row r="19" spans="1:40" ht="14.45">
      <c r="A19" s="11">
        <f t="shared" si="3"/>
        <v>16</v>
      </c>
      <c r="B19" s="89">
        <f t="shared" si="4"/>
        <v>330401626.6711762</v>
      </c>
      <c r="C19" s="89">
        <f t="shared" si="5"/>
        <v>4672154.3358193245</v>
      </c>
      <c r="D19" s="89">
        <f>5289912+12459</f>
        <v>5302371</v>
      </c>
      <c r="E19" s="89">
        <f t="shared" si="6"/>
        <v>9974525.3203279506</v>
      </c>
      <c r="F19" s="62">
        <f t="shared" si="7"/>
        <v>325099255.6711762</v>
      </c>
      <c r="G19" s="117">
        <v>0.10084</v>
      </c>
      <c r="H19" s="102">
        <f t="shared" si="8"/>
        <v>7.2999999999999995E-2</v>
      </c>
      <c r="I19" s="90">
        <f t="shared" si="9"/>
        <v>1.4486666666666667E-2</v>
      </c>
      <c r="J19" s="89">
        <f t="shared" si="15"/>
        <v>10043538.528955977</v>
      </c>
      <c r="K19" s="100">
        <f t="shared" si="10"/>
        <v>44</v>
      </c>
      <c r="L19">
        <f t="shared" si="11"/>
        <v>12</v>
      </c>
      <c r="M19">
        <f t="shared" si="12"/>
        <v>3</v>
      </c>
      <c r="N19">
        <f t="shared" si="13"/>
        <v>2026</v>
      </c>
      <c r="O19" s="21">
        <f>+C19/30</f>
        <v>155738.47786064414</v>
      </c>
      <c r="P19" s="33">
        <f t="shared" si="17"/>
        <v>2803292.6014915947</v>
      </c>
      <c r="Q19" s="114">
        <v>46097</v>
      </c>
      <c r="R19" s="118">
        <v>4664871</v>
      </c>
      <c r="S19" s="118">
        <v>5289912</v>
      </c>
      <c r="T19" s="131">
        <v>12459</v>
      </c>
      <c r="U19" s="118">
        <v>324854</v>
      </c>
      <c r="V19" s="118">
        <f t="shared" si="2"/>
        <v>9642388</v>
      </c>
      <c r="W19" s="125">
        <f t="shared" si="14"/>
        <v>325111715</v>
      </c>
      <c r="X19" s="122"/>
      <c r="AB19" s="1">
        <v>2.5000000000000001E-2</v>
      </c>
      <c r="AC19" s="5"/>
      <c r="AD19" s="5"/>
      <c r="AE19" s="5"/>
      <c r="AF19" s="5"/>
      <c r="AG19" s="49"/>
      <c r="AH19" s="49"/>
      <c r="AI19" s="47"/>
      <c r="AJ19" s="5"/>
      <c r="AK19" s="5"/>
      <c r="AM19" s="22"/>
    </row>
    <row r="20" spans="1:40" ht="14.45">
      <c r="A20" s="11">
        <f t="shared" si="3"/>
        <v>17</v>
      </c>
      <c r="B20" s="89">
        <f t="shared" si="4"/>
        <v>325099255.6711762</v>
      </c>
      <c r="C20" s="89">
        <f t="shared" si="5"/>
        <v>4709604.5504897721</v>
      </c>
      <c r="D20" s="89">
        <f>5324611+S21</f>
        <v>5333934</v>
      </c>
      <c r="E20" s="89">
        <f t="shared" si="6"/>
        <v>10043538.528955977</v>
      </c>
      <c r="F20" s="62">
        <f t="shared" si="7"/>
        <v>319765321.6711762</v>
      </c>
      <c r="G20" s="68">
        <v>0.10682999999999999</v>
      </c>
      <c r="H20" s="102">
        <f t="shared" si="8"/>
        <v>7.2999999999999995E-2</v>
      </c>
      <c r="I20" s="90">
        <f t="shared" si="9"/>
        <v>1.4985833333333332E-2</v>
      </c>
      <c r="J20" s="89">
        <f t="shared" si="15"/>
        <v>10141650.216025105</v>
      </c>
      <c r="K20" s="100">
        <f t="shared" si="10"/>
        <v>43</v>
      </c>
      <c r="L20">
        <f t="shared" si="11"/>
        <v>12</v>
      </c>
      <c r="M20">
        <f t="shared" si="12"/>
        <v>4</v>
      </c>
      <c r="N20">
        <f t="shared" si="13"/>
        <v>2026</v>
      </c>
      <c r="O20" s="101">
        <f>+C20/30</f>
        <v>156986.81834965906</v>
      </c>
      <c r="P20" s="33">
        <f t="shared" ref="P20" si="20">+O20*18</f>
        <v>2825762.730293863</v>
      </c>
      <c r="Q20" s="114">
        <v>46126</v>
      </c>
      <c r="R20" s="118">
        <v>4709605</v>
      </c>
      <c r="S20" s="118">
        <v>5337070</v>
      </c>
      <c r="T20" s="131">
        <v>6799</v>
      </c>
      <c r="U20" s="118">
        <v>329496</v>
      </c>
      <c r="V20" s="118">
        <f>+R20+S20+T20-U20</f>
        <v>9723978</v>
      </c>
      <c r="W20" s="125">
        <f>+W19-S20</f>
        <v>319774645</v>
      </c>
      <c r="X20" s="122"/>
      <c r="Z20" s="54" t="s">
        <v>48</v>
      </c>
      <c r="AA20" s="22">
        <v>374850000</v>
      </c>
      <c r="AB20" s="22">
        <f>+AA20*AB19</f>
        <v>9371250</v>
      </c>
      <c r="AC20" s="5"/>
      <c r="AD20" s="5"/>
      <c r="AE20" s="50"/>
      <c r="AF20" s="50"/>
      <c r="AG20" s="50"/>
      <c r="AH20" s="21"/>
      <c r="AI20" s="21"/>
      <c r="AJ20" s="47"/>
      <c r="AK20" s="5"/>
    </row>
    <row r="21" spans="1:40">
      <c r="A21" s="107">
        <f t="shared" si="3"/>
        <v>18</v>
      </c>
      <c r="B21" s="104">
        <f t="shared" si="4"/>
        <v>319765321.6711762</v>
      </c>
      <c r="C21" s="104">
        <f t="shared" si="5"/>
        <v>4791949.8163439678</v>
      </c>
      <c r="D21" s="104">
        <f t="shared" si="19"/>
        <v>5349700.3996811369</v>
      </c>
      <c r="E21" s="104">
        <f t="shared" si="6"/>
        <v>10141650.216025105</v>
      </c>
      <c r="F21" s="104">
        <f t="shared" si="7"/>
        <v>314415621.27149504</v>
      </c>
      <c r="G21" s="106">
        <v>9.2939999999999995E-2</v>
      </c>
      <c r="H21" s="106">
        <f t="shared" si="8"/>
        <v>7.2999999999999995E-2</v>
      </c>
      <c r="I21" s="103">
        <f t="shared" si="9"/>
        <v>1.3828333333333331E-2</v>
      </c>
      <c r="J21" s="104">
        <f t="shared" si="15"/>
        <v>9919490.3576548938</v>
      </c>
      <c r="K21" s="105">
        <f t="shared" si="10"/>
        <v>42</v>
      </c>
      <c r="L21" s="94">
        <f t="shared" si="11"/>
        <v>12</v>
      </c>
      <c r="M21" s="94">
        <f t="shared" si="12"/>
        <v>5</v>
      </c>
      <c r="N21" s="94">
        <f t="shared" si="13"/>
        <v>2026</v>
      </c>
      <c r="O21" s="101">
        <f>+C21/30</f>
        <v>159731.66054479891</v>
      </c>
      <c r="P21" s="33">
        <f t="shared" ref="P21" si="21">+O21*18</f>
        <v>2875169.8898063805</v>
      </c>
      <c r="Q21" s="114">
        <v>46126</v>
      </c>
      <c r="R21" s="118">
        <v>0</v>
      </c>
      <c r="S21" s="118">
        <v>9323</v>
      </c>
      <c r="T21" s="118"/>
      <c r="U21" s="118"/>
      <c r="V21" s="118"/>
      <c r="W21" s="132">
        <f>+W20-S21</f>
        <v>319765322</v>
      </c>
      <c r="X21" s="118">
        <v>9323</v>
      </c>
      <c r="AC21" s="5"/>
      <c r="AD21" s="5"/>
      <c r="AE21" s="48"/>
      <c r="AF21" s="48"/>
      <c r="AG21" s="48"/>
      <c r="AH21" s="21"/>
      <c r="AI21" s="21"/>
      <c r="AJ21" s="47"/>
      <c r="AK21" s="5"/>
    </row>
    <row r="22" spans="1:40" ht="14.45">
      <c r="A22" s="11">
        <f t="shared" si="3"/>
        <v>19</v>
      </c>
      <c r="B22" s="2">
        <f t="shared" si="4"/>
        <v>314415621.27149504</v>
      </c>
      <c r="C22" s="2">
        <f t="shared" si="5"/>
        <v>4347844.0161493234</v>
      </c>
      <c r="D22" s="2">
        <f t="shared" si="19"/>
        <v>5571646.3415055703</v>
      </c>
      <c r="E22" s="2">
        <f t="shared" si="6"/>
        <v>9919490.3576548938</v>
      </c>
      <c r="F22" s="2">
        <f t="shared" si="7"/>
        <v>308843974.92998946</v>
      </c>
      <c r="G22" s="12">
        <v>9.2939999999999995E-2</v>
      </c>
      <c r="H22" s="12">
        <f t="shared" si="8"/>
        <v>7.2999999999999995E-2</v>
      </c>
      <c r="I22" s="8">
        <f t="shared" si="9"/>
        <v>1.3828333333333331E-2</v>
      </c>
      <c r="J22" s="2">
        <f t="shared" si="15"/>
        <v>9919490.3576548919</v>
      </c>
      <c r="K22" s="7">
        <f t="shared" si="10"/>
        <v>41</v>
      </c>
      <c r="L22">
        <f t="shared" si="11"/>
        <v>12</v>
      </c>
      <c r="M22">
        <f t="shared" si="12"/>
        <v>6</v>
      </c>
      <c r="N22">
        <f t="shared" si="13"/>
        <v>2026</v>
      </c>
      <c r="O22" s="21"/>
      <c r="Q22" s="86"/>
      <c r="R22" s="86"/>
      <c r="S22" s="86"/>
      <c r="T22" s="86"/>
      <c r="U22" s="86"/>
      <c r="V22" s="86"/>
      <c r="W22" s="133"/>
      <c r="X22" s="86"/>
      <c r="AA22" s="22"/>
      <c r="AB22" s="22" t="s">
        <v>49</v>
      </c>
      <c r="AC22" s="61">
        <v>15519173</v>
      </c>
      <c r="AD22" s="5"/>
      <c r="AE22" s="47"/>
      <c r="AF22" s="47"/>
      <c r="AG22" s="44"/>
      <c r="AH22" s="21"/>
      <c r="AI22" s="21"/>
      <c r="AJ22" s="47"/>
      <c r="AK22" s="5"/>
    </row>
    <row r="23" spans="1:40" ht="14.45">
      <c r="A23" s="11">
        <f t="shared" si="3"/>
        <v>20</v>
      </c>
      <c r="B23" s="2">
        <f t="shared" si="4"/>
        <v>308843974.92998946</v>
      </c>
      <c r="C23" s="2">
        <f t="shared" si="5"/>
        <v>4270797.433323537</v>
      </c>
      <c r="D23" s="2">
        <f t="shared" si="19"/>
        <v>5648692.9243313549</v>
      </c>
      <c r="E23" s="2">
        <f t="shared" si="6"/>
        <v>9919490.3576548919</v>
      </c>
      <c r="F23" s="2">
        <f t="shared" si="7"/>
        <v>303195282.00565809</v>
      </c>
      <c r="G23" s="12">
        <v>9.2939999999999995E-2</v>
      </c>
      <c r="H23" s="12">
        <f t="shared" si="8"/>
        <v>7.2999999999999995E-2</v>
      </c>
      <c r="I23" s="8">
        <f t="shared" si="9"/>
        <v>1.3828333333333331E-2</v>
      </c>
      <c r="J23" s="2">
        <f t="shared" si="15"/>
        <v>9919490.3576548938</v>
      </c>
      <c r="K23" s="7">
        <f t="shared" si="10"/>
        <v>40</v>
      </c>
      <c r="L23">
        <f t="shared" si="11"/>
        <v>12</v>
      </c>
      <c r="M23">
        <f t="shared" si="12"/>
        <v>7</v>
      </c>
      <c r="N23">
        <f t="shared" si="13"/>
        <v>2026</v>
      </c>
      <c r="O23" s="21"/>
      <c r="P23" s="22"/>
      <c r="Q23" s="86"/>
      <c r="R23" s="86"/>
      <c r="S23" s="86"/>
      <c r="T23" s="86"/>
      <c r="U23" s="86"/>
      <c r="V23" s="86"/>
      <c r="W23" s="133"/>
      <c r="X23" s="86"/>
      <c r="Z23" s="58" t="s">
        <v>50</v>
      </c>
      <c r="AA23" s="59"/>
      <c r="AB23" s="59"/>
      <c r="AC23" s="60">
        <v>7.0000000000000007E-2</v>
      </c>
      <c r="AD23" s="5"/>
      <c r="AE23" s="5"/>
      <c r="AF23" s="5"/>
      <c r="AG23" s="5"/>
      <c r="AH23" s="21"/>
      <c r="AI23" s="21"/>
      <c r="AJ23" s="47"/>
      <c r="AK23" s="5"/>
    </row>
    <row r="24" spans="1:40" ht="14.45">
      <c r="A24" s="11">
        <f t="shared" si="3"/>
        <v>21</v>
      </c>
      <c r="B24" s="2">
        <f t="shared" si="4"/>
        <v>303195282.00565809</v>
      </c>
      <c r="C24" s="2">
        <f t="shared" si="5"/>
        <v>4192685.4246682413</v>
      </c>
      <c r="D24" s="2">
        <f t="shared" si="19"/>
        <v>5726804.9329866525</v>
      </c>
      <c r="E24" s="2">
        <f t="shared" si="6"/>
        <v>9919490.3576548938</v>
      </c>
      <c r="F24" s="2">
        <f t="shared" si="7"/>
        <v>297468477.07267141</v>
      </c>
      <c r="G24" s="12">
        <v>9.2939999999999995E-2</v>
      </c>
      <c r="H24" s="12">
        <f t="shared" si="8"/>
        <v>7.2999999999999995E-2</v>
      </c>
      <c r="I24" s="8">
        <f t="shared" si="9"/>
        <v>1.3828333333333331E-2</v>
      </c>
      <c r="J24" s="2">
        <f t="shared" si="15"/>
        <v>9919490.35765489</v>
      </c>
      <c r="K24" s="7">
        <f t="shared" si="10"/>
        <v>39</v>
      </c>
      <c r="L24">
        <f t="shared" si="11"/>
        <v>12</v>
      </c>
      <c r="M24">
        <f t="shared" si="12"/>
        <v>8</v>
      </c>
      <c r="N24">
        <f t="shared" si="13"/>
        <v>2026</v>
      </c>
      <c r="O24" s="21"/>
      <c r="Q24" s="86"/>
      <c r="R24" s="86"/>
      <c r="S24" s="86"/>
      <c r="T24" s="86"/>
      <c r="U24" s="86"/>
      <c r="V24" s="86"/>
      <c r="W24" s="133"/>
      <c r="X24" s="86"/>
      <c r="AA24" s="22"/>
      <c r="AB24" s="22"/>
      <c r="AC24" s="5"/>
      <c r="AD24" s="5"/>
      <c r="AE24" s="47"/>
      <c r="AF24" s="47"/>
      <c r="AG24" s="47"/>
      <c r="AH24" s="21"/>
      <c r="AI24" s="21"/>
      <c r="AJ24" s="47"/>
      <c r="AK24" s="5"/>
    </row>
    <row r="25" spans="1:40" ht="14.45">
      <c r="A25" s="11">
        <f t="shared" si="3"/>
        <v>22</v>
      </c>
      <c r="B25" s="2">
        <f t="shared" si="4"/>
        <v>297468477.07267141</v>
      </c>
      <c r="C25" s="2">
        <f t="shared" si="5"/>
        <v>4113493.2571199238</v>
      </c>
      <c r="D25" s="2">
        <f t="shared" si="19"/>
        <v>5805997.1005349662</v>
      </c>
      <c r="E25" s="2">
        <f t="shared" si="6"/>
        <v>9919490.35765489</v>
      </c>
      <c r="F25" s="2">
        <f t="shared" si="7"/>
        <v>291662479.97213644</v>
      </c>
      <c r="G25" s="12">
        <v>9.2939999999999995E-2</v>
      </c>
      <c r="H25" s="12">
        <f t="shared" si="8"/>
        <v>7.2999999999999995E-2</v>
      </c>
      <c r="I25" s="8">
        <f t="shared" si="9"/>
        <v>1.3828333333333331E-2</v>
      </c>
      <c r="J25" s="2">
        <f t="shared" si="15"/>
        <v>9919490.3576548919</v>
      </c>
      <c r="K25" s="7">
        <f t="shared" si="10"/>
        <v>38</v>
      </c>
      <c r="L25">
        <f t="shared" si="11"/>
        <v>12</v>
      </c>
      <c r="M25">
        <f t="shared" si="12"/>
        <v>9</v>
      </c>
      <c r="N25">
        <f t="shared" si="13"/>
        <v>2026</v>
      </c>
      <c r="O25" s="21"/>
      <c r="Q25" s="86"/>
      <c r="R25" s="86"/>
      <c r="S25" s="86"/>
      <c r="T25" s="86"/>
      <c r="U25" s="86"/>
      <c r="V25" s="86"/>
      <c r="W25" s="133"/>
      <c r="X25" s="86"/>
      <c r="Z25" t="s">
        <v>51</v>
      </c>
      <c r="AA25" s="57">
        <v>1753</v>
      </c>
      <c r="AB25" s="22">
        <v>5474442</v>
      </c>
      <c r="AC25" s="47">
        <f>+AB25*AC23</f>
        <v>383210.94000000006</v>
      </c>
      <c r="AD25" s="5"/>
      <c r="AE25" s="47"/>
      <c r="AF25" s="47"/>
      <c r="AG25" s="44"/>
      <c r="AH25" s="21"/>
      <c r="AI25" s="21"/>
      <c r="AJ25" s="47"/>
      <c r="AK25" s="5"/>
    </row>
    <row r="26" spans="1:40" ht="14.45">
      <c r="A26" s="11">
        <f t="shared" si="3"/>
        <v>23</v>
      </c>
      <c r="B26" s="2">
        <f t="shared" si="4"/>
        <v>291662479.97213644</v>
      </c>
      <c r="C26" s="2">
        <f t="shared" si="5"/>
        <v>4033205.9938813597</v>
      </c>
      <c r="D26" s="2">
        <f t="shared" si="19"/>
        <v>5886284.3637735322</v>
      </c>
      <c r="E26" s="2">
        <f t="shared" si="6"/>
        <v>9919490.3576548919</v>
      </c>
      <c r="F26" s="2">
        <f t="shared" si="7"/>
        <v>285776195.60836291</v>
      </c>
      <c r="G26" s="12">
        <v>9.2939999999999995E-2</v>
      </c>
      <c r="H26" s="12">
        <f t="shared" si="8"/>
        <v>7.2999999999999995E-2</v>
      </c>
      <c r="I26" s="8">
        <f t="shared" si="9"/>
        <v>1.3828333333333331E-2</v>
      </c>
      <c r="J26" s="2">
        <f t="shared" si="15"/>
        <v>9919490.35765489</v>
      </c>
      <c r="K26" s="7">
        <f t="shared" si="10"/>
        <v>37</v>
      </c>
      <c r="L26">
        <f t="shared" si="11"/>
        <v>12</v>
      </c>
      <c r="M26">
        <f t="shared" si="12"/>
        <v>10</v>
      </c>
      <c r="N26">
        <f t="shared" si="13"/>
        <v>2026</v>
      </c>
      <c r="O26" s="22"/>
      <c r="Q26" s="86"/>
      <c r="R26" s="86"/>
      <c r="S26" s="86"/>
      <c r="T26" s="86"/>
      <c r="U26" s="86"/>
      <c r="V26" s="86"/>
      <c r="W26" s="133"/>
      <c r="X26" s="86"/>
      <c r="AA26" s="22"/>
      <c r="AB26" s="22"/>
      <c r="AC26" s="47"/>
      <c r="AD26" s="5"/>
      <c r="AE26" s="5"/>
      <c r="AF26" s="5"/>
      <c r="AG26" s="5"/>
      <c r="AH26" s="21"/>
      <c r="AI26" s="21"/>
      <c r="AJ26" s="47"/>
      <c r="AK26" s="5"/>
    </row>
    <row r="27" spans="1:40" ht="14.45">
      <c r="A27" s="11">
        <f t="shared" si="3"/>
        <v>24</v>
      </c>
      <c r="B27" s="2">
        <f t="shared" si="4"/>
        <v>285776195.60836291</v>
      </c>
      <c r="C27" s="2">
        <f t="shared" si="5"/>
        <v>3951808.4916043114</v>
      </c>
      <c r="D27" s="2">
        <f t="shared" si="19"/>
        <v>5967681.8660505787</v>
      </c>
      <c r="E27" s="2">
        <f t="shared" si="6"/>
        <v>9919490.35765489</v>
      </c>
      <c r="F27" s="2">
        <f t="shared" si="7"/>
        <v>279808513.74231231</v>
      </c>
      <c r="G27" s="12">
        <v>9.2939999999999995E-2</v>
      </c>
      <c r="H27" s="12">
        <f t="shared" si="8"/>
        <v>7.2999999999999995E-2</v>
      </c>
      <c r="I27" s="8">
        <f t="shared" si="9"/>
        <v>1.3828333333333331E-2</v>
      </c>
      <c r="J27" s="2">
        <f t="shared" si="15"/>
        <v>9919490.3576548882</v>
      </c>
      <c r="K27" s="7">
        <f t="shared" si="10"/>
        <v>36</v>
      </c>
      <c r="L27">
        <f t="shared" si="11"/>
        <v>12</v>
      </c>
      <c r="M27">
        <f t="shared" si="12"/>
        <v>11</v>
      </c>
      <c r="N27">
        <f t="shared" si="13"/>
        <v>2026</v>
      </c>
      <c r="Q27" s="86"/>
      <c r="R27" s="86"/>
      <c r="S27" s="86"/>
      <c r="T27" s="86"/>
      <c r="U27" s="86"/>
      <c r="V27" s="86"/>
      <c r="W27" s="133"/>
      <c r="X27" s="86"/>
      <c r="Z27" s="22" t="s">
        <v>52</v>
      </c>
      <c r="AA27" s="22">
        <v>9499810</v>
      </c>
      <c r="AB27" s="22"/>
      <c r="AC27" s="5"/>
      <c r="AD27" s="5"/>
      <c r="AE27" s="5"/>
      <c r="AF27" s="5"/>
      <c r="AG27" s="5"/>
      <c r="AH27" s="21"/>
      <c r="AI27" s="21"/>
      <c r="AJ27" s="47"/>
      <c r="AK27" s="5"/>
    </row>
    <row r="28" spans="1:40" ht="14.45">
      <c r="A28" s="11">
        <f t="shared" si="3"/>
        <v>25</v>
      </c>
      <c r="B28" s="2">
        <f t="shared" si="4"/>
        <v>279808513.74231231</v>
      </c>
      <c r="C28" s="2">
        <f t="shared" si="5"/>
        <v>3869285.3975332747</v>
      </c>
      <c r="D28" s="2">
        <f t="shared" si="19"/>
        <v>6050204.960121613</v>
      </c>
      <c r="E28" s="2">
        <f t="shared" si="6"/>
        <v>9919490.3576548882</v>
      </c>
      <c r="F28" s="2">
        <f t="shared" si="7"/>
        <v>273758308.78219068</v>
      </c>
      <c r="G28" s="12">
        <v>9.2939999999999995E-2</v>
      </c>
      <c r="H28" s="12">
        <f t="shared" si="8"/>
        <v>7.2999999999999995E-2</v>
      </c>
      <c r="I28" s="8">
        <f t="shared" si="9"/>
        <v>1.3828333333333331E-2</v>
      </c>
      <c r="J28" s="2">
        <f t="shared" si="15"/>
        <v>9919490.35765489</v>
      </c>
      <c r="K28" s="7">
        <f t="shared" si="10"/>
        <v>35</v>
      </c>
      <c r="L28">
        <f t="shared" si="11"/>
        <v>12</v>
      </c>
      <c r="M28">
        <f t="shared" si="12"/>
        <v>12</v>
      </c>
      <c r="N28">
        <f t="shared" si="13"/>
        <v>2026</v>
      </c>
      <c r="Q28" s="86"/>
      <c r="R28" s="86"/>
      <c r="S28" s="86"/>
      <c r="T28" s="86"/>
      <c r="U28" s="86"/>
      <c r="V28" s="86"/>
      <c r="W28" s="133"/>
      <c r="X28" s="86"/>
      <c r="Z28" s="22" t="s">
        <v>53</v>
      </c>
      <c r="AA28" s="61">
        <v>9116599</v>
      </c>
      <c r="AB28" s="22"/>
      <c r="AC28" s="22">
        <f>+AA27-AA28</f>
        <v>383211</v>
      </c>
      <c r="AD28" s="5"/>
      <c r="AE28" s="5"/>
      <c r="AF28" s="5"/>
      <c r="AG28" s="5"/>
      <c r="AH28" s="21"/>
      <c r="AI28" s="21"/>
      <c r="AJ28" s="47"/>
      <c r="AK28" s="5"/>
    </row>
    <row r="29" spans="1:40" ht="14.45">
      <c r="A29" s="11">
        <f t="shared" si="3"/>
        <v>26</v>
      </c>
      <c r="B29" s="2">
        <f t="shared" si="4"/>
        <v>273758308.78219068</v>
      </c>
      <c r="C29" s="2">
        <f t="shared" si="5"/>
        <v>3785621.1466097264</v>
      </c>
      <c r="D29" s="2">
        <f t="shared" si="19"/>
        <v>6133869.2110451637</v>
      </c>
      <c r="E29" s="2">
        <f t="shared" si="6"/>
        <v>9919490.35765489</v>
      </c>
      <c r="F29" s="2">
        <f t="shared" si="7"/>
        <v>267624439.5711455</v>
      </c>
      <c r="G29" s="12">
        <v>9.2939999999999995E-2</v>
      </c>
      <c r="H29" s="12">
        <f t="shared" si="8"/>
        <v>7.2999999999999995E-2</v>
      </c>
      <c r="I29" s="8">
        <f t="shared" si="9"/>
        <v>1.3828333333333331E-2</v>
      </c>
      <c r="J29" s="2">
        <f t="shared" si="15"/>
        <v>9919490.3576548882</v>
      </c>
      <c r="K29" s="7">
        <f t="shared" si="10"/>
        <v>34</v>
      </c>
      <c r="L29">
        <f t="shared" si="11"/>
        <v>12</v>
      </c>
      <c r="M29">
        <f t="shared" si="12"/>
        <v>1</v>
      </c>
      <c r="N29">
        <f t="shared" si="13"/>
        <v>2027</v>
      </c>
      <c r="Q29" s="86"/>
      <c r="R29" s="86"/>
      <c r="S29" s="86"/>
      <c r="T29" s="86"/>
      <c r="U29" s="86"/>
      <c r="V29" s="86"/>
      <c r="W29" s="133"/>
      <c r="X29" s="86"/>
      <c r="Z29" s="22"/>
      <c r="AC29" s="47">
        <f>+AC28-AC25</f>
        <v>5.9999999939464033E-2</v>
      </c>
      <c r="AD29" s="5"/>
      <c r="AE29" s="5"/>
      <c r="AF29" s="5"/>
      <c r="AG29" s="5"/>
      <c r="AH29" s="21"/>
      <c r="AI29" s="21"/>
      <c r="AJ29" s="47"/>
      <c r="AK29" s="5"/>
    </row>
    <row r="30" spans="1:40" ht="14.45">
      <c r="A30" s="11">
        <f t="shared" si="3"/>
        <v>27</v>
      </c>
      <c r="B30" s="2">
        <f t="shared" si="4"/>
        <v>267624439.5711455</v>
      </c>
      <c r="C30" s="2">
        <f t="shared" si="5"/>
        <v>3700799.9585363232</v>
      </c>
      <c r="D30" s="2">
        <f t="shared" si="19"/>
        <v>6218690.399118565</v>
      </c>
      <c r="E30" s="2">
        <f t="shared" si="6"/>
        <v>9919490.3576548882</v>
      </c>
      <c r="F30" s="2">
        <f t="shared" si="7"/>
        <v>261405749.17202693</v>
      </c>
      <c r="G30" s="12">
        <v>9.2939999999999995E-2</v>
      </c>
      <c r="H30" s="12">
        <f t="shared" si="8"/>
        <v>7.2999999999999995E-2</v>
      </c>
      <c r="I30" s="8">
        <f t="shared" si="9"/>
        <v>1.3828333333333331E-2</v>
      </c>
      <c r="J30" s="2">
        <f t="shared" si="15"/>
        <v>9919490.3576548882</v>
      </c>
      <c r="K30" s="7">
        <f t="shared" si="10"/>
        <v>33</v>
      </c>
      <c r="L30">
        <f t="shared" si="11"/>
        <v>12</v>
      </c>
      <c r="M30">
        <f t="shared" si="12"/>
        <v>2</v>
      </c>
      <c r="N30">
        <f t="shared" si="13"/>
        <v>2027</v>
      </c>
      <c r="Q30" s="86"/>
      <c r="R30" s="86"/>
      <c r="S30" s="86"/>
      <c r="T30" s="86"/>
      <c r="U30" s="86"/>
      <c r="V30" s="86"/>
      <c r="W30" s="133"/>
      <c r="X30" s="86"/>
      <c r="Z30" s="22"/>
      <c r="AC30" s="5"/>
      <c r="AD30" s="5"/>
      <c r="AE30" s="5"/>
      <c r="AF30" s="5"/>
      <c r="AG30" s="5"/>
      <c r="AH30" s="21"/>
      <c r="AI30" s="21"/>
      <c r="AJ30" s="47"/>
      <c r="AK30" s="5"/>
    </row>
    <row r="31" spans="1:40" ht="14.45">
      <c r="A31" s="11">
        <f t="shared" si="3"/>
        <v>28</v>
      </c>
      <c r="B31" s="2">
        <f t="shared" si="4"/>
        <v>261405749.17202693</v>
      </c>
      <c r="C31" s="2">
        <f t="shared" si="5"/>
        <v>3614805.8348005121</v>
      </c>
      <c r="D31" s="2">
        <f t="shared" si="19"/>
        <v>6304684.5228543766</v>
      </c>
      <c r="E31" s="2">
        <f t="shared" si="6"/>
        <v>9919490.3576548882</v>
      </c>
      <c r="F31" s="2">
        <f t="shared" si="7"/>
        <v>255101064.64917254</v>
      </c>
      <c r="G31" s="12">
        <v>9.2939999999999995E-2</v>
      </c>
      <c r="H31" s="12">
        <f t="shared" si="8"/>
        <v>7.2999999999999995E-2</v>
      </c>
      <c r="I31" s="8">
        <f t="shared" si="9"/>
        <v>1.3828333333333331E-2</v>
      </c>
      <c r="J31" s="2">
        <f t="shared" si="15"/>
        <v>9919490.3576548863</v>
      </c>
      <c r="K31" s="7">
        <f t="shared" si="10"/>
        <v>32</v>
      </c>
      <c r="L31">
        <f t="shared" si="11"/>
        <v>12</v>
      </c>
      <c r="M31">
        <f t="shared" si="12"/>
        <v>3</v>
      </c>
      <c r="N31">
        <f t="shared" si="13"/>
        <v>2027</v>
      </c>
      <c r="Q31" s="86"/>
      <c r="R31" s="86"/>
      <c r="S31" s="86"/>
      <c r="T31" s="86"/>
      <c r="U31" s="86"/>
      <c r="V31" s="86"/>
      <c r="W31" s="133"/>
      <c r="X31" s="86"/>
      <c r="Z31" s="22" t="s">
        <v>54</v>
      </c>
      <c r="AA31" s="22">
        <f>+AC22-AA28</f>
        <v>6402574</v>
      </c>
      <c r="AB31" s="22">
        <f>9116599+AA31</f>
        <v>15519173</v>
      </c>
      <c r="AC31" s="5"/>
      <c r="AD31" s="5"/>
      <c r="AE31" s="5"/>
      <c r="AF31" s="5"/>
      <c r="AG31" s="5"/>
      <c r="AH31" s="21"/>
      <c r="AI31" s="21"/>
      <c r="AJ31" s="47"/>
      <c r="AK31" s="5"/>
    </row>
    <row r="32" spans="1:40" ht="14.45">
      <c r="A32" s="11">
        <f t="shared" si="3"/>
        <v>29</v>
      </c>
      <c r="B32" s="2">
        <f t="shared" si="4"/>
        <v>255101064.64917254</v>
      </c>
      <c r="C32" s="2">
        <f t="shared" si="5"/>
        <v>3527622.5556569737</v>
      </c>
      <c r="D32" s="2">
        <f t="shared" si="19"/>
        <v>6391867.801997913</v>
      </c>
      <c r="E32" s="2">
        <f t="shared" si="6"/>
        <v>9919490.3576548863</v>
      </c>
      <c r="F32" s="2">
        <f t="shared" si="7"/>
        <v>248709196.84717464</v>
      </c>
      <c r="G32" s="12">
        <v>9.2939999999999995E-2</v>
      </c>
      <c r="H32" s="12">
        <f t="shared" si="8"/>
        <v>7.2999999999999995E-2</v>
      </c>
      <c r="I32" s="8">
        <f t="shared" si="9"/>
        <v>1.3828333333333331E-2</v>
      </c>
      <c r="J32" s="2">
        <f t="shared" si="15"/>
        <v>9919490.3576548882</v>
      </c>
      <c r="K32" s="7">
        <f t="shared" si="10"/>
        <v>31</v>
      </c>
      <c r="L32">
        <f t="shared" si="11"/>
        <v>12</v>
      </c>
      <c r="M32">
        <f t="shared" si="12"/>
        <v>4</v>
      </c>
      <c r="N32">
        <f t="shared" si="13"/>
        <v>2027</v>
      </c>
      <c r="Q32" s="86"/>
      <c r="R32" s="86"/>
      <c r="S32" s="86"/>
      <c r="T32" s="86"/>
      <c r="U32" s="86"/>
      <c r="V32" s="86"/>
      <c r="W32" s="133"/>
      <c r="X32" s="86"/>
      <c r="Z32" s="22"/>
      <c r="AA32" s="22"/>
      <c r="AC32" s="5"/>
      <c r="AD32" s="5"/>
      <c r="AE32" s="5"/>
      <c r="AF32" s="5"/>
      <c r="AG32" s="5"/>
      <c r="AH32" s="21"/>
      <c r="AI32" s="21"/>
      <c r="AJ32" s="47"/>
      <c r="AK32" s="5"/>
    </row>
    <row r="33" spans="1:37" ht="14.45">
      <c r="A33" s="11">
        <f t="shared" si="3"/>
        <v>30</v>
      </c>
      <c r="B33" s="2">
        <f t="shared" si="4"/>
        <v>248709196.84717464</v>
      </c>
      <c r="C33" s="2">
        <f t="shared" si="5"/>
        <v>3439233.6770683462</v>
      </c>
      <c r="D33" s="2">
        <f t="shared" si="19"/>
        <v>6480256.680586542</v>
      </c>
      <c r="E33" s="2">
        <f t="shared" si="6"/>
        <v>9919490.3576548882</v>
      </c>
      <c r="F33" s="2">
        <f t="shared" si="7"/>
        <v>242228940.1665881</v>
      </c>
      <c r="G33" s="12">
        <v>9.2939999999999995E-2</v>
      </c>
      <c r="H33" s="12">
        <f t="shared" si="8"/>
        <v>7.2999999999999995E-2</v>
      </c>
      <c r="I33" s="8">
        <f t="shared" si="9"/>
        <v>1.3828333333333331E-2</v>
      </c>
      <c r="J33" s="2">
        <f t="shared" si="15"/>
        <v>9919490.3576548882</v>
      </c>
      <c r="K33" s="7">
        <f t="shared" si="10"/>
        <v>30</v>
      </c>
      <c r="L33">
        <f t="shared" si="11"/>
        <v>12</v>
      </c>
      <c r="M33">
        <f t="shared" si="12"/>
        <v>5</v>
      </c>
      <c r="N33">
        <f t="shared" si="13"/>
        <v>2027</v>
      </c>
      <c r="Q33" s="86"/>
      <c r="R33" s="86"/>
      <c r="S33" s="86"/>
      <c r="T33" s="86"/>
      <c r="U33" s="86"/>
      <c r="V33" s="86"/>
      <c r="W33" s="133"/>
      <c r="X33" s="86"/>
      <c r="Z33" s="58" t="s">
        <v>55</v>
      </c>
      <c r="AA33" s="59"/>
      <c r="AB33" s="59"/>
      <c r="AC33" s="60">
        <v>7.0000000000000007E-2</v>
      </c>
      <c r="AD33" s="5"/>
      <c r="AE33" s="5"/>
      <c r="AF33" s="5"/>
      <c r="AG33" s="5"/>
      <c r="AH33" s="21"/>
      <c r="AI33" s="21"/>
      <c r="AJ33" s="47"/>
      <c r="AK33" s="5"/>
    </row>
    <row r="34" spans="1:37" ht="14.45">
      <c r="A34" s="11">
        <f t="shared" si="3"/>
        <v>31</v>
      </c>
      <c r="B34" s="2">
        <f t="shared" si="4"/>
        <v>242228940.1665881</v>
      </c>
      <c r="C34" s="2">
        <f t="shared" si="5"/>
        <v>3349622.5276036351</v>
      </c>
      <c r="D34" s="2">
        <f t="shared" si="19"/>
        <v>6569867.8300512526</v>
      </c>
      <c r="E34" s="2">
        <f t="shared" si="6"/>
        <v>9919490.3576548882</v>
      </c>
      <c r="F34" s="2">
        <f t="shared" si="7"/>
        <v>235659072.33653685</v>
      </c>
      <c r="G34" s="12">
        <v>9.2939999999999995E-2</v>
      </c>
      <c r="H34" s="12">
        <f t="shared" si="8"/>
        <v>7.2999999999999995E-2</v>
      </c>
      <c r="I34" s="8">
        <f t="shared" si="9"/>
        <v>1.3828333333333331E-2</v>
      </c>
      <c r="J34" s="2">
        <f t="shared" si="15"/>
        <v>9919490.3576548863</v>
      </c>
      <c r="K34" s="7">
        <f t="shared" si="10"/>
        <v>29</v>
      </c>
      <c r="L34">
        <f t="shared" si="11"/>
        <v>12</v>
      </c>
      <c r="M34">
        <f t="shared" si="12"/>
        <v>6</v>
      </c>
      <c r="N34">
        <f t="shared" si="13"/>
        <v>2027</v>
      </c>
      <c r="Q34" s="86"/>
      <c r="R34" s="86"/>
      <c r="S34" s="86"/>
      <c r="T34" s="86"/>
      <c r="U34" s="86"/>
      <c r="V34" s="86"/>
      <c r="W34" s="133"/>
      <c r="X34" s="86"/>
      <c r="AA34" s="22"/>
      <c r="AB34" s="22"/>
      <c r="AC34" s="5"/>
      <c r="AD34" s="5"/>
      <c r="AE34" s="5"/>
      <c r="AF34" s="5"/>
      <c r="AG34" s="5"/>
      <c r="AH34" s="5"/>
      <c r="AI34" s="5"/>
      <c r="AJ34" s="5"/>
      <c r="AK34" s="5"/>
    </row>
    <row r="35" spans="1:37" ht="14.45">
      <c r="A35" s="11">
        <f t="shared" si="3"/>
        <v>32</v>
      </c>
      <c r="B35" s="2">
        <f t="shared" si="4"/>
        <v>235659072.33653685</v>
      </c>
      <c r="C35" s="2">
        <f t="shared" si="5"/>
        <v>3258772.2052937434</v>
      </c>
      <c r="D35" s="2">
        <f t="shared" si="19"/>
        <v>6660718.1523611434</v>
      </c>
      <c r="E35" s="2">
        <f t="shared" si="6"/>
        <v>9919490.3576548863</v>
      </c>
      <c r="F35" s="2">
        <f t="shared" si="7"/>
        <v>228998354.1841757</v>
      </c>
      <c r="G35" s="12">
        <v>9.2939999999999995E-2</v>
      </c>
      <c r="H35" s="12">
        <f t="shared" si="8"/>
        <v>7.2999999999999995E-2</v>
      </c>
      <c r="I35" s="8">
        <f t="shared" si="9"/>
        <v>1.3828333333333331E-2</v>
      </c>
      <c r="J35" s="2">
        <f t="shared" si="15"/>
        <v>9919490.3576548882</v>
      </c>
      <c r="K35" s="7">
        <f t="shared" si="10"/>
        <v>28</v>
      </c>
      <c r="L35">
        <f t="shared" si="11"/>
        <v>12</v>
      </c>
      <c r="M35">
        <f t="shared" si="12"/>
        <v>7</v>
      </c>
      <c r="N35">
        <f t="shared" si="13"/>
        <v>2027</v>
      </c>
      <c r="Q35" s="86"/>
      <c r="R35" s="86"/>
      <c r="S35" s="86"/>
      <c r="T35" s="86"/>
      <c r="U35" s="86"/>
      <c r="V35" s="86"/>
      <c r="W35" s="133"/>
      <c r="X35" s="86"/>
      <c r="Z35" t="s">
        <v>51</v>
      </c>
      <c r="AA35" s="57" t="s">
        <v>56</v>
      </c>
      <c r="AB35" s="22">
        <v>5340102</v>
      </c>
      <c r="AC35" s="47">
        <f>+AB35*AC33</f>
        <v>373807.14</v>
      </c>
      <c r="AD35" s="5"/>
      <c r="AE35" s="5"/>
      <c r="AF35" s="5"/>
      <c r="AG35" s="5"/>
      <c r="AH35" s="5"/>
      <c r="AI35" s="5"/>
      <c r="AJ35" s="5"/>
      <c r="AK35" s="5"/>
    </row>
    <row r="36" spans="1:37" ht="14.45">
      <c r="A36" s="11">
        <f t="shared" si="3"/>
        <v>33</v>
      </c>
      <c r="B36" s="2">
        <f t="shared" si="4"/>
        <v>228998354.1841757</v>
      </c>
      <c r="C36" s="2">
        <f t="shared" si="5"/>
        <v>3166665.5744435093</v>
      </c>
      <c r="D36" s="2">
        <f t="shared" si="19"/>
        <v>6752824.7832113784</v>
      </c>
      <c r="E36" s="2">
        <f t="shared" si="6"/>
        <v>9919490.3576548882</v>
      </c>
      <c r="F36" s="2">
        <f t="shared" si="7"/>
        <v>222245529.40096432</v>
      </c>
      <c r="G36" s="12">
        <v>9.2939999999999995E-2</v>
      </c>
      <c r="H36" s="12">
        <f t="shared" si="8"/>
        <v>7.2999999999999995E-2</v>
      </c>
      <c r="I36" s="8">
        <f t="shared" si="9"/>
        <v>1.3828333333333331E-2</v>
      </c>
      <c r="J36" s="2">
        <f t="shared" si="15"/>
        <v>9919490.3576548863</v>
      </c>
      <c r="K36" s="7">
        <f t="shared" si="10"/>
        <v>27</v>
      </c>
      <c r="L36">
        <f t="shared" si="11"/>
        <v>12</v>
      </c>
      <c r="M36">
        <f t="shared" si="12"/>
        <v>8</v>
      </c>
      <c r="N36">
        <f t="shared" si="13"/>
        <v>2027</v>
      </c>
      <c r="Q36" s="86"/>
      <c r="R36" s="86"/>
      <c r="S36" s="86"/>
      <c r="T36" s="86"/>
      <c r="U36" s="86"/>
      <c r="V36" s="86"/>
      <c r="W36" s="133"/>
      <c r="X36" s="86"/>
      <c r="AA36" s="22"/>
      <c r="AB36" s="22"/>
      <c r="AC36" s="47"/>
      <c r="AD36" s="5"/>
      <c r="AE36" s="5"/>
      <c r="AF36" s="5"/>
      <c r="AG36" s="5"/>
      <c r="AH36" s="5"/>
      <c r="AI36" s="5"/>
      <c r="AJ36" s="5"/>
      <c r="AK36" s="5"/>
    </row>
    <row r="37" spans="1:37" ht="14.45">
      <c r="A37" s="11">
        <f t="shared" si="3"/>
        <v>34</v>
      </c>
      <c r="B37" s="2">
        <f t="shared" si="4"/>
        <v>222245529.40096432</v>
      </c>
      <c r="C37" s="2">
        <f t="shared" si="5"/>
        <v>3073285.2623996679</v>
      </c>
      <c r="D37" s="2">
        <f t="shared" si="19"/>
        <v>6846205.0952552184</v>
      </c>
      <c r="E37" s="2">
        <f t="shared" si="6"/>
        <v>9919490.3576548863</v>
      </c>
      <c r="F37" s="2">
        <f t="shared" si="7"/>
        <v>215399324.30570909</v>
      </c>
      <c r="G37" s="12">
        <v>9.2939999999999995E-2</v>
      </c>
      <c r="H37" s="12">
        <f t="shared" si="8"/>
        <v>7.2999999999999995E-2</v>
      </c>
      <c r="I37" s="8">
        <f t="shared" si="9"/>
        <v>1.3828333333333331E-2</v>
      </c>
      <c r="J37" s="2">
        <f t="shared" si="15"/>
        <v>9919490.3576548882</v>
      </c>
      <c r="K37" s="7">
        <f t="shared" si="10"/>
        <v>26</v>
      </c>
      <c r="L37">
        <f t="shared" si="11"/>
        <v>12</v>
      </c>
      <c r="M37">
        <f t="shared" si="12"/>
        <v>9</v>
      </c>
      <c r="N37">
        <f t="shared" si="13"/>
        <v>2027</v>
      </c>
      <c r="Q37" s="86"/>
      <c r="R37" s="86"/>
      <c r="S37" s="86"/>
      <c r="T37" s="86"/>
      <c r="U37" s="86"/>
      <c r="V37" s="86"/>
      <c r="W37" s="133"/>
      <c r="X37" s="86"/>
      <c r="Z37" s="22" t="s">
        <v>52</v>
      </c>
      <c r="AA37" s="22">
        <v>10809525</v>
      </c>
      <c r="AB37" s="22"/>
      <c r="AC37" s="5"/>
      <c r="AD37" s="5"/>
      <c r="AE37" s="5"/>
      <c r="AF37" s="5"/>
      <c r="AG37" s="5"/>
      <c r="AH37" s="5"/>
      <c r="AI37" s="5"/>
      <c r="AJ37" s="5"/>
      <c r="AK37" s="5"/>
    </row>
    <row r="38" spans="1:37" ht="14.45">
      <c r="A38" s="11">
        <f t="shared" si="3"/>
        <v>35</v>
      </c>
      <c r="B38" s="2">
        <f t="shared" si="4"/>
        <v>215399324.30570909</v>
      </c>
      <c r="C38" s="2">
        <f t="shared" si="5"/>
        <v>2978613.6562741133</v>
      </c>
      <c r="D38" s="2">
        <f t="shared" si="19"/>
        <v>6940876.7013807744</v>
      </c>
      <c r="E38" s="2">
        <f t="shared" si="6"/>
        <v>9919490.3576548882</v>
      </c>
      <c r="F38" s="2">
        <f t="shared" si="7"/>
        <v>208458447.60432833</v>
      </c>
      <c r="G38" s="12">
        <v>9.2939999999999995E-2</v>
      </c>
      <c r="H38" s="12">
        <f t="shared" si="8"/>
        <v>7.2999999999999995E-2</v>
      </c>
      <c r="I38" s="8">
        <f t="shared" si="9"/>
        <v>1.3828333333333331E-2</v>
      </c>
      <c r="J38" s="2">
        <f t="shared" si="15"/>
        <v>9919490.3576548882</v>
      </c>
      <c r="K38" s="7">
        <f t="shared" si="10"/>
        <v>25</v>
      </c>
      <c r="L38">
        <f t="shared" si="11"/>
        <v>12</v>
      </c>
      <c r="M38">
        <f t="shared" si="12"/>
        <v>10</v>
      </c>
      <c r="N38">
        <f t="shared" si="13"/>
        <v>2027</v>
      </c>
      <c r="Q38" s="86"/>
      <c r="R38" s="86"/>
      <c r="S38" s="86"/>
      <c r="T38" s="86"/>
      <c r="U38" s="86"/>
      <c r="V38" s="86"/>
      <c r="W38" s="133"/>
      <c r="X38" s="86"/>
      <c r="Z38" s="22" t="s">
        <v>53</v>
      </c>
      <c r="AA38" s="61">
        <f>+AA37-AC35</f>
        <v>10435717.859999999</v>
      </c>
      <c r="AB38" s="22"/>
      <c r="AC38" s="22">
        <f>+AA37-AA38</f>
        <v>373807.1400000006</v>
      </c>
      <c r="AD38" s="5"/>
      <c r="AE38" s="5"/>
      <c r="AF38" s="5"/>
      <c r="AG38" s="5"/>
      <c r="AH38" s="5"/>
      <c r="AI38" s="5"/>
      <c r="AJ38" s="5"/>
      <c r="AK38" s="5"/>
    </row>
    <row r="39" spans="1:37" ht="14.45">
      <c r="A39" s="11">
        <f t="shared" si="3"/>
        <v>36</v>
      </c>
      <c r="B39" s="2">
        <f t="shared" si="4"/>
        <v>208458447.60432833</v>
      </c>
      <c r="C39" s="2">
        <f t="shared" ref="C39" si="22">IF(A39=" "," ",+B39*I38)</f>
        <v>2882632.8996218531</v>
      </c>
      <c r="D39" s="2">
        <f t="shared" ref="D39" si="23">IF(A39=" "," ",+E39-C39)</f>
        <v>7036857.4580330346</v>
      </c>
      <c r="E39" s="2">
        <f t="shared" ref="E39" si="24">IF(A39=" "," ",+J38)</f>
        <v>9919490.3576548882</v>
      </c>
      <c r="F39" s="2">
        <f t="shared" ref="F39" si="25">IF(A39=" "," ",+B39-D39)</f>
        <v>201421590.14629531</v>
      </c>
      <c r="G39" s="12">
        <v>9.2939999999999995E-2</v>
      </c>
      <c r="H39" s="12">
        <f t="shared" ref="H39" si="26">IF(A39=" "," ",+H38)</f>
        <v>7.2999999999999995E-2</v>
      </c>
      <c r="I39" s="8">
        <f t="shared" si="9"/>
        <v>1.3828333333333331E-2</v>
      </c>
      <c r="J39" s="2">
        <f t="shared" ref="J39" si="27">IF(A39=" "," ",PMT(I39,K39,-F39,0))</f>
        <v>9919490.3576548882</v>
      </c>
      <c r="K39" s="7">
        <f t="shared" ref="K39" si="28">IF(A36=" "," ",+$B$2-A39)</f>
        <v>24</v>
      </c>
      <c r="L39">
        <f t="shared" ref="L39" si="29">IF(A39&lt;&gt;" ",+L38," ")</f>
        <v>12</v>
      </c>
      <c r="M39">
        <f t="shared" ref="M39" si="30">IF(AND(A39&lt;&gt;" ")*(M38=12),1,1+M38)</f>
        <v>11</v>
      </c>
      <c r="N39">
        <f t="shared" ref="N39" si="31">IF(AND(A39&lt;&gt;" ")*(M39=1),1+N38,N38)</f>
        <v>2027</v>
      </c>
      <c r="Q39" s="86"/>
      <c r="R39" s="86"/>
      <c r="S39" s="86"/>
      <c r="T39" s="86"/>
      <c r="U39" s="86"/>
      <c r="V39" s="86"/>
      <c r="W39" s="133"/>
      <c r="X39" s="86"/>
      <c r="Z39" s="22"/>
      <c r="AC39" s="47">
        <f>+AC38-AC35</f>
        <v>5.8207660913467407E-10</v>
      </c>
    </row>
    <row r="40" spans="1:37" ht="14.45">
      <c r="A40" s="11"/>
      <c r="B40" s="2"/>
      <c r="C40" s="2"/>
      <c r="D40" s="2"/>
      <c r="E40" s="2"/>
      <c r="F40" s="2"/>
      <c r="G40" s="12"/>
      <c r="H40" s="12"/>
      <c r="I40" s="8"/>
      <c r="J40" s="2"/>
      <c r="K40" s="7"/>
      <c r="Q40" s="86"/>
      <c r="R40" s="86"/>
      <c r="S40" s="86"/>
      <c r="T40" s="86"/>
      <c r="U40" s="86"/>
      <c r="V40" s="86"/>
      <c r="W40" s="133"/>
      <c r="X40" s="86"/>
      <c r="Z40" s="22" t="s">
        <v>57</v>
      </c>
      <c r="AA40" s="22">
        <v>16874894</v>
      </c>
      <c r="AC40" s="5"/>
    </row>
    <row r="41" spans="1:37" ht="14.45">
      <c r="A41" s="11"/>
      <c r="B41" s="2"/>
      <c r="C41" s="2"/>
      <c r="D41" s="2"/>
      <c r="E41" s="2"/>
      <c r="F41" s="2"/>
      <c r="G41" s="12"/>
      <c r="H41" s="12"/>
      <c r="I41" s="8"/>
      <c r="J41" s="2"/>
      <c r="K41" s="7"/>
      <c r="Z41" s="22"/>
      <c r="AA41" s="22">
        <f>+AA40-AA38</f>
        <v>6439176.1400000006</v>
      </c>
      <c r="AB41" s="22"/>
      <c r="AC41" s="5"/>
    </row>
    <row r="42" spans="1:37" ht="14.45">
      <c r="A42" s="11"/>
      <c r="B42" s="2"/>
      <c r="C42" s="2"/>
      <c r="D42" s="2"/>
      <c r="E42" s="2"/>
      <c r="F42" s="2"/>
      <c r="G42" s="12"/>
      <c r="H42" s="12"/>
      <c r="I42" s="8"/>
      <c r="J42" s="2"/>
      <c r="K42" s="7"/>
    </row>
    <row r="43" spans="1:37" ht="14.45">
      <c r="A43" s="11"/>
      <c r="B43" s="2"/>
      <c r="C43" s="2"/>
      <c r="D43" s="2"/>
      <c r="E43" s="2"/>
      <c r="F43" s="2"/>
      <c r="G43" s="12"/>
      <c r="H43" s="12"/>
      <c r="I43" s="8"/>
      <c r="J43" s="2"/>
      <c r="K43" s="7"/>
    </row>
    <row r="44" spans="1:37" ht="14.45">
      <c r="A44" s="11"/>
      <c r="B44" s="2"/>
      <c r="C44" s="2"/>
      <c r="D44" s="2"/>
      <c r="E44" s="2"/>
      <c r="F44" s="2"/>
      <c r="G44" s="12"/>
      <c r="H44" s="12"/>
      <c r="I44" s="8"/>
      <c r="J44" s="2"/>
      <c r="K44" s="7"/>
      <c r="Z44" s="58" t="s">
        <v>55</v>
      </c>
      <c r="AA44" s="59"/>
      <c r="AB44" s="59"/>
      <c r="AC44" s="60">
        <v>7.0000000000000007E-2</v>
      </c>
    </row>
    <row r="45" spans="1:37" ht="14.45">
      <c r="A45" s="11"/>
      <c r="B45" s="2"/>
      <c r="C45" s="2"/>
      <c r="D45" s="2"/>
      <c r="E45" s="2"/>
      <c r="F45" s="2"/>
      <c r="G45" s="12"/>
      <c r="H45" s="12"/>
      <c r="I45" s="8"/>
      <c r="J45" s="2"/>
      <c r="K45" s="7"/>
      <c r="AA45" s="22"/>
      <c r="AB45" s="22"/>
      <c r="AC45" s="5"/>
    </row>
    <row r="46" spans="1:37" ht="14.45">
      <c r="A46" s="11"/>
      <c r="B46" s="2"/>
      <c r="C46" s="2"/>
      <c r="D46" s="2"/>
      <c r="E46" s="2"/>
      <c r="F46" s="2"/>
      <c r="G46" s="12"/>
      <c r="H46" s="12"/>
      <c r="I46" s="8"/>
      <c r="J46" s="2"/>
      <c r="K46" s="7"/>
      <c r="Z46" t="s">
        <v>51</v>
      </c>
      <c r="AA46" s="57" t="s">
        <v>58</v>
      </c>
      <c r="AB46" s="22">
        <v>5340102</v>
      </c>
      <c r="AC46" s="47">
        <f>+AB46*AC44</f>
        <v>373807.14</v>
      </c>
    </row>
    <row r="47" spans="1:37" ht="14.45">
      <c r="A47" s="11"/>
      <c r="B47" s="2"/>
      <c r="C47" s="2"/>
      <c r="D47" s="2"/>
      <c r="E47" s="2"/>
      <c r="F47" s="2"/>
      <c r="G47" s="12"/>
      <c r="H47" s="12"/>
      <c r="I47" s="8"/>
      <c r="J47" s="2"/>
      <c r="K47" s="7"/>
      <c r="AA47" s="22"/>
      <c r="AB47" s="22"/>
      <c r="AC47" s="47"/>
    </row>
    <row r="48" spans="1:37" ht="14.45">
      <c r="A48" s="11"/>
      <c r="B48" s="2"/>
      <c r="C48" s="2"/>
      <c r="D48" s="2"/>
      <c r="E48" s="2"/>
      <c r="F48" s="2"/>
      <c r="G48" s="12"/>
      <c r="H48" s="12"/>
      <c r="I48" s="8"/>
      <c r="J48" s="2"/>
      <c r="K48" s="7"/>
      <c r="Z48" s="22" t="s">
        <v>52</v>
      </c>
      <c r="AA48" s="22">
        <v>9882547</v>
      </c>
      <c r="AB48" s="22"/>
      <c r="AC48" s="5"/>
    </row>
    <row r="49" spans="1:29" ht="14.45">
      <c r="A49" s="11"/>
      <c r="B49" s="2"/>
      <c r="C49" s="2"/>
      <c r="D49" s="2"/>
      <c r="E49" s="2"/>
      <c r="F49" s="2"/>
      <c r="G49" s="12"/>
      <c r="H49" s="12"/>
      <c r="I49" s="8"/>
      <c r="J49" s="2"/>
      <c r="K49" s="7"/>
      <c r="Z49" s="22" t="s">
        <v>53</v>
      </c>
      <c r="AA49" s="61">
        <v>9849637</v>
      </c>
      <c r="AB49" s="22"/>
      <c r="AC49" s="22">
        <f>+AA48-AA49</f>
        <v>32910</v>
      </c>
    </row>
    <row r="50" spans="1:29" ht="14.45">
      <c r="A50" s="11"/>
      <c r="B50" s="2"/>
      <c r="C50" s="2"/>
      <c r="D50" s="2"/>
      <c r="E50" s="2"/>
      <c r="F50" s="2"/>
      <c r="G50" s="12"/>
      <c r="H50" s="12"/>
      <c r="I50" s="8"/>
      <c r="J50" s="2"/>
      <c r="K50" s="7"/>
      <c r="Z50" s="22"/>
      <c r="AC50" s="47">
        <f>+AC49-AC46</f>
        <v>-340897.14</v>
      </c>
    </row>
    <row r="51" spans="1:29" ht="14.45">
      <c r="A51" s="11"/>
      <c r="B51" s="2"/>
      <c r="C51" s="2"/>
      <c r="D51" s="2"/>
      <c r="E51" s="2"/>
      <c r="F51" s="2"/>
      <c r="G51" s="12"/>
      <c r="H51" s="12"/>
      <c r="I51" s="8"/>
      <c r="J51" s="2"/>
      <c r="K51" s="7"/>
      <c r="Z51" s="22" t="s">
        <v>57</v>
      </c>
      <c r="AA51" s="22">
        <v>16874894</v>
      </c>
      <c r="AC51" s="5"/>
    </row>
    <row r="52" spans="1:29" ht="14.45">
      <c r="A52" s="11"/>
      <c r="B52" s="2"/>
      <c r="C52" s="2"/>
      <c r="D52" s="2"/>
      <c r="E52" s="2"/>
      <c r="F52" s="2"/>
      <c r="G52" s="12"/>
      <c r="H52" s="12"/>
      <c r="I52" s="8"/>
      <c r="J52" s="2"/>
      <c r="K52" s="7"/>
      <c r="Z52" s="22"/>
      <c r="AA52" s="22">
        <f>+AA51-AA49</f>
        <v>7025257</v>
      </c>
      <c r="AB52" s="22"/>
      <c r="AC52" s="5"/>
    </row>
    <row r="53" spans="1:29" ht="14.45">
      <c r="A53" s="11"/>
      <c r="B53" s="2"/>
      <c r="C53" s="2"/>
      <c r="D53" s="2"/>
      <c r="E53" s="2"/>
      <c r="F53" s="2"/>
      <c r="G53" s="12"/>
      <c r="H53" s="12"/>
      <c r="I53" s="8"/>
      <c r="J53" s="2"/>
      <c r="K53" s="7"/>
    </row>
    <row r="54" spans="1:29" ht="14.45">
      <c r="A54" s="11"/>
      <c r="B54" s="2"/>
      <c r="C54" s="2"/>
      <c r="D54" s="2"/>
      <c r="E54" s="2"/>
      <c r="F54" s="2"/>
      <c r="G54" s="12"/>
      <c r="H54" s="12"/>
      <c r="I54" s="8"/>
      <c r="J54" s="2"/>
      <c r="K54" s="7"/>
    </row>
    <row r="55" spans="1:29" ht="14.45">
      <c r="A55" s="11"/>
      <c r="B55" s="2"/>
      <c r="C55" s="2"/>
      <c r="D55" s="2"/>
      <c r="E55" s="2"/>
      <c r="F55" s="2"/>
      <c r="G55" s="12"/>
      <c r="H55" s="12"/>
      <c r="I55" s="8"/>
      <c r="J55" s="2"/>
      <c r="K55" s="7"/>
      <c r="Z55" s="64" t="s">
        <v>59</v>
      </c>
      <c r="AA55" s="59"/>
      <c r="AB55" s="59"/>
      <c r="AC55" s="60">
        <v>7.0000000000000007E-2</v>
      </c>
    </row>
    <row r="56" spans="1:29" ht="14.45">
      <c r="A56" s="11"/>
      <c r="B56" s="2"/>
      <c r="C56" s="2"/>
      <c r="D56" s="2"/>
      <c r="E56" s="2"/>
      <c r="F56" s="2"/>
      <c r="G56" s="12"/>
      <c r="H56" s="12"/>
      <c r="I56" s="8"/>
      <c r="J56" s="2"/>
      <c r="K56" s="7"/>
      <c r="AA56" s="22"/>
      <c r="AB56" s="22"/>
      <c r="AC56" s="5"/>
    </row>
    <row r="57" spans="1:29" ht="14.45">
      <c r="A57" s="11"/>
      <c r="B57" s="2"/>
      <c r="C57" s="2"/>
      <c r="D57" s="2"/>
      <c r="E57" s="2"/>
      <c r="F57" s="2"/>
      <c r="G57" s="12"/>
      <c r="H57" s="12"/>
      <c r="I57" s="8"/>
      <c r="J57" s="2"/>
      <c r="K57" s="7"/>
      <c r="Z57" t="s">
        <v>51</v>
      </c>
      <c r="AA57" s="57" t="s">
        <v>60</v>
      </c>
      <c r="AB57" s="22">
        <v>5251824</v>
      </c>
      <c r="AC57" s="47">
        <f>+AB57*AC55</f>
        <v>367627.68000000005</v>
      </c>
    </row>
    <row r="58" spans="1:29" ht="14.45">
      <c r="A58" s="11"/>
      <c r="B58" s="2"/>
      <c r="C58" s="2"/>
      <c r="D58" s="2"/>
      <c r="E58" s="2"/>
      <c r="F58" s="2"/>
      <c r="G58" s="12"/>
      <c r="H58" s="12"/>
      <c r="I58" s="8"/>
      <c r="J58" s="2"/>
      <c r="K58" s="7"/>
      <c r="AA58" s="22"/>
      <c r="AB58" s="22"/>
      <c r="AC58" s="47"/>
    </row>
    <row r="59" spans="1:29" ht="14.45">
      <c r="A59" s="11"/>
      <c r="B59" s="2"/>
      <c r="C59" s="2"/>
      <c r="D59" s="2"/>
      <c r="E59" s="2"/>
      <c r="F59" s="2"/>
      <c r="G59" s="12"/>
      <c r="H59" s="12"/>
      <c r="I59" s="8"/>
      <c r="J59" s="2"/>
      <c r="K59" s="7"/>
      <c r="Z59" s="22" t="s">
        <v>52</v>
      </c>
      <c r="AA59" s="22">
        <v>9882547</v>
      </c>
      <c r="AB59" s="22"/>
      <c r="AC59" s="5"/>
    </row>
    <row r="60" spans="1:29" ht="14.45">
      <c r="A60" s="11"/>
      <c r="B60" s="2"/>
      <c r="C60" s="2"/>
      <c r="D60" s="2"/>
      <c r="E60" s="2"/>
      <c r="F60" s="2"/>
      <c r="G60" s="12"/>
      <c r="H60" s="12"/>
      <c r="I60" s="8"/>
      <c r="J60" s="2"/>
      <c r="K60" s="7"/>
      <c r="Z60" s="22" t="s">
        <v>53</v>
      </c>
      <c r="AA60" s="61">
        <v>9849637</v>
      </c>
      <c r="AB60" s="22"/>
    </row>
    <row r="61" spans="1:29" ht="14.45">
      <c r="A61" s="11"/>
      <c r="B61" s="2"/>
      <c r="C61" s="2"/>
      <c r="D61" s="2"/>
      <c r="E61" s="2"/>
      <c r="F61" s="2"/>
      <c r="G61" s="12"/>
      <c r="H61" s="12"/>
      <c r="I61" s="8"/>
      <c r="J61" s="2"/>
      <c r="K61" s="7"/>
      <c r="Z61" s="22" t="s">
        <v>61</v>
      </c>
      <c r="AA61" s="22">
        <f>+AA59-AA60</f>
        <v>32910</v>
      </c>
      <c r="AC61" s="47">
        <f>+AA61-AC57</f>
        <v>-334717.68000000005</v>
      </c>
    </row>
    <row r="62" spans="1:29" ht="14.45">
      <c r="A62" s="11"/>
      <c r="B62" s="2"/>
      <c r="C62" s="2"/>
      <c r="D62" s="2"/>
      <c r="E62" s="2"/>
      <c r="F62" s="2"/>
      <c r="G62" s="12"/>
      <c r="H62" s="12"/>
      <c r="I62" s="8"/>
      <c r="J62" s="2"/>
      <c r="K62" s="7"/>
      <c r="AC62" s="5"/>
    </row>
    <row r="63" spans="1:29" ht="14.45">
      <c r="A63" s="11"/>
      <c r="B63" s="2"/>
      <c r="C63" s="2"/>
      <c r="D63" s="2"/>
      <c r="E63" s="2"/>
      <c r="F63" s="2"/>
      <c r="G63" s="12"/>
      <c r="H63" s="12"/>
      <c r="I63" s="8"/>
      <c r="J63" s="2"/>
      <c r="K63" s="7"/>
      <c r="Z63" s="22" t="s">
        <v>57</v>
      </c>
      <c r="AA63" s="22">
        <v>16874894</v>
      </c>
      <c r="AC63" s="5"/>
    </row>
    <row r="64" spans="1:29" ht="14.45">
      <c r="A64" s="11"/>
      <c r="B64" s="34"/>
      <c r="C64" s="34"/>
      <c r="D64" s="34"/>
      <c r="E64" s="34"/>
      <c r="F64" s="34"/>
      <c r="G64" s="12"/>
      <c r="H64" s="12"/>
      <c r="I64" s="8"/>
      <c r="J64" s="2"/>
      <c r="K64" s="37"/>
      <c r="Z64" s="22"/>
      <c r="AA64" s="22">
        <f>+AA63-AA60</f>
        <v>7025257</v>
      </c>
      <c r="AB64" s="22"/>
    </row>
    <row r="65" spans="1:29" ht="14.45">
      <c r="A65" s="11"/>
      <c r="B65" s="34"/>
      <c r="C65" s="34"/>
      <c r="D65" s="34"/>
      <c r="E65" s="34"/>
      <c r="F65" s="34"/>
      <c r="G65" s="12"/>
      <c r="H65" s="12"/>
      <c r="I65" s="8"/>
      <c r="J65" s="34"/>
      <c r="K65" s="37"/>
    </row>
    <row r="66" spans="1:29" ht="14.45">
      <c r="A66" s="11"/>
      <c r="B66" s="34"/>
      <c r="C66" s="34"/>
      <c r="D66" s="34"/>
      <c r="E66" s="34"/>
      <c r="F66" s="34"/>
      <c r="G66" s="12"/>
      <c r="H66" s="12"/>
      <c r="I66" s="8"/>
      <c r="J66" s="34"/>
      <c r="K66" s="37"/>
    </row>
    <row r="67" spans="1:29" ht="14.45">
      <c r="A67" s="11"/>
      <c r="B67" s="34"/>
      <c r="C67" s="34"/>
      <c r="D67" s="34"/>
      <c r="E67" s="34"/>
      <c r="F67" s="34"/>
      <c r="G67" s="12"/>
      <c r="H67" s="12"/>
      <c r="I67" s="8"/>
      <c r="J67" s="34"/>
      <c r="K67" s="37"/>
      <c r="Z67" s="65" t="s">
        <v>62</v>
      </c>
      <c r="AA67" s="66"/>
      <c r="AB67" s="66"/>
      <c r="AC67" s="65" t="s">
        <v>63</v>
      </c>
    </row>
    <row r="68" spans="1:29" ht="14.45">
      <c r="A68" s="11"/>
      <c r="B68" s="34"/>
      <c r="C68" s="34"/>
      <c r="D68" s="34"/>
      <c r="E68" s="34"/>
      <c r="F68" s="34"/>
      <c r="G68" s="35"/>
      <c r="H68" s="35"/>
      <c r="I68" s="36"/>
      <c r="J68" s="34"/>
      <c r="K68" s="37"/>
      <c r="AC68" s="5"/>
    </row>
    <row r="69" spans="1:29" ht="14.45">
      <c r="A69" s="11"/>
      <c r="B69" s="34"/>
      <c r="C69" s="34"/>
      <c r="D69" s="34"/>
      <c r="E69" s="34"/>
      <c r="F69" s="34"/>
      <c r="G69" s="35"/>
      <c r="H69" s="35"/>
      <c r="I69" s="36"/>
      <c r="J69" s="34"/>
      <c r="K69" s="37"/>
      <c r="Z69" t="s">
        <v>51</v>
      </c>
      <c r="AA69">
        <v>2309</v>
      </c>
      <c r="AB69" s="22">
        <v>5251824</v>
      </c>
      <c r="AC69" s="47">
        <f>+AB69*7%</f>
        <v>367627.68000000005</v>
      </c>
    </row>
    <row r="70" spans="1:29" ht="14.45">
      <c r="A70" s="11"/>
      <c r="B70" s="34"/>
      <c r="C70" s="34"/>
      <c r="D70" s="34"/>
      <c r="E70" s="34"/>
      <c r="F70" s="34"/>
      <c r="G70" s="35"/>
      <c r="H70" s="35"/>
      <c r="I70" s="36"/>
      <c r="J70" s="34"/>
      <c r="K70" s="37"/>
    </row>
    <row r="71" spans="1:29" ht="14.45">
      <c r="A71" s="11"/>
      <c r="B71" s="34"/>
      <c r="C71" s="34"/>
      <c r="D71" s="34"/>
      <c r="E71" s="34"/>
      <c r="F71" s="34"/>
      <c r="G71" s="35"/>
      <c r="H71" s="35"/>
      <c r="I71" s="36"/>
      <c r="J71" s="34"/>
      <c r="K71" s="37"/>
      <c r="Z71" t="s">
        <v>64</v>
      </c>
      <c r="AA71" s="22">
        <v>9909019</v>
      </c>
      <c r="AB71" s="22"/>
      <c r="AC71" s="47">
        <f>+AA71-AC69</f>
        <v>9541391.3200000003</v>
      </c>
    </row>
    <row r="72" spans="1:29" ht="14.45">
      <c r="A72" s="11"/>
      <c r="B72" s="34"/>
      <c r="C72" s="34"/>
      <c r="D72" s="34"/>
      <c r="E72" s="34"/>
      <c r="F72" s="34"/>
      <c r="G72" s="35"/>
      <c r="H72" s="35"/>
      <c r="I72" s="36"/>
      <c r="J72" s="34"/>
      <c r="K72" s="37"/>
      <c r="AB72" s="22"/>
      <c r="AC72" s="47"/>
    </row>
    <row r="73" spans="1:29" ht="14.45">
      <c r="A73" s="11"/>
      <c r="B73" s="34"/>
      <c r="C73" s="34"/>
      <c r="D73" s="34"/>
      <c r="E73" s="34"/>
      <c r="F73" s="34"/>
      <c r="G73" s="35"/>
      <c r="H73" s="35"/>
      <c r="I73" s="36"/>
      <c r="J73" s="34"/>
      <c r="K73" s="37"/>
      <c r="Z73" t="s">
        <v>65</v>
      </c>
      <c r="AA73" s="22">
        <f>+AA71</f>
        <v>9909019</v>
      </c>
      <c r="AC73" s="47"/>
    </row>
    <row r="74" spans="1:29" ht="14.45">
      <c r="A74" s="11"/>
      <c r="B74" s="34"/>
      <c r="C74" s="34"/>
      <c r="D74" s="34"/>
      <c r="E74" s="34"/>
      <c r="F74" s="34"/>
      <c r="G74" s="35"/>
      <c r="H74" s="35"/>
      <c r="I74" s="36"/>
      <c r="J74" s="34"/>
      <c r="K74" s="37"/>
      <c r="AC74" s="47"/>
    </row>
    <row r="75" spans="1:29" ht="14.45">
      <c r="A75" s="11"/>
      <c r="B75" s="34"/>
      <c r="C75" s="34"/>
      <c r="D75" s="34"/>
      <c r="E75" s="34"/>
      <c r="F75" s="34"/>
      <c r="G75" s="35"/>
      <c r="H75" s="35"/>
      <c r="I75" s="36"/>
      <c r="J75" s="34"/>
      <c r="K75" s="37"/>
      <c r="Z75" t="s">
        <v>53</v>
      </c>
      <c r="AA75" s="22">
        <v>15483589</v>
      </c>
      <c r="AB75" s="22"/>
      <c r="AC75" s="47">
        <f>+AC69</f>
        <v>367627.68000000005</v>
      </c>
    </row>
    <row r="76" spans="1:29" ht="14.45">
      <c r="A76" s="11"/>
      <c r="B76" s="34"/>
      <c r="C76" s="34"/>
      <c r="D76" s="34"/>
      <c r="E76" s="34"/>
      <c r="F76" s="34"/>
      <c r="G76" s="35"/>
      <c r="H76" s="35"/>
      <c r="I76" s="36"/>
      <c r="J76" s="34"/>
      <c r="K76" s="37"/>
      <c r="Z76" t="s">
        <v>66</v>
      </c>
      <c r="AA76" s="67">
        <f>+AA73-AA75</f>
        <v>-5574570</v>
      </c>
      <c r="AB76" s="22"/>
      <c r="AC76" s="22"/>
    </row>
    <row r="77" spans="1:29" ht="14.45">
      <c r="A77" s="11"/>
      <c r="B77" s="34"/>
      <c r="C77" s="34"/>
      <c r="D77" s="34"/>
      <c r="E77" s="34"/>
      <c r="F77" s="34"/>
      <c r="G77" s="35"/>
      <c r="H77" s="35"/>
      <c r="I77" s="36"/>
      <c r="J77" s="34"/>
      <c r="K77" s="37"/>
    </row>
    <row r="78" spans="1:29" ht="14.45">
      <c r="A78" s="11"/>
      <c r="B78" s="34"/>
      <c r="C78" s="34"/>
      <c r="D78" s="34"/>
      <c r="E78" s="34"/>
      <c r="F78" s="34"/>
      <c r="G78" s="35"/>
      <c r="H78" s="35"/>
      <c r="I78" s="36"/>
      <c r="J78" s="34"/>
      <c r="K78" s="37"/>
    </row>
    <row r="79" spans="1:29" ht="14.45">
      <c r="A79" s="11"/>
      <c r="B79" s="34"/>
      <c r="C79" s="34"/>
      <c r="D79" s="34"/>
      <c r="E79" s="34"/>
      <c r="F79" s="34"/>
      <c r="G79" s="35"/>
      <c r="H79" s="35"/>
      <c r="I79" s="36"/>
      <c r="J79" s="34"/>
      <c r="K79" s="37"/>
    </row>
    <row r="80" spans="1:29" ht="14.45">
      <c r="A80" s="11"/>
      <c r="B80" s="34"/>
      <c r="C80" s="34"/>
      <c r="D80" s="34"/>
      <c r="E80" s="34"/>
      <c r="F80" s="34"/>
      <c r="G80" s="35"/>
      <c r="H80" s="35"/>
      <c r="I80" s="36"/>
      <c r="J80" s="34"/>
      <c r="K80" s="37"/>
    </row>
    <row r="81" spans="1:30" ht="14.45">
      <c r="A81" s="11"/>
      <c r="B81" s="34"/>
      <c r="C81" s="34"/>
      <c r="D81" s="34"/>
      <c r="E81" s="34"/>
      <c r="F81" s="34"/>
      <c r="G81" s="35"/>
      <c r="H81" s="35"/>
      <c r="I81" s="36"/>
      <c r="J81" s="34"/>
      <c r="K81" s="37"/>
    </row>
    <row r="82" spans="1:30" ht="14.45">
      <c r="A82" s="11"/>
      <c r="B82" s="34"/>
      <c r="C82" s="34"/>
      <c r="D82" s="34"/>
      <c r="E82" s="34"/>
      <c r="F82" s="34"/>
      <c r="G82" s="35"/>
      <c r="H82" s="35"/>
      <c r="I82" s="36"/>
      <c r="J82" s="34"/>
      <c r="K82" s="37"/>
    </row>
    <row r="83" spans="1:30" ht="14.45">
      <c r="A83" s="11"/>
      <c r="B83" s="34"/>
      <c r="C83" s="34"/>
      <c r="D83" s="34"/>
      <c r="E83" s="34"/>
      <c r="F83" s="34"/>
      <c r="G83" s="35"/>
      <c r="H83" s="35"/>
      <c r="I83" s="36"/>
      <c r="J83" s="34"/>
      <c r="K83" s="37"/>
    </row>
    <row r="84" spans="1:30" ht="14.45">
      <c r="A84" s="11"/>
      <c r="B84" s="34"/>
      <c r="C84" s="34"/>
      <c r="D84" s="34"/>
      <c r="E84" s="34"/>
      <c r="F84" s="34"/>
      <c r="G84" s="35"/>
      <c r="H84" s="35"/>
      <c r="I84" s="36"/>
      <c r="J84" s="34"/>
      <c r="K84" s="37"/>
    </row>
    <row r="85" spans="1:30" ht="14.45">
      <c r="A85" s="11"/>
      <c r="B85" s="34"/>
      <c r="C85" s="34"/>
      <c r="D85" s="34"/>
      <c r="E85" s="34"/>
      <c r="F85" s="34"/>
      <c r="G85" s="35"/>
      <c r="H85" s="35"/>
      <c r="I85" s="36"/>
      <c r="J85" s="34"/>
      <c r="K85" s="37"/>
    </row>
    <row r="86" spans="1:30" ht="14.45">
      <c r="A86" s="11"/>
      <c r="B86" s="34"/>
      <c r="C86" s="34"/>
      <c r="D86" s="34"/>
      <c r="E86" s="34"/>
      <c r="F86" s="34"/>
      <c r="G86" s="35"/>
      <c r="H86" s="35"/>
      <c r="I86" s="36"/>
      <c r="J86" s="34"/>
      <c r="K86" s="37"/>
    </row>
    <row r="87" spans="1:30" ht="14.45">
      <c r="A87" s="11"/>
      <c r="B87" s="34"/>
      <c r="C87" s="34"/>
      <c r="D87" s="34"/>
      <c r="E87" s="34"/>
      <c r="F87" s="34"/>
      <c r="G87" s="35"/>
      <c r="H87" s="35"/>
      <c r="I87" s="36"/>
      <c r="J87" s="34"/>
      <c r="K87" s="37"/>
      <c r="U87" s="2"/>
      <c r="V87" s="2"/>
      <c r="W87" s="2"/>
      <c r="X87" s="2"/>
      <c r="AD87" s="2"/>
    </row>
    <row r="88" spans="1:30" ht="14.45">
      <c r="A88" s="11"/>
      <c r="B88" s="34"/>
      <c r="C88" s="34"/>
      <c r="D88" s="34"/>
      <c r="E88" s="34"/>
      <c r="F88" s="34"/>
      <c r="G88" s="35"/>
      <c r="H88" s="35"/>
      <c r="I88" s="36"/>
      <c r="J88" s="34"/>
      <c r="K88" s="37"/>
      <c r="U88" s="2"/>
      <c r="V88" s="2"/>
      <c r="W88" s="2"/>
      <c r="X88" s="2"/>
      <c r="AD88" s="4"/>
    </row>
    <row r="89" spans="1:30" ht="14.45">
      <c r="A89" s="11"/>
      <c r="B89" s="34"/>
      <c r="C89" s="34"/>
      <c r="D89" s="34"/>
      <c r="E89" s="34"/>
      <c r="F89" s="34"/>
      <c r="G89" s="35"/>
      <c r="H89" s="35"/>
      <c r="I89" s="36"/>
      <c r="J89" s="34"/>
      <c r="K89" s="37"/>
      <c r="S89" s="21"/>
      <c r="U89" s="2"/>
      <c r="V89" s="2"/>
      <c r="W89" s="2"/>
      <c r="X89" s="2"/>
      <c r="AD89" s="4"/>
    </row>
    <row r="90" spans="1:30" ht="14.45">
      <c r="A90" s="11"/>
      <c r="B90" s="34"/>
      <c r="C90" s="34"/>
      <c r="D90" s="34"/>
      <c r="E90" s="34"/>
      <c r="F90" s="34"/>
      <c r="G90" s="35"/>
      <c r="H90" s="35"/>
      <c r="I90" s="36"/>
      <c r="J90" s="34"/>
      <c r="K90" s="37"/>
      <c r="S90" s="21"/>
      <c r="U90" s="2"/>
      <c r="V90" s="2"/>
      <c r="W90" s="2"/>
      <c r="X90" s="2"/>
    </row>
    <row r="91" spans="1:30" ht="14.45">
      <c r="A91" s="11"/>
      <c r="B91" s="34"/>
      <c r="C91" s="34"/>
      <c r="D91" s="34"/>
      <c r="E91" s="34"/>
      <c r="F91" s="34"/>
      <c r="G91" s="35"/>
      <c r="H91" s="35"/>
      <c r="I91" s="36"/>
      <c r="J91" s="34"/>
      <c r="K91" s="37"/>
      <c r="S91" s="21"/>
      <c r="T91" s="21"/>
      <c r="U91" s="21"/>
      <c r="V91" s="21"/>
      <c r="W91" s="2"/>
      <c r="X91" s="2"/>
    </row>
    <row r="92" spans="1:30" ht="14.45">
      <c r="A92" s="11"/>
      <c r="B92" s="34"/>
      <c r="C92" s="34"/>
      <c r="D92" s="34"/>
      <c r="E92" s="34"/>
      <c r="F92" s="34"/>
      <c r="G92" s="35"/>
      <c r="H92" s="35"/>
      <c r="I92" s="36"/>
      <c r="J92" s="34"/>
      <c r="K92" s="37"/>
      <c r="S92" s="21"/>
      <c r="T92" s="21"/>
      <c r="U92" s="21"/>
      <c r="V92" s="21"/>
      <c r="W92" s="2"/>
      <c r="X92" s="2"/>
    </row>
    <row r="93" spans="1:30" ht="14.45">
      <c r="A93" s="11"/>
      <c r="B93" s="34"/>
      <c r="C93" s="34"/>
      <c r="D93" s="34"/>
      <c r="E93" s="34"/>
      <c r="F93" s="34"/>
      <c r="G93" s="35"/>
      <c r="H93" s="35"/>
      <c r="I93" s="36"/>
      <c r="J93" s="34"/>
      <c r="K93" s="37"/>
      <c r="S93" s="21"/>
      <c r="T93" s="21"/>
      <c r="U93" s="21"/>
      <c r="V93" s="21"/>
      <c r="W93" s="2"/>
      <c r="X93" s="2"/>
    </row>
    <row r="94" spans="1:30" ht="14.45">
      <c r="A94" s="11"/>
      <c r="B94" s="34"/>
      <c r="C94" s="34"/>
      <c r="D94" s="34"/>
      <c r="E94" s="34"/>
      <c r="F94" s="34"/>
      <c r="G94" s="35"/>
      <c r="H94" s="35"/>
      <c r="I94" s="36"/>
      <c r="J94" s="34"/>
      <c r="K94" s="37"/>
      <c r="S94" s="21"/>
      <c r="T94" s="21"/>
      <c r="U94" s="21"/>
      <c r="V94" s="21"/>
    </row>
    <row r="95" spans="1:30" ht="14.45">
      <c r="A95" s="11"/>
      <c r="B95" s="34"/>
      <c r="C95" s="34"/>
      <c r="D95" s="34"/>
      <c r="E95" s="34"/>
      <c r="F95" s="34"/>
      <c r="G95" s="35"/>
      <c r="H95" s="35"/>
      <c r="I95" s="36"/>
      <c r="J95" s="34"/>
      <c r="K95" s="37"/>
      <c r="S95" s="21"/>
      <c r="T95" s="21"/>
      <c r="U95" s="2"/>
      <c r="V95" s="2"/>
      <c r="W95" s="4"/>
      <c r="X95" s="4"/>
    </row>
    <row r="96" spans="1:30" ht="14.45">
      <c r="A96" s="11"/>
      <c r="B96" s="34"/>
      <c r="C96" s="34"/>
      <c r="D96" s="34"/>
      <c r="E96" s="34"/>
      <c r="F96" s="34"/>
      <c r="G96" s="35"/>
      <c r="H96" s="35"/>
      <c r="I96" s="36"/>
      <c r="J96" s="34"/>
      <c r="K96" s="37"/>
      <c r="S96" s="21"/>
      <c r="T96" s="21"/>
      <c r="U96" s="2"/>
      <c r="V96" s="2"/>
      <c r="W96" s="4"/>
      <c r="X96" s="4"/>
    </row>
    <row r="97" spans="1:22" ht="14.45">
      <c r="A97" s="11"/>
      <c r="B97" s="34"/>
      <c r="C97" s="34"/>
      <c r="D97" s="34"/>
      <c r="E97" s="34"/>
      <c r="F97" s="34"/>
      <c r="G97" s="35"/>
      <c r="H97" s="35"/>
      <c r="I97" s="36"/>
      <c r="J97" s="34"/>
      <c r="K97" s="37"/>
      <c r="T97" s="21"/>
      <c r="U97" s="2"/>
      <c r="V97" s="2"/>
    </row>
    <row r="98" spans="1:22" ht="14.45">
      <c r="A98" s="11"/>
      <c r="B98" s="34"/>
      <c r="C98" s="34"/>
      <c r="D98" s="34"/>
      <c r="E98" s="34"/>
      <c r="F98" s="34"/>
      <c r="G98" s="35"/>
      <c r="H98" s="35"/>
      <c r="I98" s="36"/>
      <c r="J98" s="34"/>
      <c r="K98" s="37"/>
      <c r="T98" s="21"/>
      <c r="U98" s="2"/>
      <c r="V98" s="2"/>
    </row>
    <row r="99" spans="1:22" ht="14.45">
      <c r="A99" s="11"/>
      <c r="B99" s="34"/>
      <c r="C99" s="34"/>
      <c r="D99" s="34"/>
      <c r="E99" s="34"/>
      <c r="F99" s="34"/>
      <c r="G99" s="35"/>
      <c r="H99" s="35"/>
      <c r="I99" s="36"/>
      <c r="J99" s="34"/>
      <c r="K99" s="37"/>
      <c r="T99" s="21"/>
      <c r="U99" s="2"/>
      <c r="V99" s="2"/>
    </row>
    <row r="100" spans="1:22" ht="14.45">
      <c r="A100" s="11"/>
      <c r="B100" s="34"/>
      <c r="C100" s="34"/>
      <c r="D100" s="34"/>
      <c r="E100" s="34"/>
      <c r="F100" s="34"/>
      <c r="G100" s="35"/>
      <c r="H100" s="35"/>
      <c r="I100" s="36"/>
      <c r="J100" s="34"/>
      <c r="K100" s="37"/>
      <c r="U100" s="2"/>
      <c r="V100" s="2"/>
    </row>
    <row r="101" spans="1:22" ht="14.45">
      <c r="A101" s="11"/>
      <c r="B101" s="34"/>
      <c r="C101" s="34"/>
      <c r="D101" s="34"/>
      <c r="E101" s="34"/>
      <c r="F101" s="34"/>
      <c r="G101" s="35"/>
      <c r="H101" s="35"/>
      <c r="I101" s="36"/>
      <c r="J101" s="34"/>
      <c r="K101" s="37"/>
      <c r="U101" s="2"/>
      <c r="V101" s="2"/>
    </row>
    <row r="102" spans="1:22" ht="14.45">
      <c r="A102" s="11"/>
      <c r="B102" s="34"/>
      <c r="C102" s="34"/>
      <c r="D102" s="34"/>
      <c r="E102" s="34"/>
      <c r="F102" s="34"/>
      <c r="G102" s="35"/>
      <c r="H102" s="35"/>
      <c r="I102" s="36"/>
      <c r="J102" s="34"/>
      <c r="K102" s="37"/>
    </row>
    <row r="103" spans="1:22" ht="14.45">
      <c r="A103" s="11"/>
      <c r="B103" s="34"/>
      <c r="C103" s="34"/>
      <c r="D103" s="34"/>
      <c r="E103" s="34"/>
      <c r="F103" s="34"/>
      <c r="G103" s="35"/>
      <c r="H103" s="35"/>
      <c r="I103" s="36"/>
      <c r="J103" s="34"/>
      <c r="K103" s="37"/>
    </row>
    <row r="104" spans="1:22" ht="14.45">
      <c r="A104" s="11"/>
      <c r="B104" s="34"/>
      <c r="C104" s="34"/>
      <c r="D104" s="34"/>
      <c r="E104" s="34"/>
      <c r="F104" s="34"/>
      <c r="G104" s="35"/>
      <c r="H104" s="35"/>
      <c r="I104" s="36"/>
      <c r="J104" s="34"/>
      <c r="K104" s="37"/>
    </row>
    <row r="105" spans="1:22" ht="14.45">
      <c r="A105" s="11"/>
      <c r="B105" s="34"/>
      <c r="C105" s="34"/>
      <c r="D105" s="34"/>
      <c r="E105" s="34"/>
      <c r="F105" s="34"/>
      <c r="G105" s="35"/>
      <c r="H105" s="35"/>
      <c r="I105" s="36"/>
      <c r="J105" s="34"/>
      <c r="K105" s="37"/>
    </row>
    <row r="106" spans="1:22" ht="14.45">
      <c r="A106" s="11"/>
      <c r="B106" s="34"/>
      <c r="C106" s="34"/>
      <c r="D106" s="34"/>
      <c r="E106" s="34"/>
      <c r="F106" s="34"/>
      <c r="G106" s="35"/>
      <c r="H106" s="35"/>
      <c r="I106" s="36"/>
      <c r="J106" s="34"/>
      <c r="K106" s="37"/>
    </row>
    <row r="107" spans="1:22" ht="14.45">
      <c r="A107" s="11"/>
      <c r="B107" s="34"/>
      <c r="C107" s="34"/>
      <c r="D107" s="34"/>
      <c r="E107" s="34"/>
      <c r="F107" s="34"/>
      <c r="G107" s="35"/>
      <c r="H107" s="35"/>
      <c r="I107" s="36"/>
      <c r="J107" s="34"/>
      <c r="K107" s="37"/>
    </row>
    <row r="108" spans="1:22" ht="14.45">
      <c r="A108" s="11"/>
      <c r="B108" s="34"/>
      <c r="C108" s="34"/>
      <c r="D108" s="34"/>
      <c r="E108" s="34"/>
      <c r="F108" s="34"/>
      <c r="G108" s="35"/>
      <c r="H108" s="35"/>
      <c r="I108" s="36"/>
      <c r="J108" s="34"/>
      <c r="K108" s="37"/>
    </row>
    <row r="109" spans="1:22" ht="14.45">
      <c r="A109" s="11"/>
      <c r="B109" s="34"/>
      <c r="C109" s="34"/>
      <c r="D109" s="34"/>
      <c r="E109" s="34"/>
      <c r="F109" s="34"/>
      <c r="G109" s="35"/>
      <c r="H109" s="35"/>
      <c r="I109" s="36"/>
      <c r="J109" s="34"/>
      <c r="K109" s="37"/>
    </row>
    <row r="110" spans="1:22" ht="14.45">
      <c r="A110" s="11"/>
      <c r="B110" s="34"/>
      <c r="C110" s="34"/>
      <c r="D110" s="34"/>
      <c r="E110" s="34"/>
      <c r="F110" s="34"/>
      <c r="G110" s="35"/>
      <c r="H110" s="35"/>
      <c r="I110" s="36"/>
      <c r="J110" s="34"/>
      <c r="K110" s="37"/>
    </row>
    <row r="111" spans="1:22" ht="14.45">
      <c r="A111" s="11"/>
      <c r="B111" s="34"/>
      <c r="C111" s="34"/>
      <c r="D111" s="34"/>
      <c r="E111" s="34"/>
      <c r="F111" s="34"/>
      <c r="G111" s="35"/>
      <c r="H111" s="35"/>
      <c r="I111" s="36"/>
      <c r="J111" s="34"/>
      <c r="K111" s="37"/>
    </row>
    <row r="112" spans="1:22" ht="14.45">
      <c r="A112" s="11"/>
      <c r="B112" s="34"/>
      <c r="C112" s="34"/>
      <c r="D112" s="34"/>
      <c r="E112" s="34"/>
      <c r="F112" s="34"/>
      <c r="G112" s="35"/>
      <c r="H112" s="35"/>
      <c r="I112" s="36"/>
      <c r="J112" s="34"/>
      <c r="K112" s="37"/>
    </row>
    <row r="113" spans="1:11" ht="14.45">
      <c r="A113" s="11"/>
      <c r="B113" s="34"/>
      <c r="C113" s="34"/>
      <c r="D113" s="34"/>
      <c r="E113" s="34"/>
      <c r="F113" s="34"/>
      <c r="G113" s="35"/>
      <c r="H113" s="35"/>
      <c r="I113" s="36"/>
      <c r="J113" s="34"/>
      <c r="K113" s="37"/>
    </row>
    <row r="114" spans="1:11" ht="14.45">
      <c r="A114" s="11"/>
      <c r="B114" s="34"/>
      <c r="C114" s="34"/>
      <c r="D114" s="34"/>
      <c r="E114" s="34"/>
      <c r="F114" s="34"/>
      <c r="G114" s="35"/>
      <c r="H114" s="35"/>
      <c r="I114" s="36"/>
      <c r="J114" s="34"/>
      <c r="K114" s="37"/>
    </row>
    <row r="115" spans="1:11" ht="14.45">
      <c r="A115" s="11"/>
      <c r="B115" s="34"/>
      <c r="C115" s="34"/>
      <c r="D115" s="34"/>
      <c r="E115" s="34"/>
      <c r="F115" s="34"/>
      <c r="G115" s="35"/>
      <c r="H115" s="35"/>
      <c r="I115" s="36"/>
      <c r="J115" s="34"/>
      <c r="K115" s="37"/>
    </row>
    <row r="116" spans="1:11" ht="14.45">
      <c r="A116" s="11"/>
      <c r="B116" s="34"/>
      <c r="C116" s="34"/>
      <c r="D116" s="34"/>
      <c r="E116" s="34"/>
      <c r="F116" s="34"/>
      <c r="G116" s="35"/>
      <c r="H116" s="35"/>
      <c r="I116" s="36"/>
      <c r="J116" s="34"/>
      <c r="K116" s="37"/>
    </row>
    <row r="117" spans="1:11" ht="14.45">
      <c r="A117" s="11"/>
      <c r="B117" s="34"/>
      <c r="C117" s="34"/>
      <c r="D117" s="34"/>
      <c r="E117" s="34"/>
      <c r="F117" s="34"/>
      <c r="G117" s="35"/>
      <c r="H117" s="35"/>
      <c r="I117" s="36"/>
      <c r="J117" s="34"/>
      <c r="K117" s="37"/>
    </row>
    <row r="118" spans="1:11" ht="14.45">
      <c r="A118" s="11"/>
    </row>
  </sheetData>
  <mergeCells count="2">
    <mergeCell ref="Z17:AE17"/>
    <mergeCell ref="Q2:X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DC0-6ACB-4734-B704-48F93602B77D}">
  <dimension ref="B1:M89"/>
  <sheetViews>
    <sheetView tabSelected="1" topLeftCell="A74" workbookViewId="0">
      <selection activeCell="J84" sqref="J84"/>
    </sheetView>
  </sheetViews>
  <sheetFormatPr defaultColWidth="11.42578125" defaultRowHeight="14.45"/>
  <cols>
    <col min="1" max="1" width="11.42578125" style="5"/>
    <col min="2" max="2" width="15.140625" style="5" bestFit="1" customWidth="1"/>
    <col min="3" max="3" width="11.85546875" style="5" bestFit="1" customWidth="1"/>
    <col min="4" max="6" width="11.42578125" style="5"/>
    <col min="7" max="9" width="13.5703125" style="5" bestFit="1" customWidth="1"/>
    <col min="10" max="10" width="12.5703125" style="5" bestFit="1" customWidth="1"/>
    <col min="11" max="11" width="13.5703125" style="5" bestFit="1" customWidth="1"/>
    <col min="12" max="16384" width="11.42578125" style="5"/>
  </cols>
  <sheetData>
    <row r="1" spans="2:5" ht="15" thickBot="1"/>
    <row r="2" spans="2:5">
      <c r="B2" s="73" t="s">
        <v>67</v>
      </c>
      <c r="C2" s="74"/>
      <c r="D2" s="75">
        <v>7.0000000000000007E-2</v>
      </c>
      <c r="E2"/>
    </row>
    <row r="3" spans="2:5">
      <c r="B3" s="76" t="s">
        <v>68</v>
      </c>
      <c r="C3" s="77">
        <f>+C4+C7</f>
        <v>9594584.6199999992</v>
      </c>
      <c r="D3" s="78"/>
      <c r="E3"/>
    </row>
    <row r="4" spans="2:5">
      <c r="B4" s="76" t="s">
        <v>69</v>
      </c>
      <c r="C4" s="77">
        <v>9226618</v>
      </c>
      <c r="D4" s="78"/>
      <c r="E4"/>
    </row>
    <row r="5" spans="2:5">
      <c r="B5" s="76" t="s">
        <v>70</v>
      </c>
      <c r="C5" s="79">
        <f>+C3-C4</f>
        <v>367966.61999999918</v>
      </c>
      <c r="D5" s="78"/>
      <c r="E5"/>
    </row>
    <row r="6" spans="2:5">
      <c r="B6" s="80" t="s">
        <v>71</v>
      </c>
      <c r="C6" s="77">
        <v>5256666</v>
      </c>
      <c r="D6" s="81"/>
      <c r="E6"/>
    </row>
    <row r="7" spans="2:5" ht="15" thickBot="1">
      <c r="B7" s="82" t="s">
        <v>72</v>
      </c>
      <c r="C7" s="83">
        <f>+C6*D2</f>
        <v>367966.62000000005</v>
      </c>
      <c r="D7" s="84"/>
      <c r="E7"/>
    </row>
    <row r="8" spans="2:5">
      <c r="B8"/>
      <c r="C8" s="72"/>
      <c r="D8"/>
      <c r="E8"/>
    </row>
    <row r="9" spans="2:5" ht="15" thickBot="1">
      <c r="B9"/>
      <c r="C9"/>
      <c r="D9"/>
      <c r="E9"/>
    </row>
    <row r="10" spans="2:5">
      <c r="B10" s="96" t="s">
        <v>73</v>
      </c>
      <c r="C10" s="97"/>
      <c r="D10" s="98">
        <v>7.0000000000000007E-2</v>
      </c>
      <c r="E10"/>
    </row>
    <row r="11" spans="2:5">
      <c r="B11" s="76" t="s">
        <v>68</v>
      </c>
      <c r="C11" s="77">
        <f>+C12+C14</f>
        <v>10212401.08</v>
      </c>
      <c r="D11" s="78"/>
      <c r="E11"/>
    </row>
    <row r="12" spans="2:5">
      <c r="B12" s="76" t="s">
        <v>74</v>
      </c>
      <c r="C12" s="77">
        <f>9747162+114214</f>
        <v>9861376</v>
      </c>
      <c r="D12" s="78"/>
      <c r="E12"/>
    </row>
    <row r="13" spans="2:5">
      <c r="B13" s="76" t="s">
        <v>75</v>
      </c>
      <c r="C13" s="77">
        <v>5014644</v>
      </c>
      <c r="D13" s="78"/>
      <c r="E13"/>
    </row>
    <row r="14" spans="2:5" ht="15" thickBot="1">
      <c r="B14" s="82" t="s">
        <v>76</v>
      </c>
      <c r="C14" s="99">
        <f>+C13*D10</f>
        <v>351025.08</v>
      </c>
      <c r="D14" s="84"/>
      <c r="E14"/>
    </row>
    <row r="15" spans="2:5" ht="15" thickBot="1">
      <c r="B15"/>
      <c r="C15" s="95"/>
      <c r="D15"/>
      <c r="E15"/>
    </row>
    <row r="16" spans="2:5">
      <c r="B16" s="96" t="s">
        <v>77</v>
      </c>
      <c r="C16" s="97"/>
      <c r="D16" s="108">
        <v>7.0000000000000007E-2</v>
      </c>
      <c r="E16" s="109"/>
    </row>
    <row r="17" spans="2:5">
      <c r="B17" s="76" t="s">
        <v>68</v>
      </c>
      <c r="C17" s="77">
        <f>+C18+D23</f>
        <v>10502802.039999999</v>
      </c>
      <c r="D17"/>
      <c r="E17" s="78"/>
    </row>
    <row r="18" spans="2:5">
      <c r="B18" s="76" t="s">
        <v>74</v>
      </c>
      <c r="C18" s="77">
        <f>10049889+E22</f>
        <v>10123518.029999999</v>
      </c>
      <c r="D18"/>
      <c r="E18" s="78"/>
    </row>
    <row r="19" spans="2:5">
      <c r="B19" s="76" t="s">
        <v>78</v>
      </c>
      <c r="C19" s="77">
        <v>5339172</v>
      </c>
      <c r="D19" s="77">
        <f>+C19*D16</f>
        <v>373742.04000000004</v>
      </c>
      <c r="E19" s="78"/>
    </row>
    <row r="20" spans="2:5">
      <c r="B20" s="76" t="s">
        <v>79</v>
      </c>
      <c r="C20" s="77">
        <v>59183</v>
      </c>
      <c r="D20" s="77">
        <f>+C20*D16</f>
        <v>4142.8100000000004</v>
      </c>
      <c r="E20" s="110">
        <f>+C20-D20</f>
        <v>55040.19</v>
      </c>
    </row>
    <row r="21" spans="2:5">
      <c r="B21" s="76" t="s">
        <v>80</v>
      </c>
      <c r="C21" s="77">
        <v>19988</v>
      </c>
      <c r="D21" s="77">
        <f>+C21*D16</f>
        <v>1399.16</v>
      </c>
      <c r="E21" s="110">
        <f>+C21-D21</f>
        <v>18588.84</v>
      </c>
    </row>
    <row r="22" spans="2:5">
      <c r="B22" s="76"/>
      <c r="C22" s="77"/>
      <c r="D22" s="77"/>
      <c r="E22" s="110">
        <f>+E20+E21</f>
        <v>73629.03</v>
      </c>
    </row>
    <row r="23" spans="2:5" ht="15" thickBot="1">
      <c r="B23" s="139" t="s">
        <v>81</v>
      </c>
      <c r="C23" s="140"/>
      <c r="D23" s="99">
        <f>+D19+D20+D21</f>
        <v>379284.01</v>
      </c>
      <c r="E23" s="84"/>
    </row>
    <row r="24" spans="2:5" ht="15" thickBot="1">
      <c r="B24" s="11"/>
      <c r="C24" s="77"/>
      <c r="D24" s="77"/>
      <c r="E24"/>
    </row>
    <row r="25" spans="2:5">
      <c r="B25" s="96" t="s">
        <v>82</v>
      </c>
      <c r="C25" s="97"/>
      <c r="D25" s="108">
        <v>7.0000000000000007E-2</v>
      </c>
      <c r="E25" s="112"/>
    </row>
    <row r="26" spans="2:5">
      <c r="B26" s="76" t="s">
        <v>68</v>
      </c>
      <c r="C26" s="77">
        <f>+C27+C29</f>
        <v>9630151.5600000005</v>
      </c>
      <c r="D26"/>
      <c r="E26" s="78"/>
    </row>
    <row r="27" spans="2:5">
      <c r="B27" s="76" t="s">
        <v>74</v>
      </c>
      <c r="C27" s="77">
        <v>9289342</v>
      </c>
      <c r="D27"/>
      <c r="E27" s="78"/>
    </row>
    <row r="28" spans="2:5">
      <c r="B28" s="76" t="s">
        <v>83</v>
      </c>
      <c r="C28" s="77">
        <v>4868708</v>
      </c>
      <c r="D28" s="77"/>
      <c r="E28" s="78"/>
    </row>
    <row r="29" spans="2:5" ht="15" thickBot="1">
      <c r="B29" s="82" t="s">
        <v>84</v>
      </c>
      <c r="C29" s="99">
        <f>+C28*D25</f>
        <v>340809.56000000006</v>
      </c>
      <c r="D29" s="111"/>
      <c r="E29" s="84"/>
    </row>
    <row r="31" spans="2:5" ht="15" thickBot="1"/>
    <row r="32" spans="2:5">
      <c r="B32" s="96" t="s">
        <v>85</v>
      </c>
      <c r="C32" s="97"/>
      <c r="D32" s="108">
        <v>7.0000000000000007E-2</v>
      </c>
      <c r="E32" s="112"/>
    </row>
    <row r="33" spans="2:13">
      <c r="B33" s="76" t="s">
        <v>68</v>
      </c>
      <c r="C33" s="77">
        <f>+C34+C36</f>
        <v>9847093.7100000009</v>
      </c>
      <c r="D33"/>
      <c r="E33" s="78"/>
    </row>
    <row r="34" spans="2:13">
      <c r="B34" s="76" t="s">
        <v>74</v>
      </c>
      <c r="C34" s="77">
        <v>9507779</v>
      </c>
      <c r="D34"/>
      <c r="E34" s="78"/>
    </row>
    <row r="35" spans="2:13">
      <c r="B35" s="76" t="s">
        <v>86</v>
      </c>
      <c r="C35" s="77">
        <v>4847353</v>
      </c>
      <c r="D35" s="77"/>
      <c r="E35" s="78"/>
    </row>
    <row r="36" spans="2:13" ht="15" thickBot="1">
      <c r="B36" s="82" t="s">
        <v>84</v>
      </c>
      <c r="C36" s="99">
        <f>+C35*D32</f>
        <v>339314.71</v>
      </c>
      <c r="D36" s="111"/>
      <c r="E36" s="84"/>
    </row>
    <row r="39" spans="2:13">
      <c r="B39" s="96" t="s">
        <v>87</v>
      </c>
      <c r="C39" s="97"/>
      <c r="D39" s="108">
        <v>7.0000000000000007E-2</v>
      </c>
      <c r="E39" s="112"/>
      <c r="G39" s="115"/>
      <c r="H39" s="115"/>
      <c r="I39" s="115"/>
      <c r="J39" s="115"/>
      <c r="K39" s="115"/>
      <c r="L39" s="115"/>
      <c r="M39" s="115"/>
    </row>
    <row r="40" spans="2:13">
      <c r="B40" s="76" t="s">
        <v>68</v>
      </c>
      <c r="C40" s="77">
        <f>+C41+C43</f>
        <v>9979579.2200000007</v>
      </c>
      <c r="D40"/>
      <c r="E40" s="78"/>
      <c r="G40" s="115"/>
      <c r="H40" s="115"/>
      <c r="I40" s="115"/>
      <c r="J40" s="115"/>
      <c r="K40" s="115"/>
      <c r="L40" s="115"/>
      <c r="M40" s="115"/>
    </row>
    <row r="41" spans="2:13">
      <c r="B41" s="76" t="s">
        <v>74</v>
      </c>
      <c r="C41" s="77">
        <f>9644409-259</f>
        <v>9644150</v>
      </c>
      <c r="D41" s="4"/>
      <c r="E41" s="78"/>
      <c r="G41" s="115"/>
      <c r="H41" s="115"/>
      <c r="I41" s="115"/>
      <c r="J41" s="115"/>
      <c r="K41" s="115"/>
      <c r="L41" s="115"/>
      <c r="M41" s="115"/>
    </row>
    <row r="42" spans="2:13">
      <c r="B42" s="76" t="s">
        <v>88</v>
      </c>
      <c r="C42" s="77">
        <v>4791846</v>
      </c>
      <c r="D42" s="77"/>
      <c r="E42" s="78"/>
      <c r="G42" s="115"/>
      <c r="H42" s="115"/>
      <c r="I42" s="115"/>
      <c r="J42" s="115"/>
      <c r="K42" s="115"/>
      <c r="L42" s="115"/>
      <c r="M42" s="115"/>
    </row>
    <row r="43" spans="2:13">
      <c r="B43" s="82" t="s">
        <v>84</v>
      </c>
      <c r="C43" s="99">
        <f>+C42*D39</f>
        <v>335429.22000000003</v>
      </c>
      <c r="D43" s="111"/>
      <c r="E43" s="84"/>
      <c r="G43" s="115"/>
      <c r="H43" s="115"/>
      <c r="I43" s="115"/>
      <c r="J43" s="115"/>
      <c r="K43" s="115"/>
      <c r="L43" s="115"/>
      <c r="M43" s="115"/>
    </row>
    <row r="44" spans="2:13" ht="15" thickBot="1">
      <c r="G44" s="115"/>
      <c r="H44" s="115"/>
      <c r="I44" s="115"/>
      <c r="J44" s="115"/>
      <c r="K44" s="115"/>
      <c r="L44" s="115"/>
      <c r="M44" s="115"/>
    </row>
    <row r="45" spans="2:13">
      <c r="B45" s="96" t="s">
        <v>89</v>
      </c>
      <c r="C45" s="97"/>
      <c r="D45" s="108">
        <v>7.0000000000000007E-2</v>
      </c>
      <c r="E45" s="112"/>
      <c r="G45" s="115"/>
      <c r="H45" s="115"/>
      <c r="I45" s="115"/>
      <c r="J45" s="115"/>
      <c r="K45" s="115"/>
      <c r="L45" s="115"/>
      <c r="M45" s="115"/>
    </row>
    <row r="46" spans="2:13">
      <c r="B46" s="76" t="s">
        <v>68</v>
      </c>
      <c r="C46" s="77">
        <f>+C47+D51</f>
        <v>9894560.2699999996</v>
      </c>
      <c r="D46"/>
      <c r="E46" s="78"/>
      <c r="G46" s="115"/>
      <c r="H46" s="115"/>
      <c r="I46" s="115"/>
      <c r="J46" s="115"/>
      <c r="K46" s="115"/>
      <c r="L46" s="115"/>
      <c r="M46" s="115"/>
    </row>
    <row r="47" spans="2:13">
      <c r="B47" s="76" t="s">
        <v>74</v>
      </c>
      <c r="C47" s="77">
        <v>9560572</v>
      </c>
      <c r="D47" s="4"/>
      <c r="E47" s="78"/>
      <c r="G47" s="115"/>
      <c r="H47" s="115"/>
      <c r="I47" s="115"/>
      <c r="J47" s="115"/>
      <c r="K47" s="115"/>
      <c r="L47" s="115"/>
      <c r="M47" s="115"/>
    </row>
    <row r="48" spans="2:13">
      <c r="B48" s="76" t="s">
        <v>90</v>
      </c>
      <c r="C48" s="77">
        <v>4729782</v>
      </c>
      <c r="D48" s="77">
        <f>+C48*D45</f>
        <v>331084.74000000005</v>
      </c>
      <c r="E48" s="78"/>
      <c r="G48" s="115"/>
      <c r="H48" s="115"/>
      <c r="I48" s="115"/>
      <c r="J48" s="53"/>
      <c r="K48" s="115"/>
      <c r="L48" s="115"/>
      <c r="M48" s="115"/>
    </row>
    <row r="49" spans="2:11">
      <c r="B49" s="76" t="s">
        <v>91</v>
      </c>
      <c r="C49" s="77">
        <v>34999</v>
      </c>
      <c r="D49" s="77">
        <f>+C49*D45</f>
        <v>2449.9300000000003</v>
      </c>
      <c r="E49" s="78"/>
      <c r="J49" s="115"/>
      <c r="K49" s="115"/>
    </row>
    <row r="50" spans="2:11">
      <c r="B50" s="76" t="s">
        <v>92</v>
      </c>
      <c r="C50" s="77">
        <v>6480</v>
      </c>
      <c r="D50" s="77">
        <f>+C50*D45</f>
        <v>453.6</v>
      </c>
      <c r="E50" s="78"/>
      <c r="H50" s="6"/>
      <c r="I50" s="6"/>
      <c r="J50" s="115"/>
      <c r="K50" s="115"/>
    </row>
    <row r="51" spans="2:11" ht="15" thickBot="1">
      <c r="B51" s="82" t="s">
        <v>84</v>
      </c>
      <c r="C51" s="99"/>
      <c r="D51" s="116">
        <f>+D48+D49+D50</f>
        <v>333988.27</v>
      </c>
      <c r="E51" s="84"/>
      <c r="J51" s="115"/>
      <c r="K51" s="115"/>
    </row>
    <row r="52" spans="2:11" ht="15" thickBot="1">
      <c r="I52" s="6"/>
      <c r="J52" s="115"/>
      <c r="K52" s="115"/>
    </row>
    <row r="53" spans="2:11">
      <c r="B53" s="96" t="s">
        <v>93</v>
      </c>
      <c r="C53" s="97"/>
      <c r="D53" s="108">
        <v>7.0000000000000007E-2</v>
      </c>
      <c r="E53" s="112"/>
      <c r="I53" s="115"/>
      <c r="J53" s="115"/>
      <c r="K53" s="115"/>
    </row>
    <row r="54" spans="2:11">
      <c r="B54" s="76" t="s">
        <v>68</v>
      </c>
      <c r="C54" s="77">
        <f>+C55+D58</f>
        <v>9814939.3200000003</v>
      </c>
      <c r="D54"/>
      <c r="E54" s="78"/>
      <c r="H54" s="53"/>
      <c r="I54" s="115"/>
      <c r="J54" s="115"/>
      <c r="K54" s="115"/>
    </row>
    <row r="55" spans="2:11">
      <c r="B55" s="76" t="s">
        <v>74</v>
      </c>
      <c r="C55" s="77">
        <v>9487782</v>
      </c>
      <c r="D55" s="4"/>
      <c r="E55" s="78"/>
      <c r="J55" s="115"/>
      <c r="K55" s="115"/>
    </row>
    <row r="56" spans="2:11">
      <c r="B56" s="76" t="s">
        <v>94</v>
      </c>
      <c r="C56" s="77">
        <v>4655322</v>
      </c>
      <c r="D56" s="77">
        <f>+C56*D53</f>
        <v>325872.54000000004</v>
      </c>
      <c r="E56" s="78"/>
      <c r="J56" s="115"/>
      <c r="K56" s="115"/>
    </row>
    <row r="57" spans="2:11">
      <c r="B57" s="76" t="s">
        <v>95</v>
      </c>
      <c r="C57" s="77">
        <v>18354</v>
      </c>
      <c r="D57" s="77">
        <f>+C57*D53</f>
        <v>1284.7800000000002</v>
      </c>
      <c r="E57" s="78"/>
      <c r="J57" s="115"/>
      <c r="K57" s="115"/>
    </row>
    <row r="58" spans="2:11" ht="15" thickBot="1">
      <c r="B58" s="82" t="s">
        <v>84</v>
      </c>
      <c r="C58" s="99"/>
      <c r="D58" s="116">
        <f>+D56+D57</f>
        <v>327157.32000000007</v>
      </c>
      <c r="E58" s="84"/>
      <c r="J58" s="115"/>
      <c r="K58" s="115"/>
    </row>
    <row r="59" spans="2:11" ht="15" thickBot="1">
      <c r="J59" s="115"/>
      <c r="K59" s="115"/>
    </row>
    <row r="60" spans="2:11">
      <c r="B60" s="96" t="s">
        <v>96</v>
      </c>
      <c r="C60" s="97"/>
      <c r="D60" s="108">
        <v>7.0000000000000007E-2</v>
      </c>
      <c r="E60" s="112"/>
    </row>
    <row r="61" spans="2:11">
      <c r="B61" s="76" t="s">
        <v>68</v>
      </c>
      <c r="C61" s="77">
        <f>+C62+D65</f>
        <v>9881120.8300000001</v>
      </c>
      <c r="D61"/>
      <c r="E61" s="78"/>
    </row>
    <row r="62" spans="2:11">
      <c r="B62" s="76" t="s">
        <v>74</v>
      </c>
      <c r="C62" s="77">
        <v>9556358</v>
      </c>
      <c r="D62" s="4"/>
      <c r="E62" s="78"/>
    </row>
    <row r="63" spans="2:11">
      <c r="B63" s="76" t="s">
        <v>97</v>
      </c>
      <c r="C63" s="77">
        <v>4603514</v>
      </c>
      <c r="D63" s="77">
        <f>+C63*D60</f>
        <v>322245.98000000004</v>
      </c>
      <c r="E63" s="78"/>
    </row>
    <row r="64" spans="2:11">
      <c r="B64" s="76" t="s">
        <v>98</v>
      </c>
      <c r="C64" s="77">
        <v>35955</v>
      </c>
      <c r="D64" s="77">
        <f>+C64*D60</f>
        <v>2516.8500000000004</v>
      </c>
      <c r="E64" s="78"/>
    </row>
    <row r="65" spans="2:12" ht="15" thickBot="1">
      <c r="B65" s="82" t="s">
        <v>84</v>
      </c>
      <c r="C65" s="99"/>
      <c r="D65" s="116">
        <f>+D63+D64</f>
        <v>324762.83</v>
      </c>
      <c r="E65" s="84"/>
    </row>
    <row r="66" spans="2:12" ht="15" thickBot="1">
      <c r="I66" s="2"/>
    </row>
    <row r="67" spans="2:12">
      <c r="B67" s="96" t="s">
        <v>99</v>
      </c>
      <c r="C67" s="97"/>
      <c r="D67" s="108">
        <v>7.0000000000000007E-2</v>
      </c>
      <c r="E67" s="112"/>
      <c r="I67" s="2"/>
    </row>
    <row r="68" spans="2:12">
      <c r="B68" s="76" t="s">
        <v>68</v>
      </c>
      <c r="C68" s="77">
        <f>+C69+D72</f>
        <v>9848703.7799999993</v>
      </c>
      <c r="D68"/>
      <c r="E68" s="78"/>
      <c r="I68" s="2"/>
    </row>
    <row r="69" spans="2:12">
      <c r="B69" s="76" t="s">
        <v>74</v>
      </c>
      <c r="C69" s="77">
        <v>9527771</v>
      </c>
      <c r="D69" s="4"/>
      <c r="E69" s="78"/>
      <c r="H69" s="53"/>
      <c r="I69" s="21"/>
      <c r="J69" s="53"/>
      <c r="K69" s="53"/>
    </row>
    <row r="70" spans="2:12">
      <c r="B70" s="76" t="s">
        <v>100</v>
      </c>
      <c r="C70" s="77">
        <v>4557816</v>
      </c>
      <c r="D70" s="77">
        <f>+C70*D67</f>
        <v>319047.12000000005</v>
      </c>
      <c r="E70" s="78"/>
      <c r="G70" s="6"/>
      <c r="H70" s="53"/>
      <c r="I70" s="53"/>
      <c r="J70" s="53"/>
      <c r="K70" s="53"/>
    </row>
    <row r="71" spans="2:12">
      <c r="B71" s="76" t="s">
        <v>101</v>
      </c>
      <c r="C71" s="77">
        <v>26938</v>
      </c>
      <c r="D71" s="77">
        <f>+C71*D67</f>
        <v>1885.66</v>
      </c>
      <c r="E71" s="78"/>
      <c r="F71" s="6"/>
      <c r="G71" s="115"/>
      <c r="H71" s="53"/>
      <c r="I71" s="115"/>
      <c r="J71" s="53"/>
      <c r="K71" s="115"/>
      <c r="L71" s="6"/>
    </row>
    <row r="72" spans="2:12" ht="15" thickBot="1">
      <c r="B72" s="82" t="s">
        <v>84</v>
      </c>
      <c r="C72" s="99"/>
      <c r="D72" s="116">
        <f>+D70+D71</f>
        <v>320932.78000000003</v>
      </c>
      <c r="E72" s="84"/>
      <c r="G72" s="6"/>
      <c r="H72" s="53"/>
      <c r="I72" s="115"/>
      <c r="J72" s="53"/>
      <c r="K72" s="115"/>
      <c r="L72" s="6"/>
    </row>
    <row r="73" spans="2:12" ht="15" thickBot="1">
      <c r="H73" s="53"/>
      <c r="I73" s="115"/>
      <c r="J73" s="53"/>
      <c r="K73" s="115"/>
      <c r="L73" s="6"/>
    </row>
    <row r="74" spans="2:12">
      <c r="B74" s="96" t="s">
        <v>59</v>
      </c>
      <c r="C74" s="97"/>
      <c r="D74" s="108">
        <v>7.0000000000000007E-2</v>
      </c>
      <c r="E74" s="112"/>
      <c r="H74" s="53"/>
      <c r="I74" s="115"/>
      <c r="J74" s="53"/>
      <c r="K74" s="115"/>
      <c r="L74" s="6"/>
    </row>
    <row r="75" spans="2:12">
      <c r="B75" s="76" t="s">
        <v>68</v>
      </c>
      <c r="C75" s="77">
        <f>+C76+D79</f>
        <v>9967241.9000000004</v>
      </c>
      <c r="D75"/>
      <c r="E75" s="78"/>
      <c r="H75" s="53"/>
      <c r="I75" s="115"/>
      <c r="J75" s="53"/>
      <c r="K75" s="115"/>
      <c r="L75" s="6"/>
    </row>
    <row r="76" spans="2:12">
      <c r="B76" s="76" t="s">
        <v>74</v>
      </c>
      <c r="C76" s="77">
        <v>9642388</v>
      </c>
      <c r="D76" s="4"/>
      <c r="E76" s="78"/>
      <c r="G76" s="6"/>
      <c r="H76" s="53"/>
      <c r="I76" s="115"/>
      <c r="J76" s="53"/>
      <c r="K76" s="53"/>
    </row>
    <row r="77" spans="2:12">
      <c r="B77" s="76" t="s">
        <v>102</v>
      </c>
      <c r="C77" s="77">
        <v>4619160</v>
      </c>
      <c r="D77" s="77">
        <f>+C77*D74</f>
        <v>323341.2</v>
      </c>
      <c r="E77" s="78"/>
      <c r="H77" s="53"/>
      <c r="I77" s="115"/>
      <c r="J77" s="53"/>
      <c r="K77" s="53"/>
    </row>
    <row r="78" spans="2:12">
      <c r="B78" s="76" t="s">
        <v>103</v>
      </c>
      <c r="C78" s="77">
        <v>21610</v>
      </c>
      <c r="D78" s="77">
        <f>+C78*D74</f>
        <v>1512.7</v>
      </c>
      <c r="E78" s="78"/>
      <c r="I78" s="115"/>
    </row>
    <row r="79" spans="2:12" ht="15" thickBot="1">
      <c r="B79" s="82" t="s">
        <v>84</v>
      </c>
      <c r="C79" s="99"/>
      <c r="D79" s="116">
        <f>+D77+D78</f>
        <v>324853.90000000002</v>
      </c>
      <c r="E79" s="84"/>
    </row>
    <row r="80" spans="2:12" ht="15" thickBot="1"/>
    <row r="81" spans="2:5">
      <c r="B81" s="96" t="s">
        <v>62</v>
      </c>
      <c r="C81" s="97"/>
      <c r="D81" s="108">
        <v>7.0000000000000007E-2</v>
      </c>
      <c r="E81" s="112"/>
    </row>
    <row r="82" spans="2:5">
      <c r="B82" s="76" t="s">
        <v>68</v>
      </c>
      <c r="C82" s="77">
        <f>+C83+D87</f>
        <v>10053473.67</v>
      </c>
      <c r="D82"/>
      <c r="E82" s="78"/>
    </row>
    <row r="83" spans="2:5">
      <c r="B83" s="76" t="s">
        <v>74</v>
      </c>
      <c r="C83" s="77">
        <v>9723978</v>
      </c>
      <c r="D83" s="4"/>
      <c r="E83" s="78"/>
    </row>
    <row r="84" spans="2:5">
      <c r="B84" s="76" t="s">
        <v>104</v>
      </c>
      <c r="C84" s="77">
        <f>+C82-C83</f>
        <v>329495.66999999993</v>
      </c>
      <c r="D84" s="4"/>
      <c r="E84" s="78"/>
    </row>
    <row r="85" spans="2:5">
      <c r="B85" s="76" t="s">
        <v>105</v>
      </c>
      <c r="C85" s="77">
        <v>4694622</v>
      </c>
      <c r="D85" s="77">
        <f>+C85*D81</f>
        <v>328623.54000000004</v>
      </c>
      <c r="E85" s="78"/>
    </row>
    <row r="86" spans="2:5">
      <c r="B86" s="76" t="s">
        <v>106</v>
      </c>
      <c r="C86" s="77">
        <v>12459</v>
      </c>
      <c r="D86" s="77">
        <f>+C86*D81</f>
        <v>872.13000000000011</v>
      </c>
      <c r="E86" s="78"/>
    </row>
    <row r="87" spans="2:5" ht="15" thickBot="1">
      <c r="B87" s="82" t="s">
        <v>84</v>
      </c>
      <c r="C87" s="99"/>
      <c r="D87" s="116">
        <f>+D85+D86</f>
        <v>329495.67000000004</v>
      </c>
      <c r="E87" s="84"/>
    </row>
    <row r="88" spans="2:5" ht="15"/>
    <row r="89" spans="2:5" ht="15"/>
  </sheetData>
  <mergeCells count="1">
    <mergeCell ref="B23:C2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CE14-1F0F-4A9E-ACCD-613A8645BEDC}">
  <dimension ref="A2:E9"/>
  <sheetViews>
    <sheetView zoomScale="160" zoomScaleNormal="160" workbookViewId="0">
      <selection activeCell="C8" sqref="C8"/>
    </sheetView>
  </sheetViews>
  <sheetFormatPr defaultColWidth="11.42578125" defaultRowHeight="14.45"/>
  <cols>
    <col min="2" max="3" width="12.7109375" bestFit="1" customWidth="1"/>
    <col min="4" max="4" width="11" bestFit="1" customWidth="1"/>
    <col min="5" max="5" width="11.28515625" bestFit="1" customWidth="1"/>
  </cols>
  <sheetData>
    <row r="2" spans="1:5">
      <c r="B2" t="s">
        <v>107</v>
      </c>
    </row>
    <row r="3" spans="1:5">
      <c r="B3">
        <v>9506352</v>
      </c>
      <c r="C3">
        <v>10148923</v>
      </c>
      <c r="D3">
        <v>84712</v>
      </c>
    </row>
    <row r="5" spans="1:5">
      <c r="B5" t="s">
        <v>26</v>
      </c>
      <c r="C5" t="s">
        <v>25</v>
      </c>
      <c r="D5" t="s">
        <v>108</v>
      </c>
    </row>
    <row r="6" spans="1:5">
      <c r="A6" t="s">
        <v>109</v>
      </c>
      <c r="B6" s="2">
        <v>287248</v>
      </c>
      <c r="C6" s="2">
        <v>296285</v>
      </c>
      <c r="D6" s="2">
        <v>2713</v>
      </c>
      <c r="E6" s="4">
        <f>SUM(B6:D6)</f>
        <v>586246</v>
      </c>
    </row>
    <row r="7" spans="1:5">
      <c r="A7" t="s">
        <v>110</v>
      </c>
      <c r="B7" s="2">
        <f>5083543-B6</f>
        <v>4796295</v>
      </c>
      <c r="C7" s="91">
        <f>5332615-C6</f>
        <v>5036330</v>
      </c>
      <c r="D7" s="2">
        <f>13996-D6</f>
        <v>11283</v>
      </c>
      <c r="E7" s="4">
        <f>SUM(B7:D7)</f>
        <v>9843908</v>
      </c>
    </row>
    <row r="8" spans="1:5">
      <c r="A8" t="s">
        <v>111</v>
      </c>
      <c r="B8" s="4">
        <f>9944257-B7-B6</f>
        <v>4860714</v>
      </c>
      <c r="C8" s="92">
        <f>10304139-C7-C6</f>
        <v>4971524</v>
      </c>
      <c r="D8" s="4">
        <f>92033-D7-D6</f>
        <v>78037</v>
      </c>
      <c r="E8" s="4">
        <f>SUM(B8:D8)</f>
        <v>9910275</v>
      </c>
    </row>
    <row r="9" spans="1:5">
      <c r="C9" s="4">
        <f>SUM(C6:C8)</f>
        <v>10304139</v>
      </c>
      <c r="E9" s="4">
        <f>SUM(E6:E8)</f>
        <v>20340429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7E24-D441-40FE-8B54-A169B948CEE0}">
  <dimension ref="C3:J6"/>
  <sheetViews>
    <sheetView workbookViewId="0">
      <selection activeCell="J5" sqref="J5:J6"/>
    </sheetView>
  </sheetViews>
  <sheetFormatPr defaultColWidth="11.42578125" defaultRowHeight="14.45"/>
  <cols>
    <col min="4" max="4" width="12.5703125" bestFit="1" customWidth="1"/>
    <col min="5" max="5" width="12.5703125" customWidth="1"/>
    <col min="6" max="6" width="12.5703125" bestFit="1" customWidth="1"/>
    <col min="7" max="7" width="12.5703125" customWidth="1"/>
    <col min="8" max="8" width="12.5703125" bestFit="1" customWidth="1"/>
    <col min="9" max="9" width="11" bestFit="1" customWidth="1"/>
    <col min="10" max="10" width="11.140625" bestFit="1" customWidth="1"/>
  </cols>
  <sheetData>
    <row r="3" spans="3:10">
      <c r="D3" t="s">
        <v>112</v>
      </c>
    </row>
    <row r="4" spans="3:10">
      <c r="D4">
        <v>116</v>
      </c>
      <c r="F4">
        <v>135</v>
      </c>
    </row>
    <row r="5" spans="3:10">
      <c r="C5" t="s">
        <v>59</v>
      </c>
      <c r="D5" s="2">
        <v>2327335</v>
      </c>
      <c r="E5" s="2">
        <v>19542</v>
      </c>
      <c r="F5" s="2">
        <v>5295066</v>
      </c>
      <c r="G5" s="2">
        <v>5363</v>
      </c>
      <c r="H5" s="2">
        <f>+SUM(D5:G5)</f>
        <v>7647306</v>
      </c>
      <c r="I5" s="2">
        <v>7.0000000000000007E-2</v>
      </c>
      <c r="J5" s="2">
        <f>+H5*I5</f>
        <v>535311.42000000004</v>
      </c>
    </row>
    <row r="6" spans="3:10">
      <c r="C6" t="s">
        <v>62</v>
      </c>
      <c r="D6" s="2">
        <v>2266310</v>
      </c>
      <c r="E6" s="2"/>
      <c r="F6" s="2">
        <v>5222944</v>
      </c>
      <c r="G6">
        <v>100</v>
      </c>
      <c r="H6" s="2">
        <f>+SUM(D6:G6)</f>
        <v>7489354</v>
      </c>
      <c r="I6" s="2">
        <v>7.0000000000000007E-2</v>
      </c>
      <c r="J6" s="2">
        <f>+H6*I6</f>
        <v>524254.78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CAF8-F908-477E-A1F7-7EFC53FA61C5}">
  <dimension ref="A1:D6"/>
  <sheetViews>
    <sheetView showGridLines="0" workbookViewId="0">
      <selection activeCell="A4" sqref="A4:D6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thickBot="1"/>
    <row r="2" spans="1:4" ht="15" thickBot="1">
      <c r="A2" s="145" t="s">
        <v>23</v>
      </c>
      <c r="B2" s="146"/>
      <c r="C2" s="146"/>
      <c r="D2" s="147"/>
    </row>
    <row r="3" spans="1:4" ht="26.45">
      <c r="A3" s="24" t="s">
        <v>36</v>
      </c>
      <c r="B3" s="18" t="s">
        <v>37</v>
      </c>
      <c r="C3" s="19" t="s">
        <v>38</v>
      </c>
      <c r="D3" s="25" t="s">
        <v>41</v>
      </c>
    </row>
    <row r="4" spans="1:4">
      <c r="A4" s="26"/>
      <c r="B4" s="23"/>
      <c r="C4" s="23"/>
      <c r="D4" s="27"/>
    </row>
    <row r="5" spans="1:4">
      <c r="A5" s="26"/>
      <c r="B5" s="23"/>
      <c r="C5" s="23"/>
      <c r="D5" s="28"/>
    </row>
    <row r="6" spans="1:4" ht="15" thickBot="1">
      <c r="A6" s="29"/>
      <c r="B6" s="30"/>
      <c r="C6" s="31"/>
      <c r="D6" s="32"/>
    </row>
  </sheetData>
  <mergeCells count="1">
    <mergeCell ref="A2:D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14FBD-7A46-46AC-8170-B0203F13CA34}"/>
</file>

<file path=customXml/itemProps2.xml><?xml version="1.0" encoding="utf-8"?>
<ds:datastoreItem xmlns:ds="http://schemas.openxmlformats.org/officeDocument/2006/customXml" ds:itemID="{5BC94DE0-CCAD-4F6C-BC23-821F814E4A18}"/>
</file>

<file path=customXml/itemProps3.xml><?xml version="1.0" encoding="utf-8"?>
<ds:datastoreItem xmlns:ds="http://schemas.openxmlformats.org/officeDocument/2006/customXml" ds:itemID="{F5E4A7C9-4615-4219-934B-1BFDCCF62F81}"/>
</file>

<file path=docMetadata/LabelInfo.xml><?xml version="1.0" encoding="utf-8"?>
<clbl:labelList xmlns:clbl="http://schemas.microsoft.com/office/2020/mipLabelMetadata">
  <clbl:label id="{f49f6ea8-e3b5-4fc6-94e9-be98a5e9b02e}" enabled="0" method="" siteId="{f49f6ea8-e3b5-4fc6-94e9-be98a5e9b0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2026-05-21T16:55:45Z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