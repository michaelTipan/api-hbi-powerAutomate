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 defaultThemeVersion="166925"/>
  <xr:revisionPtr revIDLastSave="0" documentId="8_{FDC16BB4-569F-4D96-8A02-1B8BF8DE171F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TasaImplicita" sheetId="1" state="hidden" r:id="rId1"/>
    <sheet name="SERGIO EDUARDO GOMEZ LEON" sheetId="2" r:id="rId2"/>
    <sheet name="Hoja1" sheetId="3" state="hidden" r:id="rId3"/>
    <sheet name="Hoja2" sheetId="4" state="hidden" r:id="rId4"/>
    <sheet name="_AUTOMATION_LOG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4" l="1"/>
  <c r="C16" i="4"/>
  <c r="B16" i="4"/>
  <c r="A16" i="4"/>
  <c r="A18" i="4" s="1"/>
  <c r="J7" i="4"/>
  <c r="D7" i="4"/>
  <c r="J6" i="4"/>
  <c r="D6" i="4"/>
  <c r="J5" i="4"/>
  <c r="D5" i="4"/>
  <c r="A13" i="1"/>
  <c r="B11" i="1"/>
  <c r="C11" i="1" s="1"/>
  <c r="B4" i="1"/>
  <c r="B5" i="1" s="1"/>
  <c r="B7" i="1" s="1"/>
  <c r="B12" i="1" s="1"/>
  <c r="G2" i="1"/>
  <c r="K1" i="1"/>
  <c r="K5" i="1" s="1"/>
  <c r="G1" i="1"/>
  <c r="G5" i="1" s="1"/>
  <c r="V14" i="2"/>
  <c r="V13" i="2"/>
  <c r="V12" i="2"/>
  <c r="AH11" i="2"/>
  <c r="AG11" i="2"/>
  <c r="AF11" i="2"/>
  <c r="AE11" i="2"/>
  <c r="AD11" i="2"/>
  <c r="AC11" i="2"/>
  <c r="AB11" i="2"/>
  <c r="V11" i="2"/>
  <c r="V10" i="2"/>
  <c r="V9" i="2"/>
  <c r="V8" i="2"/>
  <c r="V7" i="2"/>
  <c r="V6" i="2"/>
  <c r="V5" i="2"/>
  <c r="O5" i="2"/>
  <c r="D5" i="2"/>
  <c r="V4" i="2"/>
  <c r="T4" i="2"/>
  <c r="T5" i="2" s="1"/>
  <c r="T6" i="2" s="1"/>
  <c r="T7" i="2" s="1"/>
  <c r="T8" i="2" s="1"/>
  <c r="T9" i="2" s="1"/>
  <c r="T10" i="2" s="1"/>
  <c r="T11" i="2" s="1"/>
  <c r="T12" i="2" s="1"/>
  <c r="T13" i="2" s="1"/>
  <c r="T14" i="2" s="1"/>
  <c r="H4" i="2"/>
  <c r="I4" i="2" s="1"/>
  <c r="D4" i="2"/>
  <c r="B4" i="2"/>
  <c r="A4" i="2"/>
  <c r="F1" i="2"/>
  <c r="F2" i="2" s="1"/>
  <c r="E4" i="2" s="1"/>
  <c r="A5" i="2" l="1"/>
  <c r="K4" i="2"/>
  <c r="F4" i="2"/>
  <c r="C4" i="2"/>
  <c r="O4" i="2" s="1"/>
  <c r="J4" i="2"/>
  <c r="AA9" i="2"/>
  <c r="P5" i="2"/>
  <c r="Z10" i="2" s="1"/>
  <c r="C12" i="1"/>
  <c r="A14" i="1"/>
  <c r="B13" i="1"/>
  <c r="C13" i="1" l="1"/>
  <c r="A15" i="1"/>
  <c r="C14" i="1"/>
  <c r="B14" i="1"/>
  <c r="Z9" i="2"/>
  <c r="Z11" i="2" s="1"/>
  <c r="P4" i="2"/>
  <c r="Y9" i="2" s="1"/>
  <c r="Y11" i="2" s="1"/>
  <c r="A6" i="2"/>
  <c r="M5" i="2"/>
  <c r="N5" i="2" s="1"/>
  <c r="L5" i="2"/>
  <c r="K5" i="2"/>
  <c r="H5" i="2"/>
  <c r="I5" i="2" s="1"/>
  <c r="E5" i="2"/>
  <c r="B5" i="2"/>
  <c r="F5" i="2" l="1"/>
  <c r="C5" i="2"/>
  <c r="J5" i="2"/>
  <c r="A7" i="2"/>
  <c r="M6" i="2"/>
  <c r="N6" i="2" s="1"/>
  <c r="L6" i="2"/>
  <c r="K6" i="2"/>
  <c r="H6" i="2"/>
  <c r="I6" i="2" s="1"/>
  <c r="E6" i="2"/>
  <c r="B6" i="2"/>
  <c r="A16" i="1"/>
  <c r="C15" i="1"/>
  <c r="B15" i="1"/>
  <c r="A17" i="1" l="1"/>
  <c r="C16" i="1"/>
  <c r="B16" i="1"/>
  <c r="C6" i="2"/>
  <c r="O6" i="2" s="1"/>
  <c r="P6" i="2" s="1"/>
  <c r="AA10" i="2" s="1"/>
  <c r="AA11" i="2" s="1"/>
  <c r="D6" i="2"/>
  <c r="F6" i="2" s="1"/>
  <c r="J6" i="2"/>
  <c r="A8" i="2"/>
  <c r="M7" i="2"/>
  <c r="N7" i="2" s="1"/>
  <c r="L7" i="2"/>
  <c r="H7" i="2"/>
  <c r="I7" i="2" s="1"/>
  <c r="E7" i="2"/>
  <c r="B7" i="2"/>
  <c r="K7" i="2"/>
  <c r="C7" i="2" l="1"/>
  <c r="D7" i="2"/>
  <c r="F7" i="2" s="1"/>
  <c r="J7" i="2"/>
  <c r="A9" i="2"/>
  <c r="M8" i="2"/>
  <c r="N8" i="2" s="1"/>
  <c r="L8" i="2"/>
  <c r="H8" i="2"/>
  <c r="I8" i="2" s="1"/>
  <c r="E8" i="2"/>
  <c r="B8" i="2"/>
  <c r="K8" i="2"/>
  <c r="A18" i="1"/>
  <c r="C17" i="1"/>
  <c r="B17" i="1"/>
  <c r="A19" i="1" l="1"/>
  <c r="C18" i="1"/>
  <c r="B18" i="1"/>
  <c r="C8" i="2"/>
  <c r="D8" i="2"/>
  <c r="F8" i="2" s="1"/>
  <c r="J8" i="2"/>
  <c r="A10" i="2"/>
  <c r="M9" i="2"/>
  <c r="N9" i="2" s="1"/>
  <c r="L9" i="2"/>
  <c r="H9" i="2"/>
  <c r="I9" i="2" s="1"/>
  <c r="E9" i="2"/>
  <c r="B9" i="2"/>
  <c r="K9" i="2"/>
  <c r="C9" i="2" l="1"/>
  <c r="D9" i="2"/>
  <c r="F9" i="2" s="1"/>
  <c r="J9" i="2"/>
  <c r="A11" i="2"/>
  <c r="M10" i="2"/>
  <c r="N10" i="2" s="1"/>
  <c r="L10" i="2"/>
  <c r="H10" i="2"/>
  <c r="I10" i="2" s="1"/>
  <c r="E10" i="2"/>
  <c r="B10" i="2"/>
  <c r="K10" i="2"/>
  <c r="A20" i="1"/>
  <c r="C19" i="1"/>
  <c r="B19" i="1"/>
  <c r="A21" i="1" l="1"/>
  <c r="C20" i="1"/>
  <c r="B20" i="1"/>
  <c r="C10" i="2"/>
  <c r="D10" i="2"/>
  <c r="F10" i="2" s="1"/>
  <c r="J10" i="2"/>
  <c r="A12" i="2"/>
  <c r="M11" i="2"/>
  <c r="N11" i="2" s="1"/>
  <c r="L11" i="2"/>
  <c r="H11" i="2"/>
  <c r="I11" i="2" s="1"/>
  <c r="E11" i="2"/>
  <c r="B11" i="2"/>
  <c r="K11" i="2"/>
  <c r="C11" i="2" l="1"/>
  <c r="D11" i="2"/>
  <c r="F11" i="2" s="1"/>
  <c r="J11" i="2"/>
  <c r="A13" i="2"/>
  <c r="M12" i="2"/>
  <c r="N12" i="2" s="1"/>
  <c r="L12" i="2"/>
  <c r="H12" i="2"/>
  <c r="I12" i="2" s="1"/>
  <c r="E12" i="2"/>
  <c r="B12" i="2"/>
  <c r="K12" i="2"/>
  <c r="A22" i="1"/>
  <c r="C21" i="1"/>
  <c r="B21" i="1"/>
  <c r="A23" i="1" l="1"/>
  <c r="C22" i="1"/>
  <c r="B22" i="1"/>
  <c r="C12" i="2"/>
  <c r="D12" i="2"/>
  <c r="F12" i="2" s="1"/>
  <c r="J12" i="2"/>
  <c r="A14" i="2"/>
  <c r="M13" i="2"/>
  <c r="N13" i="2" s="1"/>
  <c r="L13" i="2"/>
  <c r="H13" i="2"/>
  <c r="I13" i="2" s="1"/>
  <c r="E13" i="2"/>
  <c r="B13" i="2"/>
  <c r="K13" i="2"/>
  <c r="C13" i="2" l="1"/>
  <c r="D13" i="2"/>
  <c r="F13" i="2" s="1"/>
  <c r="J13" i="2"/>
  <c r="A15" i="2"/>
  <c r="M14" i="2"/>
  <c r="N14" i="2" s="1"/>
  <c r="L14" i="2"/>
  <c r="H14" i="2"/>
  <c r="I14" i="2" s="1"/>
  <c r="E14" i="2"/>
  <c r="B14" i="2"/>
  <c r="K14" i="2"/>
  <c r="A24" i="1"/>
  <c r="C23" i="1"/>
  <c r="B23" i="1"/>
  <c r="A25" i="1" l="1"/>
  <c r="C24" i="1"/>
  <c r="B24" i="1"/>
  <c r="C14" i="2"/>
  <c r="D14" i="2"/>
  <c r="F14" i="2" s="1"/>
  <c r="J14" i="2"/>
  <c r="A16" i="2"/>
  <c r="M15" i="2"/>
  <c r="N15" i="2" s="1"/>
  <c r="L15" i="2"/>
  <c r="H15" i="2"/>
  <c r="I15" i="2" s="1"/>
  <c r="E15" i="2"/>
  <c r="B15" i="2"/>
  <c r="K15" i="2"/>
  <c r="C15" i="2" l="1"/>
  <c r="D15" i="2"/>
  <c r="F15" i="2" s="1"/>
  <c r="J15" i="2"/>
  <c r="A17" i="2"/>
  <c r="M16" i="2"/>
  <c r="N16" i="2" s="1"/>
  <c r="L16" i="2"/>
  <c r="H16" i="2"/>
  <c r="I16" i="2" s="1"/>
  <c r="E16" i="2"/>
  <c r="B16" i="2"/>
  <c r="K16" i="2"/>
  <c r="A26" i="1"/>
  <c r="C25" i="1"/>
  <c r="B25" i="1"/>
  <c r="A27" i="1" l="1"/>
  <c r="C26" i="1"/>
  <c r="B26" i="1"/>
  <c r="C16" i="2"/>
  <c r="D16" i="2"/>
  <c r="F16" i="2" s="1"/>
  <c r="J16" i="2"/>
  <c r="A18" i="2"/>
  <c r="M17" i="2"/>
  <c r="N17" i="2" s="1"/>
  <c r="L17" i="2"/>
  <c r="H17" i="2"/>
  <c r="I17" i="2" s="1"/>
  <c r="E17" i="2"/>
  <c r="B17" i="2"/>
  <c r="K17" i="2"/>
  <c r="C17" i="2" l="1"/>
  <c r="D17" i="2"/>
  <c r="F17" i="2" s="1"/>
  <c r="J17" i="2"/>
  <c r="A19" i="2"/>
  <c r="M18" i="2"/>
  <c r="N18" i="2" s="1"/>
  <c r="L18" i="2"/>
  <c r="H18" i="2"/>
  <c r="I18" i="2" s="1"/>
  <c r="E18" i="2"/>
  <c r="B18" i="2"/>
  <c r="K18" i="2"/>
  <c r="A28" i="1"/>
  <c r="C27" i="1"/>
  <c r="B27" i="1"/>
  <c r="A29" i="1" l="1"/>
  <c r="C28" i="1"/>
  <c r="B28" i="1"/>
  <c r="C18" i="2"/>
  <c r="D18" i="2"/>
  <c r="F18" i="2" s="1"/>
  <c r="J18" i="2"/>
  <c r="A20" i="2"/>
  <c r="M19" i="2"/>
  <c r="N19" i="2" s="1"/>
  <c r="L19" i="2"/>
  <c r="H19" i="2"/>
  <c r="I19" i="2" s="1"/>
  <c r="E19" i="2"/>
  <c r="B19" i="2"/>
  <c r="K19" i="2"/>
  <c r="C19" i="2" l="1"/>
  <c r="D19" i="2"/>
  <c r="F19" i="2" s="1"/>
  <c r="J19" i="2"/>
  <c r="A21" i="2"/>
  <c r="M20" i="2"/>
  <c r="N20" i="2" s="1"/>
  <c r="L20" i="2"/>
  <c r="H20" i="2"/>
  <c r="I20" i="2" s="1"/>
  <c r="E20" i="2"/>
  <c r="B20" i="2"/>
  <c r="K20" i="2"/>
  <c r="A30" i="1"/>
  <c r="C29" i="1"/>
  <c r="B29" i="1"/>
  <c r="A31" i="1" l="1"/>
  <c r="C30" i="1"/>
  <c r="B30" i="1"/>
  <c r="C20" i="2"/>
  <c r="D20" i="2"/>
  <c r="F20" i="2" s="1"/>
  <c r="J20" i="2"/>
  <c r="A22" i="2"/>
  <c r="M21" i="2"/>
  <c r="N21" i="2" s="1"/>
  <c r="L21" i="2"/>
  <c r="H21" i="2"/>
  <c r="I21" i="2" s="1"/>
  <c r="E21" i="2"/>
  <c r="B21" i="2"/>
  <c r="K21" i="2"/>
  <c r="C21" i="2" l="1"/>
  <c r="D21" i="2"/>
  <c r="F21" i="2" s="1"/>
  <c r="J21" i="2"/>
  <c r="A23" i="2"/>
  <c r="M22" i="2"/>
  <c r="N22" i="2" s="1"/>
  <c r="L22" i="2"/>
  <c r="H22" i="2"/>
  <c r="I22" i="2" s="1"/>
  <c r="E22" i="2"/>
  <c r="B22" i="2"/>
  <c r="K22" i="2"/>
  <c r="A32" i="1"/>
  <c r="C31" i="1"/>
  <c r="B31" i="1"/>
  <c r="A33" i="1" l="1"/>
  <c r="C32" i="1"/>
  <c r="B32" i="1"/>
  <c r="C22" i="2"/>
  <c r="D22" i="2"/>
  <c r="F22" i="2" s="1"/>
  <c r="J22" i="2"/>
  <c r="A24" i="2"/>
  <c r="M23" i="2"/>
  <c r="N23" i="2" s="1"/>
  <c r="L23" i="2"/>
  <c r="H23" i="2"/>
  <c r="I23" i="2" s="1"/>
  <c r="E23" i="2"/>
  <c r="B23" i="2"/>
  <c r="K23" i="2"/>
  <c r="C23" i="2" l="1"/>
  <c r="D23" i="2"/>
  <c r="F23" i="2" s="1"/>
  <c r="J23" i="2"/>
  <c r="A25" i="2"/>
  <c r="M24" i="2"/>
  <c r="N24" i="2" s="1"/>
  <c r="L24" i="2"/>
  <c r="H24" i="2"/>
  <c r="I24" i="2" s="1"/>
  <c r="E24" i="2"/>
  <c r="B24" i="2"/>
  <c r="K24" i="2"/>
  <c r="A34" i="1"/>
  <c r="C33" i="1"/>
  <c r="B33" i="1"/>
  <c r="A35" i="1" l="1"/>
  <c r="C34" i="1"/>
  <c r="B34" i="1"/>
  <c r="C24" i="2"/>
  <c r="D24" i="2"/>
  <c r="F24" i="2" s="1"/>
  <c r="J24" i="2"/>
  <c r="A26" i="2"/>
  <c r="M25" i="2"/>
  <c r="N25" i="2" s="1"/>
  <c r="L25" i="2"/>
  <c r="H25" i="2"/>
  <c r="I25" i="2" s="1"/>
  <c r="E25" i="2"/>
  <c r="B25" i="2"/>
  <c r="K25" i="2"/>
  <c r="C25" i="2" l="1"/>
  <c r="D25" i="2"/>
  <c r="F25" i="2" s="1"/>
  <c r="J25" i="2"/>
  <c r="A27" i="2"/>
  <c r="M26" i="2"/>
  <c r="N26" i="2" s="1"/>
  <c r="L26" i="2"/>
  <c r="H26" i="2"/>
  <c r="I26" i="2" s="1"/>
  <c r="E26" i="2"/>
  <c r="B26" i="2"/>
  <c r="K26" i="2"/>
  <c r="A36" i="1"/>
  <c r="C35" i="1"/>
  <c r="B35" i="1"/>
  <c r="A37" i="1" l="1"/>
  <c r="C36" i="1"/>
  <c r="B36" i="1"/>
  <c r="C26" i="2"/>
  <c r="D26" i="2"/>
  <c r="F26" i="2" s="1"/>
  <c r="J26" i="2"/>
  <c r="A28" i="2"/>
  <c r="M27" i="2"/>
  <c r="N27" i="2" s="1"/>
  <c r="L27" i="2"/>
  <c r="H27" i="2"/>
  <c r="I27" i="2" s="1"/>
  <c r="E27" i="2"/>
  <c r="B27" i="2"/>
  <c r="K27" i="2"/>
  <c r="C27" i="2" l="1"/>
  <c r="D27" i="2"/>
  <c r="F27" i="2" s="1"/>
  <c r="J27" i="2"/>
  <c r="A29" i="2"/>
  <c r="M28" i="2"/>
  <c r="N28" i="2" s="1"/>
  <c r="L28" i="2"/>
  <c r="H28" i="2"/>
  <c r="I28" i="2" s="1"/>
  <c r="E28" i="2"/>
  <c r="B28" i="2"/>
  <c r="K28" i="2"/>
  <c r="A38" i="1"/>
  <c r="C37" i="1"/>
  <c r="B37" i="1"/>
  <c r="A39" i="1" l="1"/>
  <c r="C38" i="1"/>
  <c r="B38" i="1"/>
  <c r="C28" i="2"/>
  <c r="D28" i="2"/>
  <c r="F28" i="2" s="1"/>
  <c r="J28" i="2"/>
  <c r="A30" i="2"/>
  <c r="M29" i="2"/>
  <c r="N29" i="2" s="1"/>
  <c r="L29" i="2"/>
  <c r="H29" i="2"/>
  <c r="I29" i="2" s="1"/>
  <c r="E29" i="2"/>
  <c r="B29" i="2"/>
  <c r="K29" i="2"/>
  <c r="C29" i="2" l="1"/>
  <c r="D29" i="2"/>
  <c r="F29" i="2" s="1"/>
  <c r="J29" i="2"/>
  <c r="A31" i="2"/>
  <c r="M30" i="2"/>
  <c r="N30" i="2" s="1"/>
  <c r="L30" i="2"/>
  <c r="H30" i="2"/>
  <c r="I30" i="2" s="1"/>
  <c r="E30" i="2"/>
  <c r="B30" i="2"/>
  <c r="K30" i="2"/>
  <c r="A40" i="1"/>
  <c r="C39" i="1"/>
  <c r="B39" i="1"/>
  <c r="A41" i="1" l="1"/>
  <c r="C40" i="1"/>
  <c r="B40" i="1"/>
  <c r="C30" i="2"/>
  <c r="D30" i="2"/>
  <c r="F30" i="2" s="1"/>
  <c r="J30" i="2"/>
  <c r="A32" i="2"/>
  <c r="M31" i="2"/>
  <c r="N31" i="2" s="1"/>
  <c r="L31" i="2"/>
  <c r="H31" i="2"/>
  <c r="I31" i="2" s="1"/>
  <c r="E31" i="2"/>
  <c r="B31" i="2"/>
  <c r="K31" i="2"/>
  <c r="C31" i="2" l="1"/>
  <c r="D31" i="2"/>
  <c r="F31" i="2" s="1"/>
  <c r="J31" i="2"/>
  <c r="A33" i="2"/>
  <c r="M32" i="2"/>
  <c r="N32" i="2" s="1"/>
  <c r="L32" i="2"/>
  <c r="H32" i="2"/>
  <c r="I32" i="2" s="1"/>
  <c r="E32" i="2"/>
  <c r="B32" i="2"/>
  <c r="K32" i="2"/>
  <c r="A42" i="1"/>
  <c r="C41" i="1"/>
  <c r="B41" i="1"/>
  <c r="A43" i="1" l="1"/>
  <c r="C42" i="1"/>
  <c r="B42" i="1"/>
  <c r="C32" i="2"/>
  <c r="D32" i="2"/>
  <c r="F32" i="2" s="1"/>
  <c r="J32" i="2"/>
  <c r="A34" i="2"/>
  <c r="M33" i="2"/>
  <c r="N33" i="2" s="1"/>
  <c r="L33" i="2"/>
  <c r="H33" i="2"/>
  <c r="I33" i="2" s="1"/>
  <c r="E33" i="2"/>
  <c r="B33" i="2"/>
  <c r="K33" i="2"/>
  <c r="C33" i="2" l="1"/>
  <c r="D33" i="2"/>
  <c r="F33" i="2" s="1"/>
  <c r="J33" i="2"/>
  <c r="A35" i="2"/>
  <c r="M34" i="2"/>
  <c r="N34" i="2" s="1"/>
  <c r="L34" i="2"/>
  <c r="H34" i="2"/>
  <c r="I34" i="2" s="1"/>
  <c r="E34" i="2"/>
  <c r="B34" i="2"/>
  <c r="K34" i="2"/>
  <c r="A44" i="1"/>
  <c r="C43" i="1"/>
  <c r="B43" i="1"/>
  <c r="A45" i="1" l="1"/>
  <c r="C44" i="1"/>
  <c r="B44" i="1"/>
  <c r="C34" i="2"/>
  <c r="D34" i="2"/>
  <c r="F34" i="2" s="1"/>
  <c r="J34" i="2"/>
  <c r="A36" i="2"/>
  <c r="M35" i="2"/>
  <c r="N35" i="2" s="1"/>
  <c r="L35" i="2"/>
  <c r="H35" i="2"/>
  <c r="I35" i="2" s="1"/>
  <c r="E35" i="2"/>
  <c r="B35" i="2"/>
  <c r="K35" i="2"/>
  <c r="C35" i="2" l="1"/>
  <c r="D35" i="2"/>
  <c r="F35" i="2" s="1"/>
  <c r="J35" i="2"/>
  <c r="A37" i="2"/>
  <c r="M36" i="2"/>
  <c r="N36" i="2" s="1"/>
  <c r="L36" i="2"/>
  <c r="H36" i="2"/>
  <c r="I36" i="2" s="1"/>
  <c r="E36" i="2"/>
  <c r="B36" i="2"/>
  <c r="K36" i="2"/>
  <c r="A46" i="1"/>
  <c r="C45" i="1"/>
  <c r="B45" i="1"/>
  <c r="A47" i="1" l="1"/>
  <c r="C46" i="1"/>
  <c r="B46" i="1"/>
  <c r="C36" i="2"/>
  <c r="D36" i="2"/>
  <c r="F36" i="2" s="1"/>
  <c r="J36" i="2"/>
  <c r="A38" i="2"/>
  <c r="M37" i="2"/>
  <c r="N37" i="2" s="1"/>
  <c r="L37" i="2"/>
  <c r="H37" i="2"/>
  <c r="I37" i="2" s="1"/>
  <c r="E37" i="2"/>
  <c r="B37" i="2"/>
  <c r="K37" i="2"/>
  <c r="C37" i="2" l="1"/>
  <c r="D37" i="2"/>
  <c r="F37" i="2" s="1"/>
  <c r="J37" i="2"/>
  <c r="A39" i="2"/>
  <c r="M38" i="2"/>
  <c r="N38" i="2" s="1"/>
  <c r="L38" i="2"/>
  <c r="H38" i="2"/>
  <c r="I38" i="2" s="1"/>
  <c r="E38" i="2"/>
  <c r="B38" i="2"/>
  <c r="K38" i="2"/>
  <c r="A48" i="1"/>
  <c r="C47" i="1"/>
  <c r="B47" i="1"/>
  <c r="A49" i="1" l="1"/>
  <c r="C48" i="1"/>
  <c r="B48" i="1"/>
  <c r="C38" i="2"/>
  <c r="D38" i="2"/>
  <c r="F38" i="2" s="1"/>
  <c r="J38" i="2"/>
  <c r="A40" i="2"/>
  <c r="M39" i="2"/>
  <c r="N39" i="2" s="1"/>
  <c r="L39" i="2"/>
  <c r="H39" i="2"/>
  <c r="I39" i="2" s="1"/>
  <c r="E39" i="2"/>
  <c r="B39" i="2"/>
  <c r="K39" i="2"/>
  <c r="C39" i="2" l="1"/>
  <c r="D39" i="2"/>
  <c r="F39" i="2" s="1"/>
  <c r="J39" i="2"/>
  <c r="A41" i="2"/>
  <c r="M40" i="2"/>
  <c r="N40" i="2" s="1"/>
  <c r="L40" i="2"/>
  <c r="H40" i="2"/>
  <c r="I40" i="2" s="1"/>
  <c r="E40" i="2"/>
  <c r="B40" i="2"/>
  <c r="K40" i="2"/>
  <c r="A50" i="1"/>
  <c r="C49" i="1"/>
  <c r="B49" i="1"/>
  <c r="A51" i="1" l="1"/>
  <c r="C50" i="1"/>
  <c r="B50" i="1"/>
  <c r="C40" i="2"/>
  <c r="D40" i="2"/>
  <c r="F40" i="2" s="1"/>
  <c r="J40" i="2"/>
  <c r="A42" i="2"/>
  <c r="M41" i="2"/>
  <c r="N41" i="2" s="1"/>
  <c r="L41" i="2"/>
  <c r="H41" i="2"/>
  <c r="I41" i="2" s="1"/>
  <c r="E41" i="2"/>
  <c r="B41" i="2"/>
  <c r="K41" i="2"/>
  <c r="C41" i="2" l="1"/>
  <c r="D41" i="2"/>
  <c r="F41" i="2" s="1"/>
  <c r="J41" i="2"/>
  <c r="A43" i="2"/>
  <c r="M42" i="2"/>
  <c r="N42" i="2" s="1"/>
  <c r="L42" i="2"/>
  <c r="H42" i="2"/>
  <c r="I42" i="2" s="1"/>
  <c r="E42" i="2"/>
  <c r="B42" i="2"/>
  <c r="K42" i="2"/>
  <c r="A52" i="1"/>
  <c r="C51" i="1"/>
  <c r="B51" i="1"/>
  <c r="A53" i="1" l="1"/>
  <c r="C52" i="1"/>
  <c r="B52" i="1"/>
  <c r="C42" i="2"/>
  <c r="D42" i="2"/>
  <c r="F42" i="2" s="1"/>
  <c r="J42" i="2"/>
  <c r="A44" i="2"/>
  <c r="M43" i="2"/>
  <c r="N43" i="2" s="1"/>
  <c r="L43" i="2"/>
  <c r="H43" i="2"/>
  <c r="I43" i="2" s="1"/>
  <c r="E43" i="2"/>
  <c r="B43" i="2"/>
  <c r="K43" i="2"/>
  <c r="C43" i="2" l="1"/>
  <c r="D43" i="2"/>
  <c r="F43" i="2" s="1"/>
  <c r="J43" i="2"/>
  <c r="A45" i="2"/>
  <c r="M44" i="2"/>
  <c r="N44" i="2" s="1"/>
  <c r="L44" i="2"/>
  <c r="H44" i="2"/>
  <c r="I44" i="2" s="1"/>
  <c r="E44" i="2"/>
  <c r="B44" i="2"/>
  <c r="K44" i="2"/>
  <c r="A54" i="1"/>
  <c r="C53" i="1"/>
  <c r="B53" i="1"/>
  <c r="A55" i="1" l="1"/>
  <c r="C54" i="1"/>
  <c r="B54" i="1"/>
  <c r="C44" i="2"/>
  <c r="D44" i="2"/>
  <c r="F44" i="2" s="1"/>
  <c r="J44" i="2"/>
  <c r="A46" i="2"/>
  <c r="M45" i="2"/>
  <c r="N45" i="2" s="1"/>
  <c r="L45" i="2"/>
  <c r="H45" i="2"/>
  <c r="I45" i="2" s="1"/>
  <c r="E45" i="2"/>
  <c r="B45" i="2"/>
  <c r="K45" i="2"/>
  <c r="C45" i="2" l="1"/>
  <c r="D45" i="2"/>
  <c r="F45" i="2" s="1"/>
  <c r="J45" i="2"/>
  <c r="A47" i="2"/>
  <c r="M46" i="2"/>
  <c r="N46" i="2" s="1"/>
  <c r="L46" i="2"/>
  <c r="H46" i="2"/>
  <c r="I46" i="2" s="1"/>
  <c r="E46" i="2"/>
  <c r="B46" i="2"/>
  <c r="K46" i="2"/>
  <c r="A56" i="1"/>
  <c r="C55" i="1"/>
  <c r="B55" i="1"/>
  <c r="A57" i="1" l="1"/>
  <c r="C56" i="1"/>
  <c r="B56" i="1"/>
  <c r="C46" i="2"/>
  <c r="D46" i="2"/>
  <c r="F46" i="2" s="1"/>
  <c r="J46" i="2"/>
  <c r="A48" i="2"/>
  <c r="M47" i="2"/>
  <c r="N47" i="2" s="1"/>
  <c r="L47" i="2"/>
  <c r="H47" i="2"/>
  <c r="I47" i="2" s="1"/>
  <c r="E47" i="2"/>
  <c r="B47" i="2"/>
  <c r="K47" i="2"/>
  <c r="C47" i="2" l="1"/>
  <c r="D47" i="2"/>
  <c r="F47" i="2" s="1"/>
  <c r="J47" i="2"/>
  <c r="A49" i="2"/>
  <c r="M48" i="2"/>
  <c r="N48" i="2" s="1"/>
  <c r="L48" i="2"/>
  <c r="H48" i="2"/>
  <c r="I48" i="2" s="1"/>
  <c r="E48" i="2"/>
  <c r="B48" i="2"/>
  <c r="K48" i="2"/>
  <c r="A58" i="1"/>
  <c r="C57" i="1"/>
  <c r="B57" i="1"/>
  <c r="A59" i="1" l="1"/>
  <c r="C58" i="1"/>
  <c r="B58" i="1"/>
  <c r="C48" i="2"/>
  <c r="D48" i="2"/>
  <c r="F48" i="2" s="1"/>
  <c r="J48" i="2"/>
  <c r="A50" i="2"/>
  <c r="M49" i="2"/>
  <c r="N49" i="2" s="1"/>
  <c r="L49" i="2"/>
  <c r="H49" i="2"/>
  <c r="I49" i="2" s="1"/>
  <c r="E49" i="2"/>
  <c r="B49" i="2"/>
  <c r="K49" i="2"/>
  <c r="C49" i="2" l="1"/>
  <c r="D49" i="2"/>
  <c r="F49" i="2" s="1"/>
  <c r="J49" i="2"/>
  <c r="A51" i="2"/>
  <c r="M50" i="2"/>
  <c r="N50" i="2" s="1"/>
  <c r="L50" i="2"/>
  <c r="H50" i="2"/>
  <c r="I50" i="2" s="1"/>
  <c r="E50" i="2"/>
  <c r="B50" i="2"/>
  <c r="K50" i="2"/>
  <c r="A60" i="1"/>
  <c r="C59" i="1"/>
  <c r="B59" i="1"/>
  <c r="A61" i="1" l="1"/>
  <c r="C60" i="1"/>
  <c r="B60" i="1"/>
  <c r="C50" i="2"/>
  <c r="D50" i="2"/>
  <c r="F50" i="2" s="1"/>
  <c r="J50" i="2"/>
  <c r="M51" i="2"/>
  <c r="N51" i="2" s="1"/>
  <c r="L51" i="2"/>
  <c r="H51" i="2"/>
  <c r="I51" i="2" s="1"/>
  <c r="E51" i="2"/>
  <c r="B51" i="2"/>
  <c r="K51" i="2"/>
  <c r="C51" i="2" l="1"/>
  <c r="D51" i="2"/>
  <c r="F51" i="2" s="1"/>
  <c r="J51" i="2"/>
  <c r="A62" i="1"/>
  <c r="C61" i="1"/>
  <c r="B61" i="1"/>
  <c r="A63" i="1" l="1"/>
  <c r="C62" i="1"/>
  <c r="B62" i="1"/>
  <c r="A64" i="1" l="1"/>
  <c r="C63" i="1"/>
  <c r="B63" i="1"/>
  <c r="A65" i="1" l="1"/>
  <c r="C64" i="1"/>
  <c r="B64" i="1"/>
  <c r="A66" i="1" l="1"/>
  <c r="C65" i="1"/>
  <c r="B65" i="1"/>
  <c r="A67" i="1" l="1"/>
  <c r="C66" i="1"/>
  <c r="B66" i="1"/>
  <c r="A68" i="1" l="1"/>
  <c r="C67" i="1"/>
  <c r="B67" i="1"/>
  <c r="A69" i="1" l="1"/>
  <c r="C68" i="1"/>
  <c r="B68" i="1"/>
  <c r="A70" i="1" l="1"/>
  <c r="C69" i="1"/>
  <c r="B69" i="1"/>
  <c r="A71" i="1" l="1"/>
  <c r="C70" i="1"/>
  <c r="B70" i="1"/>
  <c r="A72" i="1" l="1"/>
  <c r="C71" i="1"/>
  <c r="B71" i="1"/>
  <c r="A73" i="1" l="1"/>
  <c r="C72" i="1"/>
  <c r="B72" i="1"/>
  <c r="A74" i="1" l="1"/>
  <c r="C73" i="1"/>
  <c r="B73" i="1"/>
  <c r="A75" i="1" l="1"/>
  <c r="C74" i="1"/>
  <c r="B74" i="1"/>
  <c r="A76" i="1" l="1"/>
  <c r="C75" i="1"/>
  <c r="B75" i="1"/>
  <c r="A77" i="1" l="1"/>
  <c r="C76" i="1"/>
  <c r="B76" i="1"/>
  <c r="A78" i="1" l="1"/>
  <c r="C77" i="1"/>
  <c r="B77" i="1"/>
  <c r="A79" i="1" l="1"/>
  <c r="C78" i="1"/>
  <c r="B78" i="1"/>
  <c r="A80" i="1" l="1"/>
  <c r="C79" i="1"/>
  <c r="B79" i="1"/>
  <c r="A81" i="1" l="1"/>
  <c r="C80" i="1"/>
  <c r="B80" i="1"/>
  <c r="A82" i="1" l="1"/>
  <c r="C81" i="1"/>
  <c r="B81" i="1"/>
  <c r="A83" i="1" l="1"/>
  <c r="C82" i="1"/>
  <c r="B82" i="1"/>
  <c r="A84" i="1" l="1"/>
  <c r="C83" i="1"/>
  <c r="B83" i="1"/>
  <c r="A85" i="1" l="1"/>
  <c r="C84" i="1"/>
  <c r="B84" i="1"/>
  <c r="A86" i="1" l="1"/>
  <c r="C85" i="1"/>
  <c r="B85" i="1"/>
  <c r="A87" i="1" l="1"/>
  <c r="C86" i="1"/>
  <c r="B86" i="1"/>
  <c r="A88" i="1" l="1"/>
  <c r="C87" i="1"/>
  <c r="B87" i="1"/>
  <c r="A89" i="1" l="1"/>
  <c r="C88" i="1"/>
  <c r="B88" i="1"/>
  <c r="A90" i="1" l="1"/>
  <c r="C89" i="1"/>
  <c r="B89" i="1"/>
  <c r="A91" i="1" l="1"/>
  <c r="C90" i="1"/>
  <c r="B90" i="1"/>
  <c r="A92" i="1" l="1"/>
  <c r="C91" i="1"/>
  <c r="B91" i="1"/>
  <c r="A93" i="1" l="1"/>
  <c r="C92" i="1"/>
  <c r="B92" i="1"/>
  <c r="A94" i="1" l="1"/>
  <c r="C93" i="1"/>
  <c r="B93" i="1"/>
  <c r="A95" i="1" l="1"/>
  <c r="C94" i="1"/>
  <c r="B94" i="1"/>
  <c r="A96" i="1" l="1"/>
  <c r="C95" i="1"/>
  <c r="B95" i="1"/>
  <c r="A97" i="1" l="1"/>
  <c r="C96" i="1"/>
  <c r="B96" i="1"/>
  <c r="A98" i="1" l="1"/>
  <c r="C97" i="1"/>
  <c r="B97" i="1"/>
  <c r="A99" i="1" l="1"/>
  <c r="C98" i="1"/>
  <c r="B98" i="1"/>
  <c r="A100" i="1" l="1"/>
  <c r="C99" i="1"/>
  <c r="B99" i="1"/>
  <c r="A101" i="1" l="1"/>
  <c r="C100" i="1"/>
  <c r="B100" i="1"/>
  <c r="A102" i="1" l="1"/>
  <c r="C101" i="1"/>
  <c r="B101" i="1"/>
  <c r="A103" i="1" l="1"/>
  <c r="C102" i="1"/>
  <c r="B102" i="1"/>
  <c r="A104" i="1" l="1"/>
  <c r="C103" i="1"/>
  <c r="B103" i="1"/>
  <c r="A105" i="1" l="1"/>
  <c r="C104" i="1"/>
  <c r="B104" i="1"/>
  <c r="A106" i="1" l="1"/>
  <c r="C105" i="1"/>
  <c r="B105" i="1"/>
  <c r="A107" i="1" l="1"/>
  <c r="C106" i="1"/>
  <c r="B106" i="1"/>
  <c r="A108" i="1" l="1"/>
  <c r="C107" i="1"/>
  <c r="B107" i="1"/>
  <c r="A109" i="1" l="1"/>
  <c r="C108" i="1"/>
  <c r="B108" i="1"/>
  <c r="A110" i="1" l="1"/>
  <c r="C109" i="1"/>
  <c r="B109" i="1"/>
  <c r="A111" i="1" l="1"/>
  <c r="C110" i="1"/>
  <c r="B110" i="1"/>
  <c r="A112" i="1" l="1"/>
  <c r="C111" i="1"/>
  <c r="B111" i="1"/>
  <c r="A113" i="1" l="1"/>
  <c r="C112" i="1"/>
  <c r="B112" i="1"/>
  <c r="A114" i="1" l="1"/>
  <c r="C113" i="1"/>
  <c r="B113" i="1"/>
  <c r="A115" i="1" l="1"/>
  <c r="C114" i="1"/>
  <c r="B114" i="1"/>
  <c r="A116" i="1" l="1"/>
  <c r="C115" i="1"/>
  <c r="B115" i="1"/>
  <c r="A117" i="1" l="1"/>
  <c r="C116" i="1"/>
  <c r="B116" i="1"/>
  <c r="A118" i="1" l="1"/>
  <c r="C117" i="1"/>
  <c r="B117" i="1"/>
  <c r="A119" i="1" l="1"/>
  <c r="C118" i="1"/>
  <c r="B118" i="1"/>
  <c r="A120" i="1" l="1"/>
  <c r="C119" i="1"/>
  <c r="B119" i="1"/>
  <c r="A121" i="1" l="1"/>
  <c r="C120" i="1"/>
  <c r="B120" i="1"/>
  <c r="A122" i="1" l="1"/>
  <c r="C121" i="1"/>
  <c r="B121" i="1"/>
  <c r="A123" i="1" l="1"/>
  <c r="C122" i="1"/>
  <c r="B122" i="1"/>
  <c r="A124" i="1" l="1"/>
  <c r="C123" i="1"/>
  <c r="B123" i="1"/>
  <c r="A125" i="1" l="1"/>
  <c r="C124" i="1"/>
  <c r="B124" i="1"/>
  <c r="A126" i="1" l="1"/>
  <c r="C125" i="1"/>
  <c r="B125" i="1"/>
  <c r="A127" i="1" l="1"/>
  <c r="C126" i="1"/>
  <c r="B126" i="1"/>
  <c r="A128" i="1" l="1"/>
  <c r="C127" i="1"/>
  <c r="B127" i="1"/>
  <c r="A129" i="1" l="1"/>
  <c r="C128" i="1"/>
  <c r="B128" i="1"/>
  <c r="A130" i="1" l="1"/>
  <c r="C129" i="1"/>
  <c r="B129" i="1"/>
  <c r="A131" i="1" l="1"/>
  <c r="C130" i="1"/>
  <c r="B130" i="1"/>
  <c r="A132" i="1" l="1"/>
  <c r="C131" i="1"/>
  <c r="B10" i="1" s="1"/>
  <c r="B131" i="1"/>
  <c r="B9" i="1" s="1"/>
  <c r="C132" i="1" l="1"/>
  <c r="B132" i="1"/>
</calcChain>
</file>

<file path=xl/sharedStrings.xml><?xml version="1.0" encoding="utf-8"?>
<sst xmlns="http://schemas.openxmlformats.org/spreadsheetml/2006/main" count="120" uniqueCount="88">
  <si>
    <t>Valor Crédito</t>
  </si>
  <si>
    <t>Comisión Inicial</t>
  </si>
  <si>
    <t>GMF</t>
  </si>
  <si>
    <t>Tasa  IBR NMV</t>
  </si>
  <si>
    <t>Cobro Seguro</t>
  </si>
  <si>
    <t>Pago Seguro</t>
  </si>
  <si>
    <t>Spread</t>
  </si>
  <si>
    <t>Otros Cobros</t>
  </si>
  <si>
    <t>Otros Pagos</t>
  </si>
  <si>
    <t>Tasa Cliente - Inicial</t>
  </si>
  <si>
    <t>Varios</t>
  </si>
  <si>
    <t>Tasa Mes</t>
  </si>
  <si>
    <t>Plazo</t>
  </si>
  <si>
    <t>Cuota</t>
  </si>
  <si>
    <t>TIR Nominal</t>
  </si>
  <si>
    <t>TIR Implicita</t>
  </si>
  <si>
    <t>Capital inicial</t>
  </si>
  <si>
    <t>IBR inicial</t>
  </si>
  <si>
    <t>Tasa inicial</t>
  </si>
  <si>
    <t>FECHA DESEM</t>
  </si>
  <si>
    <t>Plazo Inicial</t>
  </si>
  <si>
    <t>Spread inicial</t>
  </si>
  <si>
    <t>Cuota inicio</t>
  </si>
  <si>
    <t>Aplicación del Pago</t>
  </si>
  <si>
    <t>Ki</t>
  </si>
  <si>
    <t>i</t>
  </si>
  <si>
    <t>k</t>
  </si>
  <si>
    <t>KF</t>
  </si>
  <si>
    <t>IBR +i</t>
  </si>
  <si>
    <t>Tasa + i</t>
  </si>
  <si>
    <t>}</t>
  </si>
  <si>
    <t>Plazo + i</t>
  </si>
  <si>
    <t>dia</t>
  </si>
  <si>
    <t>mes</t>
  </si>
  <si>
    <t>año</t>
  </si>
  <si>
    <t>Causac Inter Mes</t>
  </si>
  <si>
    <t>Fecha pago</t>
  </si>
  <si>
    <t xml:space="preserve">Valor intereses </t>
  </si>
  <si>
    <t>Abono a K</t>
  </si>
  <si>
    <t>Saldo a capital</t>
  </si>
  <si>
    <t>Intereses de mora</t>
  </si>
  <si>
    <t>Valor pagado cliente</t>
  </si>
  <si>
    <t>Saldos menores</t>
  </si>
  <si>
    <t xml:space="preserve">APLICACIÓN DEL PAGO </t>
  </si>
  <si>
    <t xml:space="preserve">EXTRACTO </t>
  </si>
  <si>
    <t>Cuota #</t>
  </si>
  <si>
    <t>Valor a pagar</t>
  </si>
  <si>
    <t>FACTURACION</t>
  </si>
  <si>
    <t>Timestamp</t>
  </si>
  <si>
    <t>IdPago</t>
  </si>
  <si>
    <t>Cliente</t>
  </si>
  <si>
    <t>Credito</t>
  </si>
  <si>
    <t>Fila</t>
  </si>
  <si>
    <t>Accion</t>
  </si>
  <si>
    <t>Detalle</t>
  </si>
  <si>
    <t>IdempotencyKey</t>
  </si>
  <si>
    <t>AsientoPdfPath</t>
  </si>
  <si>
    <t>ApplicationRow</t>
  </si>
  <si>
    <t>IbrRow</t>
  </si>
  <si>
    <t>AsientoPdfHash</t>
  </si>
  <si>
    <t>AsientoPdfETag</t>
  </si>
  <si>
    <t>Estado</t>
  </si>
  <si>
    <t>TipoAplicacion</t>
  </si>
  <si>
    <t>ValorPagadoCliente</t>
  </si>
  <si>
    <t>TipoAplicacionOriginal</t>
  </si>
  <si>
    <t>TipoAplicacionCanonica</t>
  </si>
  <si>
    <t>SubtipoAplicacion</t>
  </si>
  <si>
    <t>RolExtracto</t>
  </si>
  <si>
    <t>ActualizaIBR</t>
  </si>
  <si>
    <t>2026-08-21T05:06:16-05:00</t>
  </si>
  <si>
    <t>cd5785d1-913f-4847-924f-c464f10f3df5</t>
  </si>
  <si>
    <t>SERGIO EDUARDO GOMEZ L</t>
  </si>
  <si>
    <t>327</t>
  </si>
  <si>
    <t>APLICADO</t>
  </si>
  <si>
    <t>apply|WOULD_APPLY|ibr=NOT_REQUIRED|tipo=PAGO|subtipo=CUOTA_MAS_CAPITAL</t>
  </si>
  <si>
    <t>cd5785d1-913f-4847-924f-c464f10f3df5|327|informacion creditos-clientes/03 comware pruebas- informacion creditos clientes/sergio eduardo gomez l/credito #327/asientos contables cred 327/cred 327-2.pdf||</t>
  </si>
  <si>
    <t>INFORMACION CREDITOS-CLIENTES/03 COMWARE PRUEBAS- INFORMACION CREDITOS CLIENTES/SERGIO EDUARDO GOMEZ L/CREDITO #327/ASIENTOS CONTABLES CRED 327/CRED 327-2.pdf</t>
  </si>
  <si>
    <t>c0c5674a5ee67bb1883e1c877c29b89d3e82888de49666b74cd9bdf4014f4cb4</t>
  </si>
  <si>
    <t>"{D1CB0156-EF41-401F-A11F-FA852093FCBE},1"</t>
  </si>
  <si>
    <t>PAGO</t>
  </si>
  <si>
    <t>PAGO CUOTA + ABONO A CAPITAL</t>
  </si>
  <si>
    <t>CUOTA_MAS_CAPITAL</t>
  </si>
  <si>
    <t>CIERRE_CUOTA</t>
  </si>
  <si>
    <t>NO</t>
  </si>
  <si>
    <t>cd5785d1-913f-4847-924f-c464f10f3df5|327|informacion creditos-clientes/03 comware pruebas- informacion creditos clientes/sergio eduardo gomez l/credito #327/asientos contables cred 327/327-1.pdf||</t>
  </si>
  <si>
    <t>INFORMACION CREDITOS-CLIENTES/03 COMWARE PRUEBAS- INFORMACION CREDITOS CLIENTES/SERGIO EDUARDO GOMEZ L/CREDITO #327/ASIENTOS CONTABLES CRED 327/327-1.pdf</t>
  </si>
  <si>
    <t>1ac812d211399f7e60a478f773972ea7615744d651e3587c94cef9978d82d017</t>
  </si>
  <si>
    <t>"{F3B8EA8A-2CD9-42A2-AD1A-7EF61617A904},1"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</si>
</sst>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0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/>
    <xf numFmtId="9" fontId="1" fillId="0" borderId="0"/>
  </cellStyleXfs>
  <cellXfs count="88">
    <xf numFmtId="0" fontId="0" fillId="0" borderId="0" xfId="0"/>
    <xf numFmtId="10" fontId="0" fillId="0" borderId="0" xfId="0" applyNumberFormat="1"/>
    <xf numFmtId="164" fontId="0" fillId="0" borderId="0" xfId="1" applyNumberFormat="1" applyFont="1"/>
    <xf numFmtId="165" fontId="0" fillId="0" borderId="0" xfId="0" applyNumberFormat="1"/>
    <xf numFmtId="164" fontId="0" fillId="0" borderId="0" xfId="0" applyNumberFormat="1"/>
    <xf numFmtId="0" fontId="0" fillId="3" borderId="0" xfId="0" applyFill="1"/>
    <xf numFmtId="164" fontId="0" fillId="3" borderId="0" xfId="0" applyNumberFormat="1" applyFill="1"/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center"/>
    </xf>
    <xf numFmtId="165" fontId="0" fillId="2" borderId="0" xfId="2" applyNumberFormat="1" applyFont="1" applyFill="1" applyProtection="1">
      <protection locked="0"/>
    </xf>
    <xf numFmtId="164" fontId="0" fillId="2" borderId="0" xfId="1" applyNumberFormat="1" applyFont="1" applyFill="1" applyProtection="1">
      <protection locked="0"/>
    </xf>
    <xf numFmtId="0" fontId="0" fillId="2" borderId="0" xfId="0" applyFill="1" applyProtection="1">
      <protection locked="0"/>
    </xf>
    <xf numFmtId="165" fontId="0" fillId="0" borderId="0" xfId="2" applyNumberFormat="1" applyFont="1"/>
    <xf numFmtId="0" fontId="3" fillId="4" borderId="0" xfId="0" applyFont="1" applyFill="1" applyAlignment="1">
      <alignment horizont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43" fontId="0" fillId="5" borderId="3" xfId="1" applyFont="1" applyFill="1" applyBorder="1"/>
    <xf numFmtId="14" fontId="0" fillId="0" borderId="0" xfId="0" applyNumberFormat="1"/>
    <xf numFmtId="43" fontId="0" fillId="0" borderId="0" xfId="1" applyFont="1"/>
    <xf numFmtId="43" fontId="0" fillId="0" borderId="0" xfId="0" applyNumberFormat="1"/>
    <xf numFmtId="43" fontId="0" fillId="0" borderId="3" xfId="1" applyFont="1" applyBorder="1"/>
    <xf numFmtId="0" fontId="3" fillId="5" borderId="5" xfId="0" applyFont="1" applyFill="1" applyBorder="1" applyAlignment="1">
      <alignment horizontal="center" vertical="top"/>
    </xf>
    <xf numFmtId="0" fontId="3" fillId="5" borderId="6" xfId="0" applyFont="1" applyFill="1" applyBorder="1" applyAlignment="1">
      <alignment horizontal="center" wrapText="1"/>
    </xf>
    <xf numFmtId="14" fontId="0" fillId="0" borderId="7" xfId="0" applyNumberFormat="1" applyBorder="1"/>
    <xf numFmtId="43" fontId="5" fillId="6" borderId="8" xfId="1" applyFont="1" applyFill="1" applyBorder="1"/>
    <xf numFmtId="43" fontId="5" fillId="6" borderId="8" xfId="0" applyNumberFormat="1" applyFont="1" applyFill="1" applyBorder="1"/>
    <xf numFmtId="0" fontId="0" fillId="0" borderId="9" xfId="0" applyBorder="1" applyAlignment="1">
      <alignment horizontal="center"/>
    </xf>
    <xf numFmtId="164" fontId="0" fillId="0" borderId="10" xfId="0" applyNumberFormat="1" applyBorder="1"/>
    <xf numFmtId="43" fontId="0" fillId="0" borderId="10" xfId="0" applyNumberFormat="1" applyBorder="1"/>
    <xf numFmtId="43" fontId="5" fillId="6" borderId="11" xfId="0" applyNumberFormat="1" applyFont="1" applyFill="1" applyBorder="1"/>
    <xf numFmtId="43" fontId="0" fillId="7" borderId="0" xfId="1" applyFont="1" applyFill="1"/>
    <xf numFmtId="0" fontId="0" fillId="0" borderId="12" xfId="0" applyBorder="1"/>
    <xf numFmtId="43" fontId="0" fillId="0" borderId="12" xfId="0" applyNumberFormat="1" applyBorder="1"/>
    <xf numFmtId="0" fontId="0" fillId="0" borderId="3" xfId="0" applyBorder="1" applyAlignment="1">
      <alignment horizontal="center"/>
    </xf>
    <xf numFmtId="14" fontId="0" fillId="0" borderId="3" xfId="0" applyNumberFormat="1" applyBorder="1"/>
    <xf numFmtId="0" fontId="0" fillId="0" borderId="3" xfId="0" applyBorder="1"/>
    <xf numFmtId="43" fontId="0" fillId="0" borderId="3" xfId="0" applyNumberFormat="1" applyBorder="1"/>
    <xf numFmtId="164" fontId="0" fillId="0" borderId="3" xfId="0" applyNumberFormat="1" applyBorder="1"/>
    <xf numFmtId="17" fontId="5" fillId="0" borderId="0" xfId="0" applyNumberFormat="1" applyFont="1" applyAlignment="1">
      <alignment horizontal="center"/>
    </xf>
    <xf numFmtId="0" fontId="3" fillId="5" borderId="3" xfId="0" applyFont="1" applyFill="1" applyBorder="1" applyAlignment="1">
      <alignment horizontal="center" vertical="top"/>
    </xf>
    <xf numFmtId="0" fontId="3" fillId="5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top"/>
    </xf>
    <xf numFmtId="0" fontId="3" fillId="7" borderId="3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/>
    </xf>
    <xf numFmtId="0" fontId="0" fillId="0" borderId="3" xfId="1" applyNumberFormat="1" applyFont="1" applyBorder="1" applyAlignment="1">
      <alignment horizontal="center"/>
    </xf>
    <xf numFmtId="14" fontId="0" fillId="0" borderId="3" xfId="1" applyNumberFormat="1" applyFont="1" applyBorder="1"/>
    <xf numFmtId="0" fontId="3" fillId="5" borderId="3" xfId="0" applyFont="1" applyFill="1" applyBorder="1" applyAlignment="1">
      <alignment horizontal="center" wrapText="1"/>
    </xf>
    <xf numFmtId="43" fontId="5" fillId="3" borderId="3" xfId="1" applyFont="1" applyFill="1" applyBorder="1"/>
    <xf numFmtId="14" fontId="6" fillId="0" borderId="0" xfId="0" applyNumberFormat="1" applyFont="1"/>
    <xf numFmtId="165" fontId="1" fillId="0" borderId="0" xfId="2" applyNumberFormat="1" applyProtection="1">
      <protection locked="0"/>
    </xf>
    <xf numFmtId="0" fontId="6" fillId="0" borderId="0" xfId="0" applyFont="1"/>
    <xf numFmtId="43" fontId="0" fillId="3" borderId="3" xfId="1" applyFont="1" applyFill="1" applyBorder="1"/>
    <xf numFmtId="14" fontId="0" fillId="3" borderId="3" xfId="0" applyNumberFormat="1" applyFill="1" applyBorder="1"/>
    <xf numFmtId="43" fontId="7" fillId="3" borderId="3" xfId="1" applyFont="1" applyFill="1" applyBorder="1"/>
    <xf numFmtId="164" fontId="8" fillId="0" borderId="0" xfId="1" applyNumberFormat="1" applyFont="1"/>
    <xf numFmtId="165" fontId="1" fillId="0" borderId="0" xfId="2" applyNumberFormat="1"/>
    <xf numFmtId="164" fontId="1" fillId="0" borderId="0" xfId="1" applyNumberFormat="1"/>
    <xf numFmtId="0" fontId="9" fillId="0" borderId="0" xfId="0" applyFont="1" applyAlignment="1">
      <alignment horizontal="center"/>
    </xf>
    <xf numFmtId="0" fontId="5" fillId="0" borderId="0" xfId="0" applyFont="1"/>
    <xf numFmtId="0" fontId="10" fillId="3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5" fillId="10" borderId="0" xfId="0" applyFont="1" applyFill="1" applyAlignment="1">
      <alignment horizontal="center"/>
    </xf>
    <xf numFmtId="164" fontId="11" fillId="10" borderId="0" xfId="1" applyNumberFormat="1" applyFont="1" applyFill="1"/>
    <xf numFmtId="165" fontId="5" fillId="10" borderId="0" xfId="2" applyNumberFormat="1" applyFont="1" applyFill="1" applyProtection="1">
      <protection locked="0"/>
    </xf>
    <xf numFmtId="165" fontId="5" fillId="10" borderId="0" xfId="2" applyNumberFormat="1" applyFont="1" applyFill="1"/>
    <xf numFmtId="164" fontId="5" fillId="10" borderId="0" xfId="1" applyNumberFormat="1" applyFont="1" applyFill="1"/>
    <xf numFmtId="0" fontId="2" fillId="10" borderId="0" xfId="0" applyFont="1" applyFill="1" applyAlignment="1">
      <alignment horizontal="center"/>
    </xf>
    <xf numFmtId="0" fontId="5" fillId="10" borderId="0" xfId="0" applyFont="1" applyFill="1"/>
    <xf numFmtId="14" fontId="0" fillId="3" borderId="2" xfId="1" applyNumberFormat="1" applyFont="1" applyFill="1" applyBorder="1"/>
    <xf numFmtId="43" fontId="0" fillId="3" borderId="2" xfId="1" applyFont="1" applyFill="1" applyBorder="1"/>
    <xf numFmtId="0" fontId="3" fillId="10" borderId="13" xfId="0" applyFont="1" applyFill="1" applyBorder="1" applyAlignment="1">
      <alignment horizontal="center" vertical="center"/>
    </xf>
    <xf numFmtId="0" fontId="3" fillId="10" borderId="14" xfId="0" applyFont="1" applyFill="1" applyBorder="1" applyAlignment="1">
      <alignment horizontal="center" vertical="center" wrapText="1"/>
    </xf>
    <xf numFmtId="0" fontId="3" fillId="10" borderId="14" xfId="0" applyFont="1" applyFill="1" applyBorder="1" applyAlignment="1">
      <alignment horizontal="center" vertical="center"/>
    </xf>
    <xf numFmtId="0" fontId="3" fillId="10" borderId="15" xfId="0" applyFont="1" applyFill="1" applyBorder="1" applyAlignment="1">
      <alignment horizontal="center" wrapText="1"/>
    </xf>
    <xf numFmtId="43" fontId="7" fillId="0" borderId="3" xfId="1" applyFont="1" applyBorder="1"/>
    <xf numFmtId="0" fontId="5" fillId="10" borderId="16" xfId="0" applyFont="1" applyFill="1" applyBorder="1" applyAlignment="1">
      <alignment horizontal="center"/>
    </xf>
    <xf numFmtId="0" fontId="5" fillId="5" borderId="17" xfId="0" applyFont="1" applyFill="1" applyBorder="1" applyAlignment="1">
      <alignment horizontal="center"/>
    </xf>
    <xf numFmtId="0" fontId="5" fillId="7" borderId="3" xfId="0" applyFont="1" applyFill="1" applyBorder="1" applyAlignment="1">
      <alignment horizontal="center"/>
    </xf>
    <xf numFmtId="0" fontId="5" fillId="8" borderId="3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/>
    </xf>
    <xf numFmtId="0" fontId="0" fillId="0" borderId="0" xfId="0" applyAlignment="1"/>
    <xf numFmtId="0" fontId="0" fillId="0" borderId="1" xfId="0" applyBorder="1" applyAlignment="1"/>
    <xf numFmtId="0" fontId="0" fillId="0" borderId="4" xfId="0" applyBorder="1" applyAlignment="1"/>
    <xf numFmtId="0" fontId="0" fillId="0" borderId="18" xfId="0" applyBorder="1" applyAlignment="1"/>
    <xf numFmtId="0" fontId="0" fillId="0" borderId="19" xfId="0" applyBorder="1" applyAlignment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2"/>
  <sheetViews>
    <sheetView workbookViewId="0">
      <selection activeCell="B21" sqref="B21"/>
    </sheetView>
  </sheetViews>
  <sheetFormatPr defaultColWidth="11.42578125" defaultRowHeight="14.45"/>
  <cols>
    <col min="1" max="1" width="18.7109375" bestFit="1" customWidth="1"/>
    <col min="2" max="2" width="14.140625" bestFit="1" customWidth="1"/>
    <col min="3" max="3" width="11.140625" bestFit="1" customWidth="1"/>
    <col min="6" max="6" width="15" bestFit="1" customWidth="1"/>
    <col min="10" max="10" width="11.85546875" bestFit="1" customWidth="1"/>
  </cols>
  <sheetData>
    <row r="1" spans="1:11">
      <c r="A1" t="s">
        <v>0</v>
      </c>
      <c r="B1" s="2">
        <v>10000000</v>
      </c>
      <c r="F1" t="s">
        <v>1</v>
      </c>
      <c r="G1" s="4">
        <f>+B1*B8</f>
        <v>50000</v>
      </c>
      <c r="J1" t="s">
        <v>2</v>
      </c>
      <c r="K1" s="4">
        <f>0.4%*B1</f>
        <v>40000</v>
      </c>
    </row>
    <row r="2" spans="1:11">
      <c r="A2" t="s">
        <v>3</v>
      </c>
      <c r="B2" s="3">
        <v>9.5570000000000002E-2</v>
      </c>
      <c r="F2" t="s">
        <v>4</v>
      </c>
      <c r="G2" s="4">
        <f>0.8%*B1</f>
        <v>80000</v>
      </c>
      <c r="J2" t="s">
        <v>5</v>
      </c>
      <c r="K2" s="4">
        <v>80000</v>
      </c>
    </row>
    <row r="3" spans="1:11">
      <c r="A3" t="s">
        <v>6</v>
      </c>
      <c r="B3" s="3">
        <v>7.0000000000000007E-2</v>
      </c>
      <c r="F3" t="s">
        <v>7</v>
      </c>
      <c r="G3" s="4">
        <v>5000</v>
      </c>
      <c r="J3" t="s">
        <v>8</v>
      </c>
      <c r="K3" s="4">
        <v>3000</v>
      </c>
    </row>
    <row r="4" spans="1:11">
      <c r="A4" t="s">
        <v>9</v>
      </c>
      <c r="B4" s="3">
        <f>+B2+B3</f>
        <v>0.16556999999999999</v>
      </c>
      <c r="F4" t="s">
        <v>10</v>
      </c>
      <c r="G4" s="4">
        <v>1000</v>
      </c>
      <c r="J4" t="s">
        <v>10</v>
      </c>
      <c r="K4" s="4">
        <v>1000</v>
      </c>
    </row>
    <row r="5" spans="1:11">
      <c r="A5" t="s">
        <v>11</v>
      </c>
      <c r="B5" s="3">
        <f>+B4/12</f>
        <v>1.3797499999999999E-2</v>
      </c>
      <c r="G5" s="4">
        <f>SUM(G1:G4)</f>
        <v>136000</v>
      </c>
      <c r="K5" s="4">
        <f>SUM(K1:K4)</f>
        <v>124000</v>
      </c>
    </row>
    <row r="6" spans="1:11">
      <c r="A6" t="s">
        <v>12</v>
      </c>
      <c r="B6" s="2">
        <v>120</v>
      </c>
    </row>
    <row r="7" spans="1:11">
      <c r="A7" t="s">
        <v>13</v>
      </c>
      <c r="B7" s="2">
        <f>PMT(B5,B6,-B1,0)</f>
        <v>171000.69483453908</v>
      </c>
    </row>
    <row r="8" spans="1:11">
      <c r="A8" t="s">
        <v>1</v>
      </c>
      <c r="B8" s="1">
        <v>5.0000000000000001E-3</v>
      </c>
    </row>
    <row r="9" spans="1:11">
      <c r="A9" t="s">
        <v>14</v>
      </c>
      <c r="B9" s="3">
        <f>IRR(B11:B131,5%)</f>
        <v>1.3797499999999907E-2</v>
      </c>
    </row>
    <row r="10" spans="1:11">
      <c r="A10" t="s">
        <v>15</v>
      </c>
      <c r="B10" s="3">
        <f>IRR(C11:C131,5%)</f>
        <v>1.3824337313149915E-2</v>
      </c>
    </row>
    <row r="11" spans="1:11">
      <c r="A11" s="5"/>
      <c r="B11" s="6">
        <f>-B1</f>
        <v>-10000000</v>
      </c>
      <c r="C11" s="6">
        <f>+B11</f>
        <v>-10000000</v>
      </c>
    </row>
    <row r="12" spans="1:11">
      <c r="A12" s="7">
        <v>1</v>
      </c>
      <c r="B12" s="6">
        <f>+B7</f>
        <v>171000.69483453908</v>
      </c>
      <c r="C12" s="6">
        <f>+B12+G5-K5</f>
        <v>183000.69483453908</v>
      </c>
    </row>
    <row r="13" spans="1:11">
      <c r="A13" s="7">
        <f>IF(AND(A12&lt;$B$6)*(A12&lt;&gt;0),1+A12," ")</f>
        <v>2</v>
      </c>
      <c r="B13" s="6">
        <f>IF(A13&lt;&gt;" ",+B12*1," ")</f>
        <v>171000.69483453908</v>
      </c>
      <c r="C13" s="6">
        <f>+B13</f>
        <v>171000.69483453908</v>
      </c>
    </row>
    <row r="14" spans="1:11">
      <c r="A14" s="7">
        <f>IF(AND(A13&lt;$B$6)*(A13&lt;&gt;0),1+A13," ")</f>
        <v>3</v>
      </c>
      <c r="B14" s="6">
        <f>IF(A14&lt;&gt;" ",+B13*1," ")</f>
        <v>171000.69483453908</v>
      </c>
      <c r="C14" s="6">
        <f>IF(A14&lt;&gt;" ",+C13*1," ")</f>
        <v>171000.69483453908</v>
      </c>
    </row>
    <row r="15" spans="1:11">
      <c r="A15" s="7">
        <f>IF(AND(A14&lt;$B$6)*(A14&lt;&gt;0),1+A14," ")</f>
        <v>4</v>
      </c>
      <c r="B15" s="6">
        <f>IF(A15&lt;&gt;" ",+B14*1," ")</f>
        <v>171000.69483453908</v>
      </c>
      <c r="C15" s="6">
        <f>IF(A15&lt;&gt;" ",+C14*1," ")</f>
        <v>171000.69483453908</v>
      </c>
    </row>
    <row r="16" spans="1:11">
      <c r="A16" s="7">
        <f>IF(AND(A15&lt;$B$6)*(A15&lt;&gt;0),1+A15," ")</f>
        <v>5</v>
      </c>
      <c r="B16" s="6">
        <f>IF(A16&lt;&gt;" ",+B15*1," ")</f>
        <v>171000.69483453908</v>
      </c>
      <c r="C16" s="6">
        <f>IF(A16&lt;&gt;" ",+C15*1," ")</f>
        <v>171000.69483453908</v>
      </c>
    </row>
    <row r="17" spans="1:3">
      <c r="A17" s="7">
        <f>IF(AND(A16&lt;$B$6)*(A16&lt;&gt;0),1+A16," ")</f>
        <v>6</v>
      </c>
      <c r="B17" s="6">
        <f>IF(A17&lt;&gt;" ",+B16*1," ")</f>
        <v>171000.69483453908</v>
      </c>
      <c r="C17" s="6">
        <f>IF(A17&lt;&gt;" ",+C16*1," ")</f>
        <v>171000.69483453908</v>
      </c>
    </row>
    <row r="18" spans="1:3">
      <c r="A18" s="7">
        <f>IF(AND(A17&lt;$B$6)*(A17&lt;&gt;0),1+A17," ")</f>
        <v>7</v>
      </c>
      <c r="B18" s="6">
        <f>IF(A18&lt;&gt;" ",+B17*1," ")</f>
        <v>171000.69483453908</v>
      </c>
      <c r="C18" s="6">
        <f>IF(A18&lt;&gt;" ",+C17*1," ")</f>
        <v>171000.69483453908</v>
      </c>
    </row>
    <row r="19" spans="1:3">
      <c r="A19" s="7">
        <f>IF(AND(A18&lt;$B$6)*(A18&lt;&gt;0),1+A18," ")</f>
        <v>8</v>
      </c>
      <c r="B19" s="6">
        <f>IF(A19&lt;&gt;" ",+B18*1," ")</f>
        <v>171000.69483453908</v>
      </c>
      <c r="C19" s="6">
        <f>IF(A19&lt;&gt;" ",+C18*1," ")</f>
        <v>171000.69483453908</v>
      </c>
    </row>
    <row r="20" spans="1:3">
      <c r="A20" s="7">
        <f>IF(AND(A19&lt;$B$6)*(A19&lt;&gt;0),1+A19," ")</f>
        <v>9</v>
      </c>
      <c r="B20" s="6">
        <f>IF(A20&lt;&gt;" ",+B19*1," ")</f>
        <v>171000.69483453908</v>
      </c>
      <c r="C20" s="6">
        <f>IF(A20&lt;&gt;" ",+C19*1," ")</f>
        <v>171000.69483453908</v>
      </c>
    </row>
    <row r="21" spans="1:3">
      <c r="A21" s="7">
        <f>IF(AND(A20&lt;$B$6)*(A20&lt;&gt;0),1+A20," ")</f>
        <v>10</v>
      </c>
      <c r="B21" s="6">
        <f>IF(A21&lt;&gt;" ",+B20*1," ")</f>
        <v>171000.69483453908</v>
      </c>
      <c r="C21" s="6">
        <f>IF(A21&lt;&gt;" ",+C20*1," ")</f>
        <v>171000.69483453908</v>
      </c>
    </row>
    <row r="22" spans="1:3">
      <c r="A22" s="7">
        <f>IF(AND(A21&lt;$B$6)*(A21&lt;&gt;0),1+A21," ")</f>
        <v>11</v>
      </c>
      <c r="B22" s="6">
        <f>IF(A22&lt;&gt;" ",+B21*1," ")</f>
        <v>171000.69483453908</v>
      </c>
      <c r="C22" s="6">
        <f>IF(A22&lt;&gt;" ",+C21*1," ")</f>
        <v>171000.69483453908</v>
      </c>
    </row>
    <row r="23" spans="1:3">
      <c r="A23" s="7">
        <f>IF(AND(A22&lt;$B$6)*(A22&lt;&gt;0),1+A22," ")</f>
        <v>12</v>
      </c>
      <c r="B23" s="6">
        <f>IF(A23&lt;&gt;" ",+B22*1," ")</f>
        <v>171000.69483453908</v>
      </c>
      <c r="C23" s="6">
        <f>IF(A23&lt;&gt;" ",+C22*1," ")</f>
        <v>171000.69483453908</v>
      </c>
    </row>
    <row r="24" spans="1:3">
      <c r="A24" s="7">
        <f>IF(AND(A23&lt;$B$6)*(A23&lt;&gt;0),1+A23," ")</f>
        <v>13</v>
      </c>
      <c r="B24" s="6">
        <f>IF(A24&lt;&gt;" ",+B23*1," ")</f>
        <v>171000.69483453908</v>
      </c>
      <c r="C24" s="6">
        <f>IF(A24&lt;&gt;" ",+C23*1," ")</f>
        <v>171000.69483453908</v>
      </c>
    </row>
    <row r="25" spans="1:3">
      <c r="A25" s="7">
        <f>IF(AND(A24&lt;$B$6)*(A24&lt;&gt;0),1+A24," ")</f>
        <v>14</v>
      </c>
      <c r="B25" s="6">
        <f>IF(A25&lt;&gt;" ",+B24*1," ")</f>
        <v>171000.69483453908</v>
      </c>
      <c r="C25" s="6">
        <f>IF(A25&lt;&gt;" ",+C24*1," ")</f>
        <v>171000.69483453908</v>
      </c>
    </row>
    <row r="26" spans="1:3">
      <c r="A26" s="7">
        <f>IF(AND(A25&lt;$B$6)*(A25&lt;&gt;0),1+A25," ")</f>
        <v>15</v>
      </c>
      <c r="B26" s="6">
        <f>IF(A26&lt;&gt;" ",+B25*1," ")</f>
        <v>171000.69483453908</v>
      </c>
      <c r="C26" s="6">
        <f>IF(A26&lt;&gt;" ",+C25*1," ")</f>
        <v>171000.69483453908</v>
      </c>
    </row>
    <row r="27" spans="1:3">
      <c r="A27" s="7">
        <f>IF(AND(A26&lt;$B$6)*(A26&lt;&gt;0),1+A26," ")</f>
        <v>16</v>
      </c>
      <c r="B27" s="6">
        <f>IF(A27&lt;&gt;" ",+B26*1," ")</f>
        <v>171000.69483453908</v>
      </c>
      <c r="C27" s="6">
        <f>IF(A27&lt;&gt;" ",+C26*1," ")</f>
        <v>171000.69483453908</v>
      </c>
    </row>
    <row r="28" spans="1:3">
      <c r="A28" s="7">
        <f>IF(AND(A27&lt;$B$6)*(A27&lt;&gt;0),1+A27," ")</f>
        <v>17</v>
      </c>
      <c r="B28" s="6">
        <f>IF(A28&lt;&gt;" ",+B27*1," ")</f>
        <v>171000.69483453908</v>
      </c>
      <c r="C28" s="6">
        <f>IF(A28&lt;&gt;" ",+C27*1," ")</f>
        <v>171000.69483453908</v>
      </c>
    </row>
    <row r="29" spans="1:3">
      <c r="A29" s="7">
        <f>IF(AND(A28&lt;$B$6)*(A28&lt;&gt;0),1+A28," ")</f>
        <v>18</v>
      </c>
      <c r="B29" s="6">
        <f>IF(A29&lt;&gt;" ",+B28*1," ")</f>
        <v>171000.69483453908</v>
      </c>
      <c r="C29" s="6">
        <f>IF(A29&lt;&gt;" ",+C28*1," ")</f>
        <v>171000.69483453908</v>
      </c>
    </row>
    <row r="30" spans="1:3">
      <c r="A30" s="7">
        <f>IF(AND(A29&lt;$B$6)*(A29&lt;&gt;0),1+A29," ")</f>
        <v>19</v>
      </c>
      <c r="B30" s="6">
        <f>IF(A30&lt;&gt;" ",+B29*1," ")</f>
        <v>171000.69483453908</v>
      </c>
      <c r="C30" s="6">
        <f>IF(A30&lt;&gt;" ",+C29*1," ")</f>
        <v>171000.69483453908</v>
      </c>
    </row>
    <row r="31" spans="1:3">
      <c r="A31" s="7">
        <f>IF(AND(A30&lt;$B$6)*(A30&lt;&gt;0),1+A30," ")</f>
        <v>20</v>
      </c>
      <c r="B31" s="6">
        <f>IF(A31&lt;&gt;" ",+B30*1," ")</f>
        <v>171000.69483453908</v>
      </c>
      <c r="C31" s="6">
        <f>IF(A31&lt;&gt;" ",+C30*1," ")</f>
        <v>171000.69483453908</v>
      </c>
    </row>
    <row r="32" spans="1:3">
      <c r="A32" s="7">
        <f>IF(AND(A31&lt;$B$6)*(A31&lt;&gt;0),1+A31," ")</f>
        <v>21</v>
      </c>
      <c r="B32" s="6">
        <f>IF(A32&lt;&gt;" ",+B31*1," ")</f>
        <v>171000.69483453908</v>
      </c>
      <c r="C32" s="6">
        <f>IF(A32&lt;&gt;" ",+C31*1," ")</f>
        <v>171000.69483453908</v>
      </c>
    </row>
    <row r="33" spans="1:3">
      <c r="A33" s="7">
        <f>IF(AND(A32&lt;$B$6)*(A32&lt;&gt;0),1+A32," ")</f>
        <v>22</v>
      </c>
      <c r="B33" s="6">
        <f>IF(A33&lt;&gt;" ",+B32*1," ")</f>
        <v>171000.69483453908</v>
      </c>
      <c r="C33" s="6">
        <f>IF(A33&lt;&gt;" ",+C32*1," ")</f>
        <v>171000.69483453908</v>
      </c>
    </row>
    <row r="34" spans="1:3">
      <c r="A34" s="7">
        <f>IF(AND(A33&lt;$B$6)*(A33&lt;&gt;0),1+A33," ")</f>
        <v>23</v>
      </c>
      <c r="B34" s="6">
        <f>IF(A34&lt;&gt;" ",+B33*1," ")</f>
        <v>171000.69483453908</v>
      </c>
      <c r="C34" s="6">
        <f>IF(A34&lt;&gt;" ",+C33*1," ")</f>
        <v>171000.69483453908</v>
      </c>
    </row>
    <row r="35" spans="1:3">
      <c r="A35" s="7">
        <f>IF(AND(A34&lt;$B$6)*(A34&lt;&gt;0),1+A34," ")</f>
        <v>24</v>
      </c>
      <c r="B35" s="6">
        <f>IF(A35&lt;&gt;" ",+B34*1," ")</f>
        <v>171000.69483453908</v>
      </c>
      <c r="C35" s="6">
        <f>IF(A35&lt;&gt;" ",+C34*1," ")</f>
        <v>171000.69483453908</v>
      </c>
    </row>
    <row r="36" spans="1:3">
      <c r="A36" s="7">
        <f>IF(AND(A35&lt;$B$6)*(A35&lt;&gt;0),1+A35," ")</f>
        <v>25</v>
      </c>
      <c r="B36" s="6">
        <f>IF(A36&lt;&gt;" ",+B35*1," ")</f>
        <v>171000.69483453908</v>
      </c>
      <c r="C36" s="6">
        <f>IF(A36&lt;&gt;" ",+C35*1," ")</f>
        <v>171000.69483453908</v>
      </c>
    </row>
    <row r="37" spans="1:3">
      <c r="A37" s="7">
        <f>IF(AND(A36&lt;$B$6)*(A36&lt;&gt;0),1+A36," ")</f>
        <v>26</v>
      </c>
      <c r="B37" s="6">
        <f>IF(A37&lt;&gt;" ",+B36*1," ")</f>
        <v>171000.69483453908</v>
      </c>
      <c r="C37" s="6">
        <f>IF(A37&lt;&gt;" ",+C36*1," ")</f>
        <v>171000.69483453908</v>
      </c>
    </row>
    <row r="38" spans="1:3">
      <c r="A38" s="7">
        <f>IF(AND(A37&lt;$B$6)*(A37&lt;&gt;0),1+A37," ")</f>
        <v>27</v>
      </c>
      <c r="B38" s="6">
        <f>IF(A38&lt;&gt;" ",+B37*1," ")</f>
        <v>171000.69483453908</v>
      </c>
      <c r="C38" s="6">
        <f>IF(A38&lt;&gt;" ",+C37*1," ")</f>
        <v>171000.69483453908</v>
      </c>
    </row>
    <row r="39" spans="1:3">
      <c r="A39" s="7">
        <f>IF(AND(A38&lt;$B$6)*(A38&lt;&gt;0),1+A38," ")</f>
        <v>28</v>
      </c>
      <c r="B39" s="6">
        <f>IF(A39&lt;&gt;" ",+B38*1," ")</f>
        <v>171000.69483453908</v>
      </c>
      <c r="C39" s="6">
        <f>IF(A39&lt;&gt;" ",+C38*1," ")</f>
        <v>171000.69483453908</v>
      </c>
    </row>
    <row r="40" spans="1:3">
      <c r="A40" s="7">
        <f>IF(AND(A39&lt;$B$6)*(A39&lt;&gt;0),1+A39," ")</f>
        <v>29</v>
      </c>
      <c r="B40" s="6">
        <f>IF(A40&lt;&gt;" ",+B39*1," ")</f>
        <v>171000.69483453908</v>
      </c>
      <c r="C40" s="6">
        <f>IF(A40&lt;&gt;" ",+C39*1," ")</f>
        <v>171000.69483453908</v>
      </c>
    </row>
    <row r="41" spans="1:3">
      <c r="A41" s="7">
        <f>IF(AND(A40&lt;$B$6)*(A40&lt;&gt;0),1+A40," ")</f>
        <v>30</v>
      </c>
      <c r="B41" s="6">
        <f>IF(A41&lt;&gt;" ",+B40*1," ")</f>
        <v>171000.69483453908</v>
      </c>
      <c r="C41" s="6">
        <f>IF(A41&lt;&gt;" ",+C40*1," ")</f>
        <v>171000.69483453908</v>
      </c>
    </row>
    <row r="42" spans="1:3">
      <c r="A42" s="7">
        <f>IF(AND(A41&lt;$B$6)*(A41&lt;&gt;0),1+A41," ")</f>
        <v>31</v>
      </c>
      <c r="B42" s="6">
        <f>IF(A42&lt;&gt;" ",+B41*1," ")</f>
        <v>171000.69483453908</v>
      </c>
      <c r="C42" s="6">
        <f>IF(A42&lt;&gt;" ",+C41*1," ")</f>
        <v>171000.69483453908</v>
      </c>
    </row>
    <row r="43" spans="1:3">
      <c r="A43" s="7">
        <f>IF(AND(A42&lt;$B$6)*(A42&lt;&gt;0),1+A42," ")</f>
        <v>32</v>
      </c>
      <c r="B43" s="6">
        <f>IF(A43&lt;&gt;" ",+B42*1," ")</f>
        <v>171000.69483453908</v>
      </c>
      <c r="C43" s="6">
        <f>IF(A43&lt;&gt;" ",+C42*1," ")</f>
        <v>171000.69483453908</v>
      </c>
    </row>
    <row r="44" spans="1:3">
      <c r="A44" s="7">
        <f>IF(AND(A43&lt;$B$6)*(A43&lt;&gt;0),1+A43," ")</f>
        <v>33</v>
      </c>
      <c r="B44" s="6">
        <f>IF(A44&lt;&gt;" ",+B43*1," ")</f>
        <v>171000.69483453908</v>
      </c>
      <c r="C44" s="6">
        <f>IF(A44&lt;&gt;" ",+C43*1," ")</f>
        <v>171000.69483453908</v>
      </c>
    </row>
    <row r="45" spans="1:3">
      <c r="A45" s="7">
        <f>IF(AND(A44&lt;$B$6)*(A44&lt;&gt;0),1+A44," ")</f>
        <v>34</v>
      </c>
      <c r="B45" s="6">
        <f>IF(A45&lt;&gt;" ",+B44*1," ")</f>
        <v>171000.69483453908</v>
      </c>
      <c r="C45" s="6">
        <f>IF(A45&lt;&gt;" ",+C44*1," ")</f>
        <v>171000.69483453908</v>
      </c>
    </row>
    <row r="46" spans="1:3">
      <c r="A46" s="7">
        <f>IF(AND(A45&lt;$B$6)*(A45&lt;&gt;0),1+A45," ")</f>
        <v>35</v>
      </c>
      <c r="B46" s="6">
        <f>IF(A46&lt;&gt;" ",+B45*1," ")</f>
        <v>171000.69483453908</v>
      </c>
      <c r="C46" s="6">
        <f>IF(A46&lt;&gt;" ",+C45*1," ")</f>
        <v>171000.69483453908</v>
      </c>
    </row>
    <row r="47" spans="1:3">
      <c r="A47" s="7">
        <f>IF(AND(A46&lt;$B$6)*(A46&lt;&gt;0),1+A46," ")</f>
        <v>36</v>
      </c>
      <c r="B47" s="6">
        <f>IF(A47&lt;&gt;" ",+B46*1," ")</f>
        <v>171000.69483453908</v>
      </c>
      <c r="C47" s="6">
        <f>IF(A47&lt;&gt;" ",+C46*1," ")</f>
        <v>171000.69483453908</v>
      </c>
    </row>
    <row r="48" spans="1:3">
      <c r="A48" s="7">
        <f>IF(AND(A47&lt;$B$6)*(A47&lt;&gt;0),1+A47," ")</f>
        <v>37</v>
      </c>
      <c r="B48" s="6">
        <f>IF(A48&lt;&gt;" ",+B47*1," ")</f>
        <v>171000.69483453908</v>
      </c>
      <c r="C48" s="6">
        <f>IF(A48&lt;&gt;" ",+C47*1," ")</f>
        <v>171000.69483453908</v>
      </c>
    </row>
    <row r="49" spans="1:3">
      <c r="A49" s="7">
        <f>IF(AND(A48&lt;$B$6)*(A48&lt;&gt;0),1+A48," ")</f>
        <v>38</v>
      </c>
      <c r="B49" s="6">
        <f>IF(A49&lt;&gt;" ",+B48*1," ")</f>
        <v>171000.69483453908</v>
      </c>
      <c r="C49" s="6">
        <f>IF(A49&lt;&gt;" ",+C48*1," ")</f>
        <v>171000.69483453908</v>
      </c>
    </row>
    <row r="50" spans="1:3">
      <c r="A50" s="7">
        <f>IF(AND(A49&lt;$B$6)*(A49&lt;&gt;0),1+A49," ")</f>
        <v>39</v>
      </c>
      <c r="B50" s="6">
        <f>IF(A50&lt;&gt;" ",+B49*1," ")</f>
        <v>171000.69483453908</v>
      </c>
      <c r="C50" s="6">
        <f>IF(A50&lt;&gt;" ",+C49*1," ")</f>
        <v>171000.69483453908</v>
      </c>
    </row>
    <row r="51" spans="1:3">
      <c r="A51" s="7">
        <f>IF(AND(A50&lt;$B$6)*(A50&lt;&gt;0),1+A50," ")</f>
        <v>40</v>
      </c>
      <c r="B51" s="6">
        <f>IF(A51&lt;&gt;" ",+B50*1," ")</f>
        <v>171000.69483453908</v>
      </c>
      <c r="C51" s="6">
        <f>IF(A51&lt;&gt;" ",+C50*1," ")</f>
        <v>171000.69483453908</v>
      </c>
    </row>
    <row r="52" spans="1:3">
      <c r="A52" s="7">
        <f>IF(AND(A51&lt;$B$6)*(A51&lt;&gt;0),1+A51," ")</f>
        <v>41</v>
      </c>
      <c r="B52" s="6">
        <f>IF(A52&lt;&gt;" ",+B51*1," ")</f>
        <v>171000.69483453908</v>
      </c>
      <c r="C52" s="6">
        <f>IF(A52&lt;&gt;" ",+C51*1," ")</f>
        <v>171000.69483453908</v>
      </c>
    </row>
    <row r="53" spans="1:3">
      <c r="A53" s="7">
        <f>IF(AND(A52&lt;$B$6)*(A52&lt;&gt;0),1+A52," ")</f>
        <v>42</v>
      </c>
      <c r="B53" s="6">
        <f>IF(A53&lt;&gt;" ",+B52*1," ")</f>
        <v>171000.69483453908</v>
      </c>
      <c r="C53" s="6">
        <f>IF(A53&lt;&gt;" ",+C52*1," ")</f>
        <v>171000.69483453908</v>
      </c>
    </row>
    <row r="54" spans="1:3">
      <c r="A54" s="7">
        <f>IF(AND(A53&lt;$B$6)*(A53&lt;&gt;0),1+A53," ")</f>
        <v>43</v>
      </c>
      <c r="B54" s="6">
        <f>IF(A54&lt;&gt;" ",+B53*1," ")</f>
        <v>171000.69483453908</v>
      </c>
      <c r="C54" s="6">
        <f>IF(A54&lt;&gt;" ",+C53*1," ")</f>
        <v>171000.69483453908</v>
      </c>
    </row>
    <row r="55" spans="1:3">
      <c r="A55" s="7">
        <f>IF(AND(A54&lt;$B$6)*(A54&lt;&gt;0),1+A54," ")</f>
        <v>44</v>
      </c>
      <c r="B55" s="6">
        <f>IF(A55&lt;&gt;" ",+B54*1," ")</f>
        <v>171000.69483453908</v>
      </c>
      <c r="C55" s="6">
        <f>IF(A55&lt;&gt;" ",+C54*1," ")</f>
        <v>171000.69483453908</v>
      </c>
    </row>
    <row r="56" spans="1:3">
      <c r="A56" s="7">
        <f>IF(AND(A55&lt;$B$6)*(A55&lt;&gt;0),1+A55," ")</f>
        <v>45</v>
      </c>
      <c r="B56" s="6">
        <f>IF(A56&lt;&gt;" ",+B55*1," ")</f>
        <v>171000.69483453908</v>
      </c>
      <c r="C56" s="6">
        <f>IF(A56&lt;&gt;" ",+C55*1," ")</f>
        <v>171000.69483453908</v>
      </c>
    </row>
    <row r="57" spans="1:3">
      <c r="A57" s="7">
        <f>IF(AND(A56&lt;$B$6)*(A56&lt;&gt;0),1+A56," ")</f>
        <v>46</v>
      </c>
      <c r="B57" s="6">
        <f>IF(A57&lt;&gt;" ",+B56*1," ")</f>
        <v>171000.69483453908</v>
      </c>
      <c r="C57" s="6">
        <f>IF(A57&lt;&gt;" ",+C56*1," ")</f>
        <v>171000.69483453908</v>
      </c>
    </row>
    <row r="58" spans="1:3">
      <c r="A58" s="7">
        <f>IF(AND(A57&lt;$B$6)*(A57&lt;&gt;0),1+A57," ")</f>
        <v>47</v>
      </c>
      <c r="B58" s="6">
        <f>IF(A58&lt;&gt;" ",+B57*1," ")</f>
        <v>171000.69483453908</v>
      </c>
      <c r="C58" s="6">
        <f>IF(A58&lt;&gt;" ",+C57*1," ")</f>
        <v>171000.69483453908</v>
      </c>
    </row>
    <row r="59" spans="1:3">
      <c r="A59" s="7">
        <f>IF(AND(A58&lt;$B$6)*(A58&lt;&gt;0),1+A58," ")</f>
        <v>48</v>
      </c>
      <c r="B59" s="6">
        <f>IF(A59&lt;&gt;" ",+B58*1," ")</f>
        <v>171000.69483453908</v>
      </c>
      <c r="C59" s="6">
        <f>IF(A59&lt;&gt;" ",+C58*1," ")</f>
        <v>171000.69483453908</v>
      </c>
    </row>
    <row r="60" spans="1:3">
      <c r="A60" s="7">
        <f>IF(AND(A59&lt;$B$6)*(A59&lt;&gt;0),1+A59," ")</f>
        <v>49</v>
      </c>
      <c r="B60" s="6">
        <f>IF(A60&lt;&gt;" ",+B59*1," ")</f>
        <v>171000.69483453908</v>
      </c>
      <c r="C60" s="6">
        <f>IF(A60&lt;&gt;" ",+C59*1," ")</f>
        <v>171000.69483453908</v>
      </c>
    </row>
    <row r="61" spans="1:3">
      <c r="A61" s="7">
        <f>IF(AND(A60&lt;$B$6)*(A60&lt;&gt;0),1+A60," ")</f>
        <v>50</v>
      </c>
      <c r="B61" s="6">
        <f>IF(A61&lt;&gt;" ",+B60*1," ")</f>
        <v>171000.69483453908</v>
      </c>
      <c r="C61" s="6">
        <f>IF(A61&lt;&gt;" ",+C60*1," ")</f>
        <v>171000.69483453908</v>
      </c>
    </row>
    <row r="62" spans="1:3">
      <c r="A62" s="7">
        <f>IF(AND(A61&lt;$B$6)*(A61&lt;&gt;0),1+A61," ")</f>
        <v>51</v>
      </c>
      <c r="B62" s="6">
        <f>IF(A62&lt;&gt;" ",+B61*1," ")</f>
        <v>171000.69483453908</v>
      </c>
      <c r="C62" s="6">
        <f>IF(A62&lt;&gt;" ",+C61*1," ")</f>
        <v>171000.69483453908</v>
      </c>
    </row>
    <row r="63" spans="1:3">
      <c r="A63" s="7">
        <f>IF(AND(A62&lt;$B$6)*(A62&lt;&gt;0),1+A62," ")</f>
        <v>52</v>
      </c>
      <c r="B63" s="6">
        <f>IF(A63&lt;&gt;" ",+B62*1," ")</f>
        <v>171000.69483453908</v>
      </c>
      <c r="C63" s="6">
        <f>IF(A63&lt;&gt;" ",+C62*1," ")</f>
        <v>171000.69483453908</v>
      </c>
    </row>
    <row r="64" spans="1:3">
      <c r="A64" s="7">
        <f>IF(AND(A63&lt;$B$6)*(A63&lt;&gt;0),1+A63," ")</f>
        <v>53</v>
      </c>
      <c r="B64" s="6">
        <f>IF(A64&lt;&gt;" ",+B63*1," ")</f>
        <v>171000.69483453908</v>
      </c>
      <c r="C64" s="6">
        <f>IF(A64&lt;&gt;" ",+C63*1," ")</f>
        <v>171000.69483453908</v>
      </c>
    </row>
    <row r="65" spans="1:3">
      <c r="A65" s="7">
        <f>IF(AND(A64&lt;$B$6)*(A64&lt;&gt;0),1+A64," ")</f>
        <v>54</v>
      </c>
      <c r="B65" s="6">
        <f>IF(A65&lt;&gt;" ",+B64*1," ")</f>
        <v>171000.69483453908</v>
      </c>
      <c r="C65" s="6">
        <f>IF(A65&lt;&gt;" ",+C64*1," ")</f>
        <v>171000.69483453908</v>
      </c>
    </row>
    <row r="66" spans="1:3">
      <c r="A66" s="7">
        <f>IF(AND(A65&lt;$B$6)*(A65&lt;&gt;0),1+A65," ")</f>
        <v>55</v>
      </c>
      <c r="B66" s="6">
        <f>IF(A66&lt;&gt;" ",+B65*1," ")</f>
        <v>171000.69483453908</v>
      </c>
      <c r="C66" s="6">
        <f>IF(A66&lt;&gt;" ",+C65*1," ")</f>
        <v>171000.69483453908</v>
      </c>
    </row>
    <row r="67" spans="1:3">
      <c r="A67" s="7">
        <f>IF(AND(A66&lt;$B$6)*(A66&lt;&gt;0),1+A66," ")</f>
        <v>56</v>
      </c>
      <c r="B67" s="6">
        <f>IF(A67&lt;&gt;" ",+B66*1," ")</f>
        <v>171000.69483453908</v>
      </c>
      <c r="C67" s="6">
        <f>IF(A67&lt;&gt;" ",+C66*1," ")</f>
        <v>171000.69483453908</v>
      </c>
    </row>
    <row r="68" spans="1:3">
      <c r="A68" s="7">
        <f>IF(AND(A67&lt;$B$6)*(A67&lt;&gt;0),1+A67," ")</f>
        <v>57</v>
      </c>
      <c r="B68" s="6">
        <f>IF(A68&lt;&gt;" ",+B67*1," ")</f>
        <v>171000.69483453908</v>
      </c>
      <c r="C68" s="6">
        <f>IF(A68&lt;&gt;" ",+C67*1," ")</f>
        <v>171000.69483453908</v>
      </c>
    </row>
    <row r="69" spans="1:3">
      <c r="A69" s="7">
        <f>IF(AND(A68&lt;$B$6)*(A68&lt;&gt;0),1+A68," ")</f>
        <v>58</v>
      </c>
      <c r="B69" s="6">
        <f>IF(A69&lt;&gt;" ",+B68*1," ")</f>
        <v>171000.69483453908</v>
      </c>
      <c r="C69" s="6">
        <f>IF(A69&lt;&gt;" ",+C68*1," ")</f>
        <v>171000.69483453908</v>
      </c>
    </row>
    <row r="70" spans="1:3">
      <c r="A70" s="7">
        <f>IF(AND(A69&lt;$B$6)*(A69&lt;&gt;0),1+A69," ")</f>
        <v>59</v>
      </c>
      <c r="B70" s="6">
        <f>IF(A70&lt;&gt;" ",+B69*1," ")</f>
        <v>171000.69483453908</v>
      </c>
      <c r="C70" s="6">
        <f>IF(A70&lt;&gt;" ",+C69*1," ")</f>
        <v>171000.69483453908</v>
      </c>
    </row>
    <row r="71" spans="1:3">
      <c r="A71" s="7">
        <f>IF(AND(A70&lt;$B$6)*(A70&lt;&gt;0),1+A70," ")</f>
        <v>60</v>
      </c>
      <c r="B71" s="6">
        <f>IF(A71&lt;&gt;" ",+B70*1," ")</f>
        <v>171000.69483453908</v>
      </c>
      <c r="C71" s="6">
        <f>IF(A71&lt;&gt;" ",+C70*1," ")</f>
        <v>171000.69483453908</v>
      </c>
    </row>
    <row r="72" spans="1:3">
      <c r="A72" s="7">
        <f>IF(AND(A71&lt;$B$6)*(A71&lt;&gt;0),1+A71," ")</f>
        <v>61</v>
      </c>
      <c r="B72" s="6">
        <f>IF(A72&lt;&gt;" ",+B71*1," ")</f>
        <v>171000.69483453908</v>
      </c>
      <c r="C72" s="6">
        <f>IF(A72&lt;&gt;" ",+C71*1," ")</f>
        <v>171000.69483453908</v>
      </c>
    </row>
    <row r="73" spans="1:3">
      <c r="A73" s="7">
        <f>IF(AND(A72&lt;$B$6)*(A72&lt;&gt;0),1+A72," ")</f>
        <v>62</v>
      </c>
      <c r="B73" s="6">
        <f>IF(A73&lt;&gt;" ",+B72*1," ")</f>
        <v>171000.69483453908</v>
      </c>
      <c r="C73" s="6">
        <f>IF(A73&lt;&gt;" ",+C72*1," ")</f>
        <v>171000.69483453908</v>
      </c>
    </row>
    <row r="74" spans="1:3">
      <c r="A74" s="7">
        <f>IF(AND(A73&lt;$B$6)*(A73&lt;&gt;0),1+A73," ")</f>
        <v>63</v>
      </c>
      <c r="B74" s="6">
        <f>IF(A74&lt;&gt;" ",+B73*1," ")</f>
        <v>171000.69483453908</v>
      </c>
      <c r="C74" s="6">
        <f>IF(A74&lt;&gt;" ",+C73*1," ")</f>
        <v>171000.69483453908</v>
      </c>
    </row>
    <row r="75" spans="1:3">
      <c r="A75" s="7">
        <f>IF(AND(A74&lt;$B$6)*(A74&lt;&gt;0),1+A74," ")</f>
        <v>64</v>
      </c>
      <c r="B75" s="6">
        <f>IF(A75&lt;&gt;" ",+B74*1," ")</f>
        <v>171000.69483453908</v>
      </c>
      <c r="C75" s="6">
        <f>IF(A75&lt;&gt;" ",+C74*1," ")</f>
        <v>171000.69483453908</v>
      </c>
    </row>
    <row r="76" spans="1:3">
      <c r="A76" s="7">
        <f>IF(AND(A75&lt;$B$6)*(A75&lt;&gt;0),1+A75," ")</f>
        <v>65</v>
      </c>
      <c r="B76" s="6">
        <f>IF(A76&lt;&gt;" ",+B75*1," ")</f>
        <v>171000.69483453908</v>
      </c>
      <c r="C76" s="6">
        <f>IF(A76&lt;&gt;" ",+C75*1," ")</f>
        <v>171000.69483453908</v>
      </c>
    </row>
    <row r="77" spans="1:3">
      <c r="A77" s="7">
        <f>IF(AND(A76&lt;$B$6)*(A76&lt;&gt;0),1+A76," ")</f>
        <v>66</v>
      </c>
      <c r="B77" s="6">
        <f>IF(A77&lt;&gt;" ",+B76*1," ")</f>
        <v>171000.69483453908</v>
      </c>
      <c r="C77" s="6">
        <f>IF(A77&lt;&gt;" ",+C76*1," ")</f>
        <v>171000.69483453908</v>
      </c>
    </row>
    <row r="78" spans="1:3">
      <c r="A78" s="7">
        <f>IF(AND(A77&lt;$B$6)*(A77&lt;&gt;0),1+A77," ")</f>
        <v>67</v>
      </c>
      <c r="B78" s="6">
        <f>IF(A78&lt;&gt;" ",+B77*1," ")</f>
        <v>171000.69483453908</v>
      </c>
      <c r="C78" s="6">
        <f>IF(A78&lt;&gt;" ",+C77*1," ")</f>
        <v>171000.69483453908</v>
      </c>
    </row>
    <row r="79" spans="1:3">
      <c r="A79" s="7">
        <f>IF(AND(A78&lt;$B$6)*(A78&lt;&gt;0),1+A78," ")</f>
        <v>68</v>
      </c>
      <c r="B79" s="6">
        <f>IF(A79&lt;&gt;" ",+B78*1," ")</f>
        <v>171000.69483453908</v>
      </c>
      <c r="C79" s="6">
        <f>IF(A79&lt;&gt;" ",+C78*1," ")</f>
        <v>171000.69483453908</v>
      </c>
    </row>
    <row r="80" spans="1:3">
      <c r="A80" s="7">
        <f>IF(AND(A79&lt;$B$6)*(A79&lt;&gt;0),1+A79," ")</f>
        <v>69</v>
      </c>
      <c r="B80" s="6">
        <f>IF(A80&lt;&gt;" ",+B79*1," ")</f>
        <v>171000.69483453908</v>
      </c>
      <c r="C80" s="6">
        <f>IF(A80&lt;&gt;" ",+C79*1," ")</f>
        <v>171000.69483453908</v>
      </c>
    </row>
    <row r="81" spans="1:3">
      <c r="A81" s="7">
        <f>IF(AND(A80&lt;$B$6)*(A80&lt;&gt;0),1+A80," ")</f>
        <v>70</v>
      </c>
      <c r="B81" s="6">
        <f>IF(A81&lt;&gt;" ",+B80*1," ")</f>
        <v>171000.69483453908</v>
      </c>
      <c r="C81" s="6">
        <f>IF(A81&lt;&gt;" ",+C80*1," ")</f>
        <v>171000.69483453908</v>
      </c>
    </row>
    <row r="82" spans="1:3">
      <c r="A82" s="7">
        <f>IF(AND(A81&lt;$B$6)*(A81&lt;&gt;0),1+A81," ")</f>
        <v>71</v>
      </c>
      <c r="B82" s="6">
        <f>IF(A82&lt;&gt;" ",+B81*1," ")</f>
        <v>171000.69483453908</v>
      </c>
      <c r="C82" s="6">
        <f>IF(A82&lt;&gt;" ",+C81*1," ")</f>
        <v>171000.69483453908</v>
      </c>
    </row>
    <row r="83" spans="1:3">
      <c r="A83" s="7">
        <f>IF(AND(A82&lt;$B$6)*(A82&lt;&gt;0),1+A82," ")</f>
        <v>72</v>
      </c>
      <c r="B83" s="6">
        <f>IF(A83&lt;&gt;" ",+B82*1," ")</f>
        <v>171000.69483453908</v>
      </c>
      <c r="C83" s="6">
        <f>IF(A83&lt;&gt;" ",+C82*1," ")</f>
        <v>171000.69483453908</v>
      </c>
    </row>
    <row r="84" spans="1:3">
      <c r="A84" s="7">
        <f>IF(AND(A83&lt;$B$6)*(A83&lt;&gt;0),1+A83," ")</f>
        <v>73</v>
      </c>
      <c r="B84" s="6">
        <f>IF(A84&lt;&gt;" ",+B83*1," ")</f>
        <v>171000.69483453908</v>
      </c>
      <c r="C84" s="6">
        <f>IF(A84&lt;&gt;" ",+C83*1," ")</f>
        <v>171000.69483453908</v>
      </c>
    </row>
    <row r="85" spans="1:3">
      <c r="A85" s="7">
        <f>IF(AND(A84&lt;$B$6)*(A84&lt;&gt;0),1+A84," ")</f>
        <v>74</v>
      </c>
      <c r="B85" s="6">
        <f>IF(A85&lt;&gt;" ",+B84*1," ")</f>
        <v>171000.69483453908</v>
      </c>
      <c r="C85" s="6">
        <f>IF(A85&lt;&gt;" ",+C84*1," ")</f>
        <v>171000.69483453908</v>
      </c>
    </row>
    <row r="86" spans="1:3">
      <c r="A86" s="7">
        <f>IF(AND(A85&lt;$B$6)*(A85&lt;&gt;0),1+A85," ")</f>
        <v>75</v>
      </c>
      <c r="B86" s="6">
        <f>IF(A86&lt;&gt;" ",+B85*1," ")</f>
        <v>171000.69483453908</v>
      </c>
      <c r="C86" s="6">
        <f>IF(A86&lt;&gt;" ",+C85*1," ")</f>
        <v>171000.69483453908</v>
      </c>
    </row>
    <row r="87" spans="1:3">
      <c r="A87" s="7">
        <f>IF(AND(A86&lt;$B$6)*(A86&lt;&gt;0),1+A86," ")</f>
        <v>76</v>
      </c>
      <c r="B87" s="6">
        <f>IF(A87&lt;&gt;" ",+B86*1," ")</f>
        <v>171000.69483453908</v>
      </c>
      <c r="C87" s="6">
        <f>IF(A87&lt;&gt;" ",+C86*1," ")</f>
        <v>171000.69483453908</v>
      </c>
    </row>
    <row r="88" spans="1:3">
      <c r="A88" s="7">
        <f>IF(AND(A87&lt;$B$6)*(A87&lt;&gt;0),1+A87," ")</f>
        <v>77</v>
      </c>
      <c r="B88" s="6">
        <f>IF(A88&lt;&gt;" ",+B87*1," ")</f>
        <v>171000.69483453908</v>
      </c>
      <c r="C88" s="6">
        <f>IF(A88&lt;&gt;" ",+C87*1," ")</f>
        <v>171000.69483453908</v>
      </c>
    </row>
    <row r="89" spans="1:3">
      <c r="A89" s="7">
        <f>IF(AND(A88&lt;$B$6)*(A88&lt;&gt;0),1+A88," ")</f>
        <v>78</v>
      </c>
      <c r="B89" s="6">
        <f>IF(A89&lt;&gt;" ",+B88*1," ")</f>
        <v>171000.69483453908</v>
      </c>
      <c r="C89" s="6">
        <f>IF(A89&lt;&gt;" ",+C88*1," ")</f>
        <v>171000.69483453908</v>
      </c>
    </row>
    <row r="90" spans="1:3">
      <c r="A90" s="7">
        <f>IF(AND(A89&lt;$B$6)*(A89&lt;&gt;0),1+A89," ")</f>
        <v>79</v>
      </c>
      <c r="B90" s="6">
        <f>IF(A90&lt;&gt;" ",+B89*1," ")</f>
        <v>171000.69483453908</v>
      </c>
      <c r="C90" s="6">
        <f>IF(A90&lt;&gt;" ",+C89*1," ")</f>
        <v>171000.69483453908</v>
      </c>
    </row>
    <row r="91" spans="1:3">
      <c r="A91" s="7">
        <f>IF(AND(A90&lt;$B$6)*(A90&lt;&gt;0),1+A90," ")</f>
        <v>80</v>
      </c>
      <c r="B91" s="6">
        <f>IF(A91&lt;&gt;" ",+B90*1," ")</f>
        <v>171000.69483453908</v>
      </c>
      <c r="C91" s="6">
        <f>IF(A91&lt;&gt;" ",+C90*1," ")</f>
        <v>171000.69483453908</v>
      </c>
    </row>
    <row r="92" spans="1:3">
      <c r="A92" s="7">
        <f>IF(AND(A91&lt;$B$6)*(A91&lt;&gt;0),1+A91," ")</f>
        <v>81</v>
      </c>
      <c r="B92" s="6">
        <f>IF(A92&lt;&gt;" ",+B91*1," ")</f>
        <v>171000.69483453908</v>
      </c>
      <c r="C92" s="6">
        <f>IF(A92&lt;&gt;" ",+C91*1," ")</f>
        <v>171000.69483453908</v>
      </c>
    </row>
    <row r="93" spans="1:3">
      <c r="A93" s="7">
        <f>IF(AND(A92&lt;$B$6)*(A92&lt;&gt;0),1+A92," ")</f>
        <v>82</v>
      </c>
      <c r="B93" s="6">
        <f>IF(A93&lt;&gt;" ",+B92*1," ")</f>
        <v>171000.69483453908</v>
      </c>
      <c r="C93" s="6">
        <f>IF(A93&lt;&gt;" ",+C92*1," ")</f>
        <v>171000.69483453908</v>
      </c>
    </row>
    <row r="94" spans="1:3">
      <c r="A94" s="7">
        <f>IF(AND(A93&lt;$B$6)*(A93&lt;&gt;0),1+A93," ")</f>
        <v>83</v>
      </c>
      <c r="B94" s="6">
        <f>IF(A94&lt;&gt;" ",+B93*1," ")</f>
        <v>171000.69483453908</v>
      </c>
      <c r="C94" s="6">
        <f>IF(A94&lt;&gt;" ",+C93*1," ")</f>
        <v>171000.69483453908</v>
      </c>
    </row>
    <row r="95" spans="1:3">
      <c r="A95" s="7">
        <f>IF(AND(A94&lt;$B$6)*(A94&lt;&gt;0),1+A94," ")</f>
        <v>84</v>
      </c>
      <c r="B95" s="6">
        <f>IF(A95&lt;&gt;" ",+B94*1," ")</f>
        <v>171000.69483453908</v>
      </c>
      <c r="C95" s="6">
        <f>IF(A95&lt;&gt;" ",+C94*1," ")</f>
        <v>171000.69483453908</v>
      </c>
    </row>
    <row r="96" spans="1:3">
      <c r="A96" s="7">
        <f>IF(AND(A95&lt;$B$6)*(A95&lt;&gt;0),1+A95," ")</f>
        <v>85</v>
      </c>
      <c r="B96" s="6">
        <f>IF(A96&lt;&gt;" ",+B95*1," ")</f>
        <v>171000.69483453908</v>
      </c>
      <c r="C96" s="6">
        <f>IF(A96&lt;&gt;" ",+C95*1," ")</f>
        <v>171000.69483453908</v>
      </c>
    </row>
    <row r="97" spans="1:3">
      <c r="A97" s="7">
        <f>IF(AND(A96&lt;$B$6)*(A96&lt;&gt;0),1+A96," ")</f>
        <v>86</v>
      </c>
      <c r="B97" s="6">
        <f>IF(A97&lt;&gt;" ",+B96*1," ")</f>
        <v>171000.69483453908</v>
      </c>
      <c r="C97" s="6">
        <f>IF(A97&lt;&gt;" ",+C96*1," ")</f>
        <v>171000.69483453908</v>
      </c>
    </row>
    <row r="98" spans="1:3">
      <c r="A98" s="7">
        <f>IF(AND(A97&lt;$B$6)*(A97&lt;&gt;0),1+A97," ")</f>
        <v>87</v>
      </c>
      <c r="B98" s="6">
        <f>IF(A98&lt;&gt;" ",+B97*1," ")</f>
        <v>171000.69483453908</v>
      </c>
      <c r="C98" s="6">
        <f>IF(A98&lt;&gt;" ",+C97*1," ")</f>
        <v>171000.69483453908</v>
      </c>
    </row>
    <row r="99" spans="1:3">
      <c r="A99" s="7">
        <f>IF(AND(A98&lt;$B$6)*(A98&lt;&gt;0),1+A98," ")</f>
        <v>88</v>
      </c>
      <c r="B99" s="6">
        <f>IF(A99&lt;&gt;" ",+B98*1," ")</f>
        <v>171000.69483453908</v>
      </c>
      <c r="C99" s="6">
        <f>IF(A99&lt;&gt;" ",+C98*1," ")</f>
        <v>171000.69483453908</v>
      </c>
    </row>
    <row r="100" spans="1:3">
      <c r="A100" s="7">
        <f>IF(AND(A99&lt;$B$6)*(A99&lt;&gt;0),1+A99," ")</f>
        <v>89</v>
      </c>
      <c r="B100" s="6">
        <f>IF(A100&lt;&gt;" ",+B99*1," ")</f>
        <v>171000.69483453908</v>
      </c>
      <c r="C100" s="6">
        <f>IF(A100&lt;&gt;" ",+C99*1," ")</f>
        <v>171000.69483453908</v>
      </c>
    </row>
    <row r="101" spans="1:3">
      <c r="A101" s="7">
        <f>IF(AND(A100&lt;$B$6)*(A100&lt;&gt;0),1+A100," ")</f>
        <v>90</v>
      </c>
      <c r="B101" s="6">
        <f>IF(A101&lt;&gt;" ",+B100*1," ")</f>
        <v>171000.69483453908</v>
      </c>
      <c r="C101" s="6">
        <f>IF(A101&lt;&gt;" ",+C100*1," ")</f>
        <v>171000.69483453908</v>
      </c>
    </row>
    <row r="102" spans="1:3">
      <c r="A102" s="7">
        <f>IF(AND(A101&lt;$B$6)*(A101&lt;&gt;0),1+A101," ")</f>
        <v>91</v>
      </c>
      <c r="B102" s="6">
        <f>IF(A102&lt;&gt;" ",+B101*1," ")</f>
        <v>171000.69483453908</v>
      </c>
      <c r="C102" s="6">
        <f>IF(A102&lt;&gt;" ",+C101*1," ")</f>
        <v>171000.69483453908</v>
      </c>
    </row>
    <row r="103" spans="1:3">
      <c r="A103" s="7">
        <f>IF(AND(A102&lt;$B$6)*(A102&lt;&gt;0),1+A102," ")</f>
        <v>92</v>
      </c>
      <c r="B103" s="6">
        <f>IF(A103&lt;&gt;" ",+B102*1," ")</f>
        <v>171000.69483453908</v>
      </c>
      <c r="C103" s="6">
        <f>IF(A103&lt;&gt;" ",+C102*1," ")</f>
        <v>171000.69483453908</v>
      </c>
    </row>
    <row r="104" spans="1:3">
      <c r="A104" s="7">
        <f>IF(AND(A103&lt;$B$6)*(A103&lt;&gt;0),1+A103," ")</f>
        <v>93</v>
      </c>
      <c r="B104" s="6">
        <f>IF(A104&lt;&gt;" ",+B103*1," ")</f>
        <v>171000.69483453908</v>
      </c>
      <c r="C104" s="6">
        <f>IF(A104&lt;&gt;" ",+C103*1," ")</f>
        <v>171000.69483453908</v>
      </c>
    </row>
    <row r="105" spans="1:3">
      <c r="A105" s="7">
        <f>IF(AND(A104&lt;$B$6)*(A104&lt;&gt;0),1+A104," ")</f>
        <v>94</v>
      </c>
      <c r="B105" s="6">
        <f>IF(A105&lt;&gt;" ",+B104*1," ")</f>
        <v>171000.69483453908</v>
      </c>
      <c r="C105" s="6">
        <f>IF(A105&lt;&gt;" ",+C104*1," ")</f>
        <v>171000.69483453908</v>
      </c>
    </row>
    <row r="106" spans="1:3">
      <c r="A106" s="7">
        <f>IF(AND(A105&lt;$B$6)*(A105&lt;&gt;0),1+A105," ")</f>
        <v>95</v>
      </c>
      <c r="B106" s="6">
        <f>IF(A106&lt;&gt;" ",+B105*1," ")</f>
        <v>171000.69483453908</v>
      </c>
      <c r="C106" s="6">
        <f>IF(A106&lt;&gt;" ",+C105*1," ")</f>
        <v>171000.69483453908</v>
      </c>
    </row>
    <row r="107" spans="1:3">
      <c r="A107" s="7">
        <f>IF(AND(A106&lt;$B$6)*(A106&lt;&gt;0),1+A106," ")</f>
        <v>96</v>
      </c>
      <c r="B107" s="6">
        <f>IF(A107&lt;&gt;" ",+B106*1," ")</f>
        <v>171000.69483453908</v>
      </c>
      <c r="C107" s="6">
        <f>IF(A107&lt;&gt;" ",+C106*1," ")</f>
        <v>171000.69483453908</v>
      </c>
    </row>
    <row r="108" spans="1:3">
      <c r="A108" s="7">
        <f>IF(AND(A107&lt;$B$6)*(A107&lt;&gt;0),1+A107," ")</f>
        <v>97</v>
      </c>
      <c r="B108" s="6">
        <f>IF(A108&lt;&gt;" ",+B107*1," ")</f>
        <v>171000.69483453908</v>
      </c>
      <c r="C108" s="6">
        <f>IF(A108&lt;&gt;" ",+C107*1," ")</f>
        <v>171000.69483453908</v>
      </c>
    </row>
    <row r="109" spans="1:3">
      <c r="A109" s="7">
        <f>IF(AND(A108&lt;$B$6)*(A108&lt;&gt;0),1+A108," ")</f>
        <v>98</v>
      </c>
      <c r="B109" s="6">
        <f>IF(A109&lt;&gt;" ",+B108*1," ")</f>
        <v>171000.69483453908</v>
      </c>
      <c r="C109" s="6">
        <f>IF(A109&lt;&gt;" ",+C108*1," ")</f>
        <v>171000.69483453908</v>
      </c>
    </row>
    <row r="110" spans="1:3">
      <c r="A110" s="7">
        <f>IF(AND(A109&lt;$B$6)*(A109&lt;&gt;0),1+A109," ")</f>
        <v>99</v>
      </c>
      <c r="B110" s="6">
        <f>IF(A110&lt;&gt;" ",+B109*1," ")</f>
        <v>171000.69483453908</v>
      </c>
      <c r="C110" s="6">
        <f>IF(A110&lt;&gt;" ",+C109*1," ")</f>
        <v>171000.69483453908</v>
      </c>
    </row>
    <row r="111" spans="1:3">
      <c r="A111" s="7">
        <f>IF(AND(A110&lt;$B$6)*(A110&lt;&gt;0),1+A110," ")</f>
        <v>100</v>
      </c>
      <c r="B111" s="6">
        <f>IF(A111&lt;&gt;" ",+B110*1," ")</f>
        <v>171000.69483453908</v>
      </c>
      <c r="C111" s="6">
        <f>IF(A111&lt;&gt;" ",+C110*1," ")</f>
        <v>171000.69483453908</v>
      </c>
    </row>
    <row r="112" spans="1:3">
      <c r="A112" s="7">
        <f>IF(AND(A111&lt;$B$6)*(A111&lt;&gt;0),1+A111," ")</f>
        <v>101</v>
      </c>
      <c r="B112" s="6">
        <f>IF(A112&lt;&gt;" ",+B111*1," ")</f>
        <v>171000.69483453908</v>
      </c>
      <c r="C112" s="6">
        <f>IF(A112&lt;&gt;" ",+C111*1," ")</f>
        <v>171000.69483453908</v>
      </c>
    </row>
    <row r="113" spans="1:3">
      <c r="A113" s="7">
        <f>IF(AND(A112&lt;$B$6)*(A112&lt;&gt;0),1+A112," ")</f>
        <v>102</v>
      </c>
      <c r="B113" s="6">
        <f>IF(A113&lt;&gt;" ",+B112*1," ")</f>
        <v>171000.69483453908</v>
      </c>
      <c r="C113" s="6">
        <f>IF(A113&lt;&gt;" ",+C112*1," ")</f>
        <v>171000.69483453908</v>
      </c>
    </row>
    <row r="114" spans="1:3">
      <c r="A114" s="7">
        <f>IF(AND(A113&lt;$B$6)*(A113&lt;&gt;0),1+A113," ")</f>
        <v>103</v>
      </c>
      <c r="B114" s="6">
        <f>IF(A114&lt;&gt;" ",+B113*1," ")</f>
        <v>171000.69483453908</v>
      </c>
      <c r="C114" s="6">
        <f>IF(A114&lt;&gt;" ",+C113*1," ")</f>
        <v>171000.69483453908</v>
      </c>
    </row>
    <row r="115" spans="1:3">
      <c r="A115" s="7">
        <f>IF(AND(A114&lt;$B$6)*(A114&lt;&gt;0),1+A114," ")</f>
        <v>104</v>
      </c>
      <c r="B115" s="6">
        <f>IF(A115&lt;&gt;" ",+B114*1," ")</f>
        <v>171000.69483453908</v>
      </c>
      <c r="C115" s="6">
        <f>IF(A115&lt;&gt;" ",+C114*1," ")</f>
        <v>171000.69483453908</v>
      </c>
    </row>
    <row r="116" spans="1:3">
      <c r="A116" s="7">
        <f>IF(AND(A115&lt;$B$6)*(A115&lt;&gt;0),1+A115," ")</f>
        <v>105</v>
      </c>
      <c r="B116" s="6">
        <f>IF(A116&lt;&gt;" ",+B115*1," ")</f>
        <v>171000.69483453908</v>
      </c>
      <c r="C116" s="6">
        <f>IF(A116&lt;&gt;" ",+C115*1," ")</f>
        <v>171000.69483453908</v>
      </c>
    </row>
    <row r="117" spans="1:3">
      <c r="A117" s="7">
        <f>IF(AND(A116&lt;$B$6)*(A116&lt;&gt;0),1+A116," ")</f>
        <v>106</v>
      </c>
      <c r="B117" s="6">
        <f>IF(A117&lt;&gt;" ",+B116*1," ")</f>
        <v>171000.69483453908</v>
      </c>
      <c r="C117" s="6">
        <f>IF(A117&lt;&gt;" ",+C116*1," ")</f>
        <v>171000.69483453908</v>
      </c>
    </row>
    <row r="118" spans="1:3">
      <c r="A118" s="7">
        <f>IF(AND(A117&lt;$B$6)*(A117&lt;&gt;0),1+A117," ")</f>
        <v>107</v>
      </c>
      <c r="B118" s="6">
        <f>IF(A118&lt;&gt;" ",+B117*1," ")</f>
        <v>171000.69483453908</v>
      </c>
      <c r="C118" s="6">
        <f>IF(A118&lt;&gt;" ",+C117*1," ")</f>
        <v>171000.69483453908</v>
      </c>
    </row>
    <row r="119" spans="1:3">
      <c r="A119" s="7">
        <f>IF(AND(A118&lt;$B$6)*(A118&lt;&gt;0),1+A118," ")</f>
        <v>108</v>
      </c>
      <c r="B119" s="6">
        <f>IF(A119&lt;&gt;" ",+B118*1," ")</f>
        <v>171000.69483453908</v>
      </c>
      <c r="C119" s="6">
        <f>IF(A119&lt;&gt;" ",+C118*1," ")</f>
        <v>171000.69483453908</v>
      </c>
    </row>
    <row r="120" spans="1:3">
      <c r="A120" s="7">
        <f>IF(AND(A119&lt;$B$6)*(A119&lt;&gt;0),1+A119," ")</f>
        <v>109</v>
      </c>
      <c r="B120" s="6">
        <f>IF(A120&lt;&gt;" ",+B119*1," ")</f>
        <v>171000.69483453908</v>
      </c>
      <c r="C120" s="6">
        <f>IF(A120&lt;&gt;" ",+C119*1," ")</f>
        <v>171000.69483453908</v>
      </c>
    </row>
    <row r="121" spans="1:3">
      <c r="A121" s="7">
        <f>IF(AND(A120&lt;$B$6)*(A120&lt;&gt;0),1+A120," ")</f>
        <v>110</v>
      </c>
      <c r="B121" s="6">
        <f>IF(A121&lt;&gt;" ",+B120*1," ")</f>
        <v>171000.69483453908</v>
      </c>
      <c r="C121" s="6">
        <f>IF(A121&lt;&gt;" ",+C120*1," ")</f>
        <v>171000.69483453908</v>
      </c>
    </row>
    <row r="122" spans="1:3">
      <c r="A122" s="7">
        <f>IF(AND(A121&lt;$B$6)*(A121&lt;&gt;0),1+A121," ")</f>
        <v>111</v>
      </c>
      <c r="B122" s="6">
        <f>IF(A122&lt;&gt;" ",+B121*1," ")</f>
        <v>171000.69483453908</v>
      </c>
      <c r="C122" s="6">
        <f>IF(A122&lt;&gt;" ",+C121*1," ")</f>
        <v>171000.69483453908</v>
      </c>
    </row>
    <row r="123" spans="1:3">
      <c r="A123" s="7">
        <f>IF(AND(A122&lt;$B$6)*(A122&lt;&gt;0),1+A122," ")</f>
        <v>112</v>
      </c>
      <c r="B123" s="6">
        <f>IF(A123&lt;&gt;" ",+B122*1," ")</f>
        <v>171000.69483453908</v>
      </c>
      <c r="C123" s="6">
        <f>IF(A123&lt;&gt;" ",+C122*1," ")</f>
        <v>171000.69483453908</v>
      </c>
    </row>
    <row r="124" spans="1:3">
      <c r="A124" s="7">
        <f>IF(AND(A123&lt;$B$6)*(A123&lt;&gt;0),1+A123," ")</f>
        <v>113</v>
      </c>
      <c r="B124" s="6">
        <f>IF(A124&lt;&gt;" ",+B123*1," ")</f>
        <v>171000.69483453908</v>
      </c>
      <c r="C124" s="6">
        <f>IF(A124&lt;&gt;" ",+C123*1," ")</f>
        <v>171000.69483453908</v>
      </c>
    </row>
    <row r="125" spans="1:3">
      <c r="A125" s="7">
        <f>IF(AND(A124&lt;$B$6)*(A124&lt;&gt;0),1+A124," ")</f>
        <v>114</v>
      </c>
      <c r="B125" s="6">
        <f>IF(A125&lt;&gt;" ",+B124*1," ")</f>
        <v>171000.69483453908</v>
      </c>
      <c r="C125" s="6">
        <f>IF(A125&lt;&gt;" ",+C124*1," ")</f>
        <v>171000.69483453908</v>
      </c>
    </row>
    <row r="126" spans="1:3">
      <c r="A126" s="7">
        <f>IF(AND(A125&lt;$B$6)*(A125&lt;&gt;0),1+A125," ")</f>
        <v>115</v>
      </c>
      <c r="B126" s="6">
        <f>IF(A126&lt;&gt;" ",+B125*1," ")</f>
        <v>171000.69483453908</v>
      </c>
      <c r="C126" s="6">
        <f>IF(A126&lt;&gt;" ",+C125*1," ")</f>
        <v>171000.69483453908</v>
      </c>
    </row>
    <row r="127" spans="1:3">
      <c r="A127" s="7">
        <f>IF(AND(A126&lt;$B$6)*(A126&lt;&gt;0),1+A126," ")</f>
        <v>116</v>
      </c>
      <c r="B127" s="6">
        <f>IF(A127&lt;&gt;" ",+B126*1," ")</f>
        <v>171000.69483453908</v>
      </c>
      <c r="C127" s="6">
        <f>IF(A127&lt;&gt;" ",+C126*1," ")</f>
        <v>171000.69483453908</v>
      </c>
    </row>
    <row r="128" spans="1:3">
      <c r="A128" s="7">
        <f>IF(AND(A127&lt;$B$6)*(A127&lt;&gt;0),1+A127," ")</f>
        <v>117</v>
      </c>
      <c r="B128" s="6">
        <f>IF(A128&lt;&gt;" ",+B127*1," ")</f>
        <v>171000.69483453908</v>
      </c>
      <c r="C128" s="6">
        <f>IF(A128&lt;&gt;" ",+C127*1," ")</f>
        <v>171000.69483453908</v>
      </c>
    </row>
    <row r="129" spans="1:3">
      <c r="A129" s="7">
        <f>IF(AND(A128&lt;$B$6)*(A128&lt;&gt;0),1+A128," ")</f>
        <v>118</v>
      </c>
      <c r="B129" s="6">
        <f>IF(A129&lt;&gt;" ",+B128*1," ")</f>
        <v>171000.69483453908</v>
      </c>
      <c r="C129" s="6">
        <f>IF(A129&lt;&gt;" ",+C128*1," ")</f>
        <v>171000.69483453908</v>
      </c>
    </row>
    <row r="130" spans="1:3">
      <c r="A130" s="7">
        <f>IF(AND(A129&lt;$B$6)*(A129&lt;&gt;0),1+A129," ")</f>
        <v>119</v>
      </c>
      <c r="B130" s="6">
        <f>IF(A130&lt;&gt;" ",+B129*1," ")</f>
        <v>171000.69483453908</v>
      </c>
      <c r="C130" s="6">
        <f>IF(A130&lt;&gt;" ",+C129*1," ")</f>
        <v>171000.69483453908</v>
      </c>
    </row>
    <row r="131" spans="1:3">
      <c r="A131" s="7">
        <f>IF(AND(A130&lt;$B$6)*(A130&lt;&gt;0),1+A130," ")</f>
        <v>120</v>
      </c>
      <c r="B131" s="6">
        <f>IF(A131&lt;&gt;" ",+B130*1," ")</f>
        <v>171000.69483453908</v>
      </c>
      <c r="C131" s="6">
        <f>IF(A131&lt;&gt;" ",+C130*1," ")</f>
        <v>171000.69483453908</v>
      </c>
    </row>
    <row r="132" spans="1:3">
      <c r="A132" s="7" t="str">
        <f>IF(AND(A131&lt;$B$6)*(A131&lt;&gt;0),1+A131," ")</f>
        <v xml:space="preserve"> </v>
      </c>
      <c r="B132" s="6" t="str">
        <f>IF(A132&lt;&gt;" ",+B131*1," ")</f>
        <v xml:space="preserve"> </v>
      </c>
      <c r="C132" s="6" t="str">
        <f>IF(A132&lt;&gt;" ",+C131*1," ")</f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51"/>
  <sheetViews>
    <sheetView tabSelected="1" topLeftCell="O1" zoomScaleNormal="100" workbookViewId="0">
      <pane ySplit="3" topLeftCell="J4" activePane="bottomLeft" state="frozen"/>
      <selection pane="bottomLeft" activeCell="Q13" sqref="Q13:W14"/>
    </sheetView>
  </sheetViews>
  <sheetFormatPr defaultColWidth="11.42578125" defaultRowHeight="14.45"/>
  <cols>
    <col min="1" max="1" width="6.85546875" customWidth="1"/>
    <col min="2" max="2" width="14.140625" bestFit="1" customWidth="1"/>
    <col min="3" max="5" width="12.140625" bestFit="1" customWidth="1"/>
    <col min="6" max="6" width="14.140625" bestFit="1" customWidth="1"/>
    <col min="7" max="7" width="12.140625" customWidth="1"/>
    <col min="8" max="8" width="10.42578125" customWidth="1"/>
    <col min="9" max="9" width="9.7109375" bestFit="1" customWidth="1"/>
    <col min="10" max="10" width="12.140625" customWidth="1"/>
    <col min="11" max="11" width="8.28515625" customWidth="1"/>
    <col min="12" max="12" width="3.28515625" bestFit="1" customWidth="1"/>
    <col min="13" max="13" width="4.28515625" bestFit="1" customWidth="1"/>
    <col min="14" max="14" width="5" bestFit="1" customWidth="1"/>
    <col min="15" max="15" width="14.42578125" customWidth="1"/>
    <col min="16" max="16" width="14.140625" bestFit="1" customWidth="1"/>
    <col min="17" max="17" width="17.28515625" bestFit="1" customWidth="1"/>
    <col min="18" max="19" width="18.85546875" bestFit="1" customWidth="1"/>
    <col min="20" max="21" width="16.28515625" customWidth="1"/>
    <col min="22" max="22" width="17" bestFit="1" customWidth="1"/>
    <col min="23" max="23" width="14.5703125" customWidth="1"/>
    <col min="24" max="24" width="13.140625" customWidth="1"/>
    <col min="25" max="26" width="14.42578125" customWidth="1"/>
    <col min="27" max="28" width="13.28515625" bestFit="1" customWidth="1"/>
  </cols>
  <sheetData>
    <row r="1" spans="1:35">
      <c r="A1" s="9" t="s">
        <v>16</v>
      </c>
      <c r="B1" s="12">
        <v>300334497</v>
      </c>
      <c r="C1" s="9" t="s">
        <v>17</v>
      </c>
      <c r="D1" s="11">
        <v>0.10858</v>
      </c>
      <c r="E1" s="9" t="s">
        <v>18</v>
      </c>
      <c r="F1" s="14">
        <f>((D1+D2)/12)</f>
        <v>1.6798333333333332E-2</v>
      </c>
      <c r="H1" s="19" t="s">
        <v>19</v>
      </c>
      <c r="J1" s="51">
        <v>46189</v>
      </c>
      <c r="O1" s="51"/>
    </row>
    <row r="2" spans="1:35" ht="15" customHeight="1" thickBot="1">
      <c r="A2" s="9" t="s">
        <v>20</v>
      </c>
      <c r="B2" s="13">
        <v>48</v>
      </c>
      <c r="C2" s="9" t="s">
        <v>21</v>
      </c>
      <c r="D2" s="11">
        <v>9.2999999999999999E-2</v>
      </c>
      <c r="E2" s="9" t="s">
        <v>22</v>
      </c>
      <c r="F2" s="2">
        <f>+PMT(F1,B2,-B1,0)</f>
        <v>9164589.2614910267</v>
      </c>
      <c r="G2" s="2"/>
      <c r="J2" s="53">
        <v>327</v>
      </c>
      <c r="O2" s="51"/>
      <c r="Q2" s="78" t="s">
        <v>23</v>
      </c>
      <c r="R2" s="83"/>
      <c r="S2" s="83"/>
      <c r="T2" s="83"/>
      <c r="U2" s="83"/>
      <c r="V2" s="83"/>
      <c r="W2" s="83"/>
    </row>
    <row r="3" spans="1:35" ht="26.45" customHeight="1">
      <c r="A3" s="61"/>
      <c r="B3" s="62" t="s">
        <v>24</v>
      </c>
      <c r="C3" s="62" t="s">
        <v>25</v>
      </c>
      <c r="D3" s="62" t="s">
        <v>26</v>
      </c>
      <c r="E3" s="62" t="s">
        <v>13</v>
      </c>
      <c r="F3" s="62" t="s">
        <v>27</v>
      </c>
      <c r="G3" s="62" t="s">
        <v>28</v>
      </c>
      <c r="H3" s="8" t="s">
        <v>6</v>
      </c>
      <c r="I3" s="8" t="s">
        <v>29</v>
      </c>
      <c r="J3" s="8" t="s">
        <v>30</v>
      </c>
      <c r="K3" s="8" t="s">
        <v>31</v>
      </c>
      <c r="L3" s="8" t="s">
        <v>32</v>
      </c>
      <c r="M3" s="8" t="s">
        <v>33</v>
      </c>
      <c r="N3" s="8" t="s">
        <v>34</v>
      </c>
      <c r="O3" s="8" t="s">
        <v>32</v>
      </c>
      <c r="P3" s="15" t="s">
        <v>35</v>
      </c>
      <c r="Q3" s="73" t="s">
        <v>36</v>
      </c>
      <c r="R3" s="74" t="s">
        <v>37</v>
      </c>
      <c r="S3" s="75" t="s">
        <v>38</v>
      </c>
      <c r="T3" s="75" t="s">
        <v>39</v>
      </c>
      <c r="U3" s="74" t="s">
        <v>40</v>
      </c>
      <c r="V3" s="76" t="s">
        <v>41</v>
      </c>
      <c r="W3" s="76" t="s">
        <v>42</v>
      </c>
    </row>
    <row r="4" spans="1:35" ht="15" customHeight="1">
      <c r="A4" s="10">
        <f>+TasaImplicita!A12</f>
        <v>1</v>
      </c>
      <c r="B4" s="57">
        <f>+B1-S4-S5-S6-S7-S8-S9</f>
        <v>281888497</v>
      </c>
      <c r="C4" s="57">
        <f>+B4*F1</f>
        <v>4735256.9354383331</v>
      </c>
      <c r="D4" s="57">
        <f>+S11+S12</f>
        <v>4448731</v>
      </c>
      <c r="E4" s="57">
        <f>+F2</f>
        <v>9164589.2614910267</v>
      </c>
      <c r="F4" s="57">
        <f>+B4-D4</f>
        <v>277439766</v>
      </c>
      <c r="G4" s="11">
        <v>0.11423999999999999</v>
      </c>
      <c r="H4" s="52">
        <f>+D2</f>
        <v>9.2999999999999999E-2</v>
      </c>
      <c r="I4" s="58">
        <f>((G4+H4)/12)</f>
        <v>1.7269999999999997E-2</v>
      </c>
      <c r="J4" s="59">
        <f>PMT(I4,K4,-F4,0)</f>
        <v>8667403.5953688528</v>
      </c>
      <c r="K4" s="60">
        <f>+$B$2-A4</f>
        <v>47</v>
      </c>
      <c r="L4">
        <v>16</v>
      </c>
      <c r="M4">
        <v>7</v>
      </c>
      <c r="N4">
        <v>2026</v>
      </c>
      <c r="O4" s="20">
        <f>+C4/30</f>
        <v>157841.89784794443</v>
      </c>
      <c r="P4" s="32">
        <f>+O4*14</f>
        <v>2209786.5698712221</v>
      </c>
      <c r="Q4" s="71">
        <v>46193</v>
      </c>
      <c r="R4" s="72"/>
      <c r="S4" s="72">
        <v>4810000</v>
      </c>
      <c r="T4" s="72">
        <f>+B1-S4</f>
        <v>295524497</v>
      </c>
      <c r="U4" s="56"/>
      <c r="V4" s="72">
        <f>+R4+S4+U4</f>
        <v>4810000</v>
      </c>
      <c r="W4" s="72"/>
      <c r="Z4" s="21"/>
    </row>
    <row r="5" spans="1:35" ht="15" customHeight="1">
      <c r="A5" s="10">
        <f>IF(AND(A4&lt;$B$2)*(A4&lt;&gt;0),1+A4," ")</f>
        <v>2</v>
      </c>
      <c r="B5" s="57">
        <f>IF(A5=" "," ",+F4)</f>
        <v>277439766</v>
      </c>
      <c r="C5" s="57">
        <f>IF(A5=" "," ",+B5*I4)</f>
        <v>4791384.7588199992</v>
      </c>
      <c r="D5" s="57">
        <f>+S13</f>
        <v>5792573</v>
      </c>
      <c r="E5" s="57">
        <f>IF(A5=" "," ",+J4)</f>
        <v>8667403.5953688528</v>
      </c>
      <c r="F5" s="57">
        <f>+B5-D5-S14</f>
        <v>171113289</v>
      </c>
      <c r="G5" s="11">
        <v>0</v>
      </c>
      <c r="H5" s="52">
        <f>IF(A5=" "," ",+H4)</f>
        <v>9.2999999999999999E-2</v>
      </c>
      <c r="I5" s="58">
        <f>IF(A5=" "," ",((G5+H5)/12))</f>
        <v>7.7499999999999999E-3</v>
      </c>
      <c r="J5" s="59">
        <f>PMT(I5,K5,-F5,0)</f>
        <v>4436476.9217145946</v>
      </c>
      <c r="K5" s="60">
        <f>IF(A2=" "," ",+$B$2-A5)</f>
        <v>46</v>
      </c>
      <c r="L5">
        <f>IF(A5&lt;&gt;" ",+L4," ")</f>
        <v>16</v>
      </c>
      <c r="M5">
        <f>IF(AND(A5&lt;&gt;" ")*(M4=12),1,1+M4)</f>
        <v>8</v>
      </c>
      <c r="N5">
        <f>IF(AND(A5&lt;&gt;" ")*(M5=1),1+N4,N4)</f>
        <v>2026</v>
      </c>
      <c r="O5" s="20">
        <f>4791385/30</f>
        <v>159712.83333333334</v>
      </c>
      <c r="P5" s="32">
        <f>+O5*14</f>
        <v>2235979.666666667</v>
      </c>
      <c r="Q5" s="55">
        <v>46195</v>
      </c>
      <c r="R5" s="54"/>
      <c r="S5" s="54">
        <v>3736000</v>
      </c>
      <c r="T5" s="72">
        <f>+T4-S5</f>
        <v>291788497</v>
      </c>
      <c r="U5" s="56"/>
      <c r="V5" s="72">
        <f>+R5+S5+U5</f>
        <v>3736000</v>
      </c>
      <c r="W5" s="54"/>
    </row>
    <row r="6" spans="1:35" ht="15" customHeight="1">
      <c r="A6" s="64">
        <f>IF(AND(A5&lt;$B$2)*(A5&lt;&gt;0),1+A5," ")</f>
        <v>3</v>
      </c>
      <c r="B6" s="65">
        <f>IF(A6=" "," ",+F5)</f>
        <v>171113289</v>
      </c>
      <c r="C6" s="65">
        <f>IF(A6=" "," ",+B6*I5)</f>
        <v>1326127.9897499999</v>
      </c>
      <c r="D6" s="65">
        <f>+E6-C6</f>
        <v>3110348.9319645949</v>
      </c>
      <c r="E6" s="65">
        <f>IF(A6=" "," ",+J5)</f>
        <v>4436476.9217145946</v>
      </c>
      <c r="F6" s="65">
        <f>+B6-D6</f>
        <v>168002940.06803539</v>
      </c>
      <c r="G6" s="66">
        <v>0.10858</v>
      </c>
      <c r="H6" s="66">
        <f>IF(A6=" "," ",+H5)</f>
        <v>9.2999999999999999E-2</v>
      </c>
      <c r="I6" s="67">
        <f>IF(A6=" "," ",((G6+H6)/12))</f>
        <v>1.6798333333333332E-2</v>
      </c>
      <c r="J6" s="68">
        <f>PMT(I6,K6,-F6,0)</f>
        <v>5350426.6022509355</v>
      </c>
      <c r="K6" s="69">
        <f>IF(A3=" "," ",+$B$2-A6)</f>
        <v>45</v>
      </c>
      <c r="L6" s="70">
        <f>IF(A6&lt;&gt;" ",+L5," ")</f>
        <v>16</v>
      </c>
      <c r="M6" s="70">
        <f>IF(AND(A6&lt;&gt;" ")*(M5=12),1,1+M5)</f>
        <v>9</v>
      </c>
      <c r="N6" s="70">
        <f>IF(AND(A6&lt;&gt;" ")*(M6=1),1+N5,N5)</f>
        <v>2026</v>
      </c>
      <c r="O6" s="20">
        <f>+C6/30</f>
        <v>44204.266324999997</v>
      </c>
      <c r="P6" s="32">
        <f>+O6*26</f>
        <v>1149310.9244499998</v>
      </c>
      <c r="Q6" s="55">
        <v>46199</v>
      </c>
      <c r="R6" s="54"/>
      <c r="S6" s="54">
        <v>2000000</v>
      </c>
      <c r="T6" s="72">
        <f>+T5-S6</f>
        <v>289788497</v>
      </c>
      <c r="U6" s="56"/>
      <c r="V6" s="72">
        <f>+R6+S6+U6</f>
        <v>2000000</v>
      </c>
      <c r="W6" s="54"/>
    </row>
    <row r="7" spans="1:35">
      <c r="A7" s="10">
        <f>IF(AND(A6&lt;$B$2)*(A6&lt;&gt;0),1+A6," ")</f>
        <v>4</v>
      </c>
      <c r="B7" s="57">
        <f>IF(A7=" "," ",+F6)</f>
        <v>168002940.06803539</v>
      </c>
      <c r="C7" s="57">
        <f>IF(A7=" "," ",+B7*I6)</f>
        <v>2822169.3882428808</v>
      </c>
      <c r="D7" s="57">
        <f>+E7-C7</f>
        <v>2528257.2140080547</v>
      </c>
      <c r="E7" s="57">
        <f>IF(A7=" "," ",+J6)</f>
        <v>5350426.6022509355</v>
      </c>
      <c r="F7" s="57">
        <f>+B7-D7</f>
        <v>165474682.85402733</v>
      </c>
      <c r="G7" s="11">
        <v>0.10858</v>
      </c>
      <c r="H7" s="52">
        <f>IF(A7=" "," ",+H6)</f>
        <v>9.2999999999999999E-2</v>
      </c>
      <c r="I7" s="58">
        <f>IF(A7=" "," ",((G7+H7)/12))</f>
        <v>1.6798333333333332E-2</v>
      </c>
      <c r="J7" s="59">
        <f>PMT(I7,K7,-F7,0)</f>
        <v>5350426.6022509346</v>
      </c>
      <c r="K7" s="60">
        <f>IF(A4=" "," ",+$B$2-A7)</f>
        <v>44</v>
      </c>
      <c r="L7">
        <f>IF(A7&lt;&gt;" ",+L6," ")</f>
        <v>16</v>
      </c>
      <c r="M7">
        <f>IF(AND(A7&lt;&gt;" ")*(M6=12),1,1+M6)</f>
        <v>10</v>
      </c>
      <c r="N7">
        <f>IF(AND(A7&lt;&gt;" ")*(M7=1),1+N6,N6)</f>
        <v>2026</v>
      </c>
      <c r="O7" s="20"/>
      <c r="P7" s="32"/>
      <c r="Q7" s="55">
        <v>46200</v>
      </c>
      <c r="R7" s="54"/>
      <c r="S7" s="54">
        <v>4900000</v>
      </c>
      <c r="T7" s="72">
        <f>+T6-S7</f>
        <v>284888497</v>
      </c>
      <c r="U7" s="56"/>
      <c r="V7" s="72">
        <f>+R7+S7+U7</f>
        <v>4900000</v>
      </c>
      <c r="W7" s="54"/>
      <c r="Y7" s="4"/>
    </row>
    <row r="8" spans="1:35">
      <c r="A8" s="10">
        <f>IF(AND(A7&lt;$B$2)*(A7&lt;&gt;0),1+A7," ")</f>
        <v>5</v>
      </c>
      <c r="B8" s="57">
        <f>IF(A8=" "," ",+F7)</f>
        <v>165474682.85402733</v>
      </c>
      <c r="C8" s="57">
        <f>IF(A8=" "," ",+B8*I7)</f>
        <v>2779698.8808095688</v>
      </c>
      <c r="D8" s="57">
        <f>+E8-C8</f>
        <v>2570727.7214413658</v>
      </c>
      <c r="E8" s="57">
        <f>IF(A8=" "," ",+J7)</f>
        <v>5350426.6022509346</v>
      </c>
      <c r="F8" s="57">
        <f>+B8-D8</f>
        <v>162903955.13258597</v>
      </c>
      <c r="G8" s="11">
        <v>0.10858</v>
      </c>
      <c r="H8" s="52">
        <f>IF(A8=" "," ",+H7)</f>
        <v>9.2999999999999999E-2</v>
      </c>
      <c r="I8" s="58">
        <f>IF(A8=" "," ",((G8+H8)/12))</f>
        <v>1.6798333333333332E-2</v>
      </c>
      <c r="J8" s="59">
        <f>PMT(I8,K8,-F8,0)</f>
        <v>5350426.6022509346</v>
      </c>
      <c r="K8" s="60">
        <f>IF(A5=" "," ",+$B$2-A8)</f>
        <v>43</v>
      </c>
      <c r="L8">
        <f>IF(A8&lt;&gt;" ",+L7," ")</f>
        <v>16</v>
      </c>
      <c r="M8">
        <f>IF(AND(A8&lt;&gt;" ")*(M7=12),1,1+M7)</f>
        <v>11</v>
      </c>
      <c r="N8">
        <f>IF(AND(A8&lt;&gt;" ")*(M8=1),1+N7,N7)</f>
        <v>2026</v>
      </c>
      <c r="O8" s="20"/>
      <c r="P8" s="32"/>
      <c r="Q8" s="55">
        <v>46200</v>
      </c>
      <c r="R8" s="54"/>
      <c r="S8" s="54">
        <v>2000000</v>
      </c>
      <c r="T8" s="72">
        <f>+T7-S8</f>
        <v>282888497</v>
      </c>
      <c r="U8" s="56"/>
      <c r="V8" s="72">
        <f>+R8+S8+U8</f>
        <v>2000000</v>
      </c>
      <c r="W8" s="54"/>
      <c r="Y8" s="40">
        <v>46174</v>
      </c>
      <c r="Z8" s="40">
        <v>46204</v>
      </c>
      <c r="AA8" s="40">
        <v>46235</v>
      </c>
      <c r="AB8" s="40">
        <v>46266</v>
      </c>
      <c r="AC8" s="40">
        <v>46296</v>
      </c>
      <c r="AD8" s="40">
        <v>46327</v>
      </c>
      <c r="AE8" s="40">
        <v>46357</v>
      </c>
      <c r="AF8" s="40">
        <v>46388</v>
      </c>
      <c r="AG8" s="40">
        <v>46419</v>
      </c>
      <c r="AI8" s="40"/>
    </row>
    <row r="9" spans="1:35">
      <c r="A9" s="10">
        <f>IF(AND(A8&lt;$B$2)*(A8&lt;&gt;0),1+A8," ")</f>
        <v>6</v>
      </c>
      <c r="B9" s="57">
        <f>IF(A9=" "," ",+F8)</f>
        <v>162903955.13258597</v>
      </c>
      <c r="C9" s="57">
        <f>IF(A9=" "," ",+B9*I8)</f>
        <v>2736514.9396355567</v>
      </c>
      <c r="D9" s="57">
        <f>+E9-C9</f>
        <v>2613911.6626153779</v>
      </c>
      <c r="E9" s="57">
        <f>IF(A9=" "," ",+J8)</f>
        <v>5350426.6022509346</v>
      </c>
      <c r="F9" s="57">
        <f>+B9-D9</f>
        <v>160290043.46997058</v>
      </c>
      <c r="G9" s="11">
        <v>0.10858</v>
      </c>
      <c r="H9" s="52">
        <f>IF(A9=" "," ",+H8)</f>
        <v>9.2999999999999999E-2</v>
      </c>
      <c r="I9" s="58">
        <f>IF(A9=" "," ",((G9+H9)/12))</f>
        <v>1.6798333333333332E-2</v>
      </c>
      <c r="J9" s="59">
        <f>PMT(I9,K9,-F9,0)</f>
        <v>5350426.6022509346</v>
      </c>
      <c r="K9" s="60">
        <f>IF(A6=" "," ",+$B$2-A9)</f>
        <v>42</v>
      </c>
      <c r="L9">
        <f>IF(A9&lt;&gt;" ",+L8," ")</f>
        <v>16</v>
      </c>
      <c r="M9">
        <f>IF(AND(A9&lt;&gt;" ")*(M8=12),1,1+M8)</f>
        <v>12</v>
      </c>
      <c r="N9">
        <f>IF(AND(A9&lt;&gt;" ")*(M9=1),1+N8,N8)</f>
        <v>2026</v>
      </c>
      <c r="P9" s="32"/>
      <c r="Q9" s="55">
        <v>46203</v>
      </c>
      <c r="R9" s="54"/>
      <c r="S9" s="54">
        <v>1000000</v>
      </c>
      <c r="T9" s="72">
        <f>+T8-S9</f>
        <v>281888497</v>
      </c>
      <c r="U9" s="56"/>
      <c r="V9" s="72">
        <f>+R9+S9+U9</f>
        <v>1000000</v>
      </c>
      <c r="W9" s="54"/>
      <c r="Y9" s="21">
        <f>+P4</f>
        <v>2209786.5698712221</v>
      </c>
      <c r="Z9" s="21">
        <f>+O4*16-19399-23517</f>
        <v>2482554.3655671109</v>
      </c>
      <c r="AA9" s="21">
        <f>+O5*4</f>
        <v>638851.33333333337</v>
      </c>
      <c r="AB9" s="21"/>
      <c r="AC9" s="21"/>
      <c r="AD9" s="21"/>
      <c r="AE9" s="21"/>
      <c r="AF9" s="21"/>
      <c r="AG9" s="21"/>
      <c r="AH9" s="21"/>
      <c r="AI9" s="21"/>
    </row>
    <row r="10" spans="1:35">
      <c r="A10" s="10">
        <f>IF(AND(A9&lt;$B$2)*(A9&lt;&gt;0),1+A9," ")</f>
        <v>7</v>
      </c>
      <c r="B10" s="57">
        <f>IF(A10=" "," ",+F9)</f>
        <v>160290043.46997058</v>
      </c>
      <c r="C10" s="57">
        <f>IF(A10=" "," ",+B10*I9)</f>
        <v>2692605.5802230556</v>
      </c>
      <c r="D10" s="57">
        <f>+E10-C10</f>
        <v>2657821.022027879</v>
      </c>
      <c r="E10" s="57">
        <f>IF(A10=" "," ",+J9)</f>
        <v>5350426.6022509346</v>
      </c>
      <c r="F10" s="57">
        <f>+B10-D10</f>
        <v>157632222.4479427</v>
      </c>
      <c r="G10" s="11">
        <v>0.10858</v>
      </c>
      <c r="H10" s="52">
        <f>IF(A10=" "," ",+H9)</f>
        <v>9.2999999999999999E-2</v>
      </c>
      <c r="I10" s="58">
        <f>IF(A10=" "," ",((G10+H10)/12))</f>
        <v>1.6798333333333332E-2</v>
      </c>
      <c r="J10" s="59">
        <f>PMT(I10,K10,-F10,0)</f>
        <v>5350426.6022509336</v>
      </c>
      <c r="K10" s="60">
        <f>IF(A7=" "," ",+$B$2-A10)</f>
        <v>41</v>
      </c>
      <c r="L10">
        <f>IF(A10&lt;&gt;" ",+L9," ")</f>
        <v>16</v>
      </c>
      <c r="M10">
        <f>IF(AND(A10&lt;&gt;" ")*(M9=12),1,1+M9)</f>
        <v>1</v>
      </c>
      <c r="N10">
        <f>IF(AND(A10&lt;&gt;" ")*(M10=1),1+N9,N9)</f>
        <v>2027</v>
      </c>
      <c r="O10" s="20"/>
      <c r="P10" s="32"/>
      <c r="Q10" s="36">
        <v>46204</v>
      </c>
      <c r="R10" s="54">
        <v>1000000</v>
      </c>
      <c r="S10" s="54">
        <v>0</v>
      </c>
      <c r="T10" s="72">
        <f>+T9-S10</f>
        <v>281888497</v>
      </c>
      <c r="U10" s="56"/>
      <c r="V10" s="72">
        <f>+R10+S10+U10</f>
        <v>1000000</v>
      </c>
      <c r="W10" s="54"/>
      <c r="Y10" s="34"/>
      <c r="Z10" s="34">
        <f>+P5</f>
        <v>2235979.666666667</v>
      </c>
      <c r="AA10" s="34">
        <f>+P6</f>
        <v>1149310.9244499998</v>
      </c>
      <c r="AB10" s="34"/>
      <c r="AC10" s="34"/>
      <c r="AD10" s="34"/>
      <c r="AE10" s="34"/>
      <c r="AF10" s="34"/>
      <c r="AG10" s="34"/>
      <c r="AH10" s="21"/>
      <c r="AI10" s="21"/>
    </row>
    <row r="11" spans="1:35">
      <c r="A11" s="63">
        <f>IF(AND(A10&lt;$B$2)*(A10&lt;&gt;0),1+A10," ")</f>
        <v>8</v>
      </c>
      <c r="B11" s="57">
        <f>IF(A11=" "," ",+F10)</f>
        <v>157632222.4479427</v>
      </c>
      <c r="C11" s="57">
        <f>IF(A11=" "," ",+B11*I10)</f>
        <v>2647958.6167546907</v>
      </c>
      <c r="D11" s="57">
        <f>+E11-C11</f>
        <v>2702467.985496243</v>
      </c>
      <c r="E11" s="57">
        <f>IF(A11=" "," ",+J10)</f>
        <v>5350426.6022509336</v>
      </c>
      <c r="F11" s="57">
        <f>+B11-D11</f>
        <v>154929754.46244645</v>
      </c>
      <c r="G11" s="11">
        <v>0.10858</v>
      </c>
      <c r="H11" s="52">
        <f>IF(A11=" "," ",+H10)</f>
        <v>9.2999999999999999E-2</v>
      </c>
      <c r="I11" s="58">
        <f>IF(A11=" "," ",((G11+H11)/12))</f>
        <v>1.6798333333333332E-2</v>
      </c>
      <c r="J11" s="59">
        <f>PMT(I11,K11,-F11,0)</f>
        <v>5350426.6022509336</v>
      </c>
      <c r="K11" s="60">
        <f>IF(A8=" "," ",+$B$2-A11)</f>
        <v>40</v>
      </c>
      <c r="L11">
        <f>IF(A11&lt;&gt;" ",+L10," ")</f>
        <v>16</v>
      </c>
      <c r="M11">
        <f>IF(AND(A11&lt;&gt;" ")*(M10=12),1,1+M10)</f>
        <v>2</v>
      </c>
      <c r="N11">
        <f>IF(AND(A11&lt;&gt;" ")*(M11=1),1+N10,N10)</f>
        <v>2027</v>
      </c>
      <c r="O11" s="20"/>
      <c r="P11" s="32"/>
      <c r="Q11" s="36">
        <v>46205</v>
      </c>
      <c r="R11" s="22">
        <v>1525470</v>
      </c>
      <c r="S11" s="22">
        <v>2474530</v>
      </c>
      <c r="T11" s="72">
        <f>+T10-S11</f>
        <v>279413967</v>
      </c>
      <c r="U11" s="22"/>
      <c r="V11" s="72">
        <f>+R11+S11+U11</f>
        <v>4000000</v>
      </c>
      <c r="W11" s="22"/>
      <c r="Y11" s="21">
        <f>SUM(Y9:Y10)</f>
        <v>2209786.5698712221</v>
      </c>
      <c r="Z11" s="21">
        <f>SUM(Z9:Z10)</f>
        <v>4718534.0322337784</v>
      </c>
      <c r="AA11" s="21">
        <f>SUM(AA9:AA10)</f>
        <v>1788162.2577833333</v>
      </c>
      <c r="AB11" s="21">
        <f>SUM(AB9:AB10)</f>
        <v>0</v>
      </c>
      <c r="AC11" s="21">
        <f>SUM(AC9:AC10)</f>
        <v>0</v>
      </c>
      <c r="AD11" s="21">
        <f>SUM(AD9:AD10)</f>
        <v>0</v>
      </c>
      <c r="AE11" s="21">
        <f>SUM(AE9:AE10)</f>
        <v>0</v>
      </c>
      <c r="AF11" s="21">
        <f>SUM(AF9:AF10)</f>
        <v>0</v>
      </c>
      <c r="AG11" s="21">
        <f>SUM(AG9:AG10)</f>
        <v>0</v>
      </c>
      <c r="AH11" s="21">
        <f>SUM(AH9:AH10)</f>
        <v>0</v>
      </c>
      <c r="AI11" s="21"/>
    </row>
    <row r="12" spans="1:35" ht="15" customHeight="1">
      <c r="A12" s="63">
        <f>IF(AND(A11&lt;$B$2)*(A11&lt;&gt;0),1+A11," ")</f>
        <v>9</v>
      </c>
      <c r="B12" s="57">
        <f>IF(A12=" "," ",+F11)</f>
        <v>154929754.46244645</v>
      </c>
      <c r="C12" s="57">
        <f>IF(A12=" "," ",+B12*I11)</f>
        <v>2602561.6587116625</v>
      </c>
      <c r="D12" s="57">
        <f>+E12-C12</f>
        <v>2747864.9435392711</v>
      </c>
      <c r="E12" s="57">
        <f>IF(A12=" "," ",+J11)</f>
        <v>5350426.6022509336</v>
      </c>
      <c r="F12" s="57">
        <f>+B12-D12</f>
        <v>152181889.51890719</v>
      </c>
      <c r="G12" s="11">
        <v>0.10858</v>
      </c>
      <c r="H12" s="52">
        <f>IF(A12=" "," ",+H11)</f>
        <v>9.2999999999999999E-2</v>
      </c>
      <c r="I12" s="58">
        <f>IF(A12=" "," ",((G12+H12)/12))</f>
        <v>1.6798333333333332E-2</v>
      </c>
      <c r="J12" s="59">
        <f>PMT(I12,K12,-F12,0)</f>
        <v>5350426.6022509346</v>
      </c>
      <c r="K12" s="60">
        <f>IF(A9=" "," ",+$B$2-A12)</f>
        <v>39</v>
      </c>
      <c r="L12">
        <f>IF(A12&lt;&gt;" ",+L11," ")</f>
        <v>16</v>
      </c>
      <c r="M12">
        <f>IF(AND(A12&lt;&gt;" ")*(M11=12),1,1+M11)</f>
        <v>3</v>
      </c>
      <c r="N12">
        <f>IF(AND(A12&lt;&gt;" ")*(M12=1),1+N11,N11)</f>
        <v>2027</v>
      </c>
      <c r="O12" s="20"/>
      <c r="P12" s="32"/>
      <c r="Q12" s="36">
        <v>46226</v>
      </c>
      <c r="R12" s="22">
        <v>2191696</v>
      </c>
      <c r="S12" s="22">
        <v>1974201</v>
      </c>
      <c r="T12" s="72">
        <f>+T11-S12</f>
        <v>277439766</v>
      </c>
      <c r="U12" s="77">
        <v>9133</v>
      </c>
      <c r="V12" s="72">
        <f>+R12+S12+U12</f>
        <v>4175030</v>
      </c>
      <c r="W12" s="22"/>
    </row>
    <row r="13" spans="1:35">
      <c r="A13" s="63">
        <f>IF(AND(A12&lt;$B$2)*(A12&lt;&gt;0),1+A12," ")</f>
        <v>10</v>
      </c>
      <c r="B13" s="57">
        <f>IF(A13=" "," ",+F12)</f>
        <v>152181889.51890719</v>
      </c>
      <c r="C13" s="57">
        <f>IF(A13=" "," ",+B13*I12)</f>
        <v>2556402.1074351091</v>
      </c>
      <c r="D13" s="57">
        <f>+E13-C13</f>
        <v>2794024.4948158255</v>
      </c>
      <c r="E13" s="57">
        <f>IF(A13=" "," ",+J12)</f>
        <v>5350426.6022509346</v>
      </c>
      <c r="F13" s="57">
        <f>+B13-D13</f>
        <v>149387865.02409136</v>
      </c>
      <c r="G13" s="11">
        <v>0.10858</v>
      </c>
      <c r="H13" s="52">
        <f>IF(A13=" "," ",+H12)</f>
        <v>9.2999999999999999E-2</v>
      </c>
      <c r="I13" s="58">
        <f>IF(A13=" "," ",((G13+H13)/12))</f>
        <v>1.6798333333333332E-2</v>
      </c>
      <c r="J13" s="59">
        <f>PMT(I13,K13,-F13,0)</f>
        <v>5350426.6022509355</v>
      </c>
      <c r="K13" s="60">
        <f>IF(A10=" "," ",+$B$2-A13)</f>
        <v>38</v>
      </c>
      <c r="L13">
        <f>IF(A13&lt;&gt;" ",+L12," ")</f>
        <v>16</v>
      </c>
      <c r="M13">
        <f>IF(AND(A13&lt;&gt;" ")*(M12=12),1,1+M12)</f>
        <v>4</v>
      </c>
      <c r="N13">
        <f>IF(AND(A13&lt;&gt;" ")*(M13=1),1+N12,N12)</f>
        <v>2027</v>
      </c>
      <c r="O13" s="20"/>
      <c r="P13" s="32"/>
      <c r="Q13" s="36">
        <v>46238</v>
      </c>
      <c r="R13" s="22">
        <v>2873523</v>
      </c>
      <c r="S13" s="22">
        <v>5792573</v>
      </c>
      <c r="T13" s="72">
        <f>+T12-S13</f>
        <v>271647193</v>
      </c>
      <c r="U13" s="22"/>
      <c r="V13" s="72">
        <f>+R13+S13+U13</f>
        <v>8666096</v>
      </c>
      <c r="W13" s="22"/>
      <c r="Y13" s="21"/>
      <c r="Z13" s="21"/>
      <c r="AA13" s="21"/>
      <c r="AB13" s="21"/>
      <c r="AC13" s="21"/>
      <c r="AD13" s="21"/>
      <c r="AE13" s="21"/>
      <c r="AF13" s="21"/>
      <c r="AG13" s="21"/>
    </row>
    <row r="14" spans="1:35">
      <c r="A14" s="63">
        <f>IF(AND(A13&lt;$B$2)*(A13&lt;&gt;0),1+A13," ")</f>
        <v>11</v>
      </c>
      <c r="B14" s="57">
        <f>IF(A14=" "," ",+F13)</f>
        <v>149387865.02409136</v>
      </c>
      <c r="C14" s="57">
        <f>IF(A14=" "," ",+B14*I13)</f>
        <v>2509467.1526296944</v>
      </c>
      <c r="D14" s="57">
        <f>+E14-C14</f>
        <v>2840959.4496212411</v>
      </c>
      <c r="E14" s="57">
        <f>IF(A14=" "," ",+J13)</f>
        <v>5350426.6022509355</v>
      </c>
      <c r="F14" s="57">
        <f>+B14-D14</f>
        <v>146546905.57447013</v>
      </c>
      <c r="G14" s="11">
        <v>0.10858</v>
      </c>
      <c r="H14" s="52">
        <f>IF(A14=" "," ",+H13)</f>
        <v>9.2999999999999999E-2</v>
      </c>
      <c r="I14" s="58">
        <f>IF(A14=" "," ",((G14+H14)/12))</f>
        <v>1.6798333333333332E-2</v>
      </c>
      <c r="J14" s="59">
        <f>PMT(I14,K14,-F14,0)</f>
        <v>5350426.6022509355</v>
      </c>
      <c r="K14" s="60">
        <f>IF(A11=" "," ",+$B$2-A14)</f>
        <v>37</v>
      </c>
      <c r="L14">
        <f>IF(A14&lt;&gt;" ",+L13," ")</f>
        <v>16</v>
      </c>
      <c r="M14">
        <f>IF(AND(A14&lt;&gt;" ")*(M13=12),1,1+M13)</f>
        <v>5</v>
      </c>
      <c r="N14">
        <f>IF(AND(A14&lt;&gt;" ")*(M14=1),1+N13,N13)</f>
        <v>2027</v>
      </c>
      <c r="O14" s="20"/>
      <c r="P14" s="32"/>
      <c r="Q14" s="36">
        <v>46238</v>
      </c>
      <c r="R14" s="22"/>
      <c r="S14" s="22">
        <v>100533904</v>
      </c>
      <c r="T14" s="72">
        <f>+T13-S14</f>
        <v>171113289</v>
      </c>
      <c r="U14" s="22"/>
      <c r="V14" s="72">
        <f>+R14+S14+U14</f>
        <v>100533904</v>
      </c>
      <c r="W14" s="22"/>
      <c r="Z14" s="21"/>
    </row>
    <row r="15" spans="1:35">
      <c r="A15" s="63">
        <f>IF(AND(A14&lt;$B$2)*(A14&lt;&gt;0),1+A14," ")</f>
        <v>12</v>
      </c>
      <c r="B15" s="57">
        <f>IF(A15=" "," ",+F14)</f>
        <v>146546905.57447013</v>
      </c>
      <c r="C15" s="57">
        <f>IF(A15=" "," ",+B15*I14)</f>
        <v>2461743.7688084738</v>
      </c>
      <c r="D15" s="57">
        <f>+E15-C15</f>
        <v>2888682.8334424617</v>
      </c>
      <c r="E15" s="57">
        <f>IF(A15=" "," ",+J14)</f>
        <v>5350426.6022509355</v>
      </c>
      <c r="F15" s="57">
        <f>+B15-D15</f>
        <v>143658222.74102768</v>
      </c>
      <c r="G15" s="11">
        <v>0.10858</v>
      </c>
      <c r="H15" s="52">
        <f>IF(A15=" "," ",+H14)</f>
        <v>9.2999999999999999E-2</v>
      </c>
      <c r="I15" s="58">
        <f>IF(A15=" "," ",((G15+H15)/12))</f>
        <v>1.6798333333333332E-2</v>
      </c>
      <c r="J15" s="59">
        <f>PMT(I15,K15,-F15,0)</f>
        <v>5350426.6022509374</v>
      </c>
      <c r="K15" s="60">
        <f>IF(A12=" "," ",+$B$2-A15)</f>
        <v>36</v>
      </c>
      <c r="L15">
        <f>IF(A15&lt;&gt;" ",+L14," ")</f>
        <v>16</v>
      </c>
      <c r="M15">
        <f>IF(AND(A15&lt;&gt;" ")*(M14=12),1,1+M14)</f>
        <v>6</v>
      </c>
      <c r="N15">
        <f>IF(AND(A15&lt;&gt;" ")*(M15=1),1+N14,N14)</f>
        <v>2027</v>
      </c>
      <c r="O15" s="20"/>
      <c r="P15" s="32"/>
      <c r="Q15" s="37"/>
      <c r="R15" s="39"/>
      <c r="S15" s="37"/>
      <c r="T15" s="37"/>
      <c r="U15" s="37"/>
      <c r="V15" s="37"/>
      <c r="W15" s="37"/>
      <c r="Y15" s="21"/>
    </row>
    <row r="16" spans="1:35">
      <c r="A16" s="63">
        <f>IF(AND(A15&lt;$B$2)*(A15&lt;&gt;0),1+A15," ")</f>
        <v>13</v>
      </c>
      <c r="B16" s="57">
        <f>IF(A16=" "," ",+F15)</f>
        <v>143658222.74102768</v>
      </c>
      <c r="C16" s="57">
        <f>IF(A16=" "," ",+B16*I15)</f>
        <v>2413218.71167803</v>
      </c>
      <c r="D16" s="57">
        <f>+E16-C16</f>
        <v>2937207.8905729074</v>
      </c>
      <c r="E16" s="57">
        <f>IF(A16=" "," ",+J15)</f>
        <v>5350426.6022509374</v>
      </c>
      <c r="F16" s="57">
        <f>+B16-D16</f>
        <v>140721014.85045478</v>
      </c>
      <c r="G16" s="11">
        <v>0.10858</v>
      </c>
      <c r="H16" s="52">
        <f>IF(A16=" "," ",+H15)</f>
        <v>9.2999999999999999E-2</v>
      </c>
      <c r="I16" s="58">
        <f>IF(A16=" "," ",((G16+H16)/12))</f>
        <v>1.6798333333333332E-2</v>
      </c>
      <c r="J16" s="59">
        <f>PMT(I16,K16,-F16,0)</f>
        <v>5350426.6022509355</v>
      </c>
      <c r="K16" s="60">
        <f>IF(A13=" "," ",+$B$2-A16)</f>
        <v>35</v>
      </c>
      <c r="L16">
        <f>IF(A16&lt;&gt;" ",+L15," ")</f>
        <v>16</v>
      </c>
      <c r="M16">
        <f>IF(AND(A16&lt;&gt;" ")*(M15=12),1,1+M15)</f>
        <v>7</v>
      </c>
      <c r="N16">
        <f>IF(AND(A16&lt;&gt;" ")*(M16=1),1+N15,N15)</f>
        <v>2027</v>
      </c>
      <c r="Z16" s="21"/>
    </row>
    <row r="17" spans="1:26">
      <c r="A17" s="63">
        <f>IF(AND(A16&lt;$B$2)*(A16&lt;&gt;0),1+A16," ")</f>
        <v>14</v>
      </c>
      <c r="B17" s="57">
        <f>IF(A17=" "," ",+F16)</f>
        <v>140721014.85045478</v>
      </c>
      <c r="C17" s="57">
        <f>IF(A17=" "," ",+B17*I16)</f>
        <v>2363878.5144628892</v>
      </c>
      <c r="D17" s="57">
        <f>+E17-C17</f>
        <v>2986548.0877880463</v>
      </c>
      <c r="E17" s="57">
        <f>IF(A17=" "," ",+J16)</f>
        <v>5350426.6022509355</v>
      </c>
      <c r="F17" s="57">
        <f>+B17-D17</f>
        <v>137734466.76266673</v>
      </c>
      <c r="G17" s="11">
        <v>0.10858</v>
      </c>
      <c r="H17" s="52">
        <f>IF(A17=" "," ",+H16)</f>
        <v>9.2999999999999999E-2</v>
      </c>
      <c r="I17" s="58">
        <f>IF(A17=" "," ",((G17+H17)/12))</f>
        <v>1.6798333333333332E-2</v>
      </c>
      <c r="J17" s="59">
        <f>PMT(I17,K17,-F17,0)</f>
        <v>5350426.6022509355</v>
      </c>
      <c r="K17" s="60">
        <f>IF(A14=" "," ",+$B$2-A17)</f>
        <v>34</v>
      </c>
      <c r="L17">
        <f>IF(A17&lt;&gt;" ",+L16," ")</f>
        <v>16</v>
      </c>
      <c r="M17">
        <f>IF(AND(A17&lt;&gt;" ")*(M16=12),1,1+M16)</f>
        <v>8</v>
      </c>
      <c r="N17">
        <f>IF(AND(A17&lt;&gt;" ")*(M17=1),1+N16,N16)</f>
        <v>2027</v>
      </c>
      <c r="Z17" s="21"/>
    </row>
    <row r="18" spans="1:26">
      <c r="A18" s="63">
        <f>IF(AND(A17&lt;$B$2)*(A17&lt;&gt;0),1+A17," ")</f>
        <v>15</v>
      </c>
      <c r="B18" s="57">
        <f>IF(A18=" "," ",+F17)</f>
        <v>137734466.76266673</v>
      </c>
      <c r="C18" s="57">
        <f>IF(A18=" "," ",+B18*I17)</f>
        <v>2313709.4841681966</v>
      </c>
      <c r="D18" s="57">
        <f>+E18-C18</f>
        <v>3036717.1180827389</v>
      </c>
      <c r="E18" s="57">
        <f>IF(A18=" "," ",+J17)</f>
        <v>5350426.6022509355</v>
      </c>
      <c r="F18" s="57">
        <f>+B18-D18</f>
        <v>134697749.644584</v>
      </c>
      <c r="G18" s="11">
        <v>0.10858</v>
      </c>
      <c r="H18" s="52">
        <f>IF(A18=" "," ",+H17)</f>
        <v>9.2999999999999999E-2</v>
      </c>
      <c r="I18" s="58">
        <f>IF(A18=" "," ",((G18+H18)/12))</f>
        <v>1.6798333333333332E-2</v>
      </c>
      <c r="J18" s="59">
        <f>PMT(I18,K18,-F18,0)</f>
        <v>5350426.6022509346</v>
      </c>
      <c r="K18" s="60">
        <f>IF(A15=" "," ",+$B$2-A18)</f>
        <v>33</v>
      </c>
      <c r="L18">
        <f>IF(A18&lt;&gt;" ",+L17," ")</f>
        <v>16</v>
      </c>
      <c r="M18">
        <f>IF(AND(A18&lt;&gt;" ")*(M17=12),1,1+M17)</f>
        <v>9</v>
      </c>
      <c r="N18">
        <f>IF(AND(A18&lt;&gt;" ")*(M18=1),1+N17,N17)</f>
        <v>2027</v>
      </c>
    </row>
    <row r="19" spans="1:26">
      <c r="A19" s="63">
        <f>IF(AND(A18&lt;$B$2)*(A18&lt;&gt;0),1+A18," ")</f>
        <v>16</v>
      </c>
      <c r="B19" s="57">
        <f>IF(A19=" "," ",+F18)</f>
        <v>134697749.644584</v>
      </c>
      <c r="C19" s="57">
        <f>IF(A19=" "," ",+B19*I18)</f>
        <v>2262697.6977796033</v>
      </c>
      <c r="D19" s="57">
        <f>+E19-C19</f>
        <v>3087728.9044713313</v>
      </c>
      <c r="E19" s="57">
        <f>IF(A19=" "," ",+J18)</f>
        <v>5350426.6022509346</v>
      </c>
      <c r="F19" s="57">
        <f>+B19-D19</f>
        <v>131610020.74011266</v>
      </c>
      <c r="G19" s="11">
        <v>0.10858</v>
      </c>
      <c r="H19" s="52">
        <f>IF(A19=" "," ",+H18)</f>
        <v>9.2999999999999999E-2</v>
      </c>
      <c r="I19" s="58">
        <f>IF(A19=" "," ",((G19+H19)/12))</f>
        <v>1.6798333333333332E-2</v>
      </c>
      <c r="J19" s="59">
        <f>PMT(I19,K19,-F19,0)</f>
        <v>5350426.6022509374</v>
      </c>
      <c r="K19" s="60">
        <f>IF(A16=" "," ",+$B$2-A19)</f>
        <v>32</v>
      </c>
      <c r="L19">
        <f>IF(A19&lt;&gt;" ",+L18," ")</f>
        <v>16</v>
      </c>
      <c r="M19">
        <f>IF(AND(A19&lt;&gt;" ")*(M18=12),1,1+M18)</f>
        <v>10</v>
      </c>
      <c r="N19">
        <f>IF(AND(A19&lt;&gt;" ")*(M19=1),1+N18,N18)</f>
        <v>2027</v>
      </c>
    </row>
    <row r="20" spans="1:26">
      <c r="A20" s="63">
        <f>IF(AND(A19&lt;$B$2)*(A19&lt;&gt;0),1+A19," ")</f>
        <v>17</v>
      </c>
      <c r="B20" s="57">
        <f>IF(A20=" "," ",+F19)</f>
        <v>131610020.74011266</v>
      </c>
      <c r="C20" s="57">
        <f>IF(A20=" "," ",+B20*I19)</f>
        <v>2210828.9983993256</v>
      </c>
      <c r="D20" s="57">
        <f>+E20-C20</f>
        <v>3139597.6038516117</v>
      </c>
      <c r="E20" s="57">
        <f>IF(A20=" "," ",+J19)</f>
        <v>5350426.6022509374</v>
      </c>
      <c r="F20" s="57">
        <f>+B20-D20</f>
        <v>128470423.13626105</v>
      </c>
      <c r="G20" s="11">
        <v>0.10858</v>
      </c>
      <c r="H20" s="52">
        <f>IF(A20=" "," ",+H19)</f>
        <v>9.2999999999999999E-2</v>
      </c>
      <c r="I20" s="58">
        <f>IF(A20=" "," ",((G20+H20)/12))</f>
        <v>1.6798333333333332E-2</v>
      </c>
      <c r="J20" s="59">
        <f>PMT(I20,K20,-F20,0)</f>
        <v>5350426.6022509355</v>
      </c>
      <c r="K20" s="60">
        <f>IF(A17=" "," ",+$B$2-A20)</f>
        <v>31</v>
      </c>
      <c r="L20">
        <f>IF(A20&lt;&gt;" ",+L19," ")</f>
        <v>16</v>
      </c>
      <c r="M20">
        <f>IF(AND(A20&lt;&gt;" ")*(M19=12),1,1+M19)</f>
        <v>11</v>
      </c>
      <c r="N20">
        <f>IF(AND(A20&lt;&gt;" ")*(M20=1),1+N19,N19)</f>
        <v>2027</v>
      </c>
    </row>
    <row r="21" spans="1:26">
      <c r="A21" s="63">
        <f>IF(AND(A20&lt;$B$2)*(A20&lt;&gt;0),1+A20," ")</f>
        <v>18</v>
      </c>
      <c r="B21" s="57">
        <f>IF(A21=" "," ",+F20)</f>
        <v>128470423.13626105</v>
      </c>
      <c r="C21" s="57">
        <f>IF(A21=" "," ",+B21*I20)</f>
        <v>2158088.9913172917</v>
      </c>
      <c r="D21" s="57">
        <f>+E21-C21</f>
        <v>3192337.6109336438</v>
      </c>
      <c r="E21" s="57">
        <f>IF(A21=" "," ",+J20)</f>
        <v>5350426.6022509355</v>
      </c>
      <c r="F21" s="57">
        <f>+B21-D21</f>
        <v>125278085.5253274</v>
      </c>
      <c r="G21" s="11">
        <v>0.10858</v>
      </c>
      <c r="H21" s="52">
        <f>IF(A21=" "," ",+H20)</f>
        <v>9.2999999999999999E-2</v>
      </c>
      <c r="I21" s="58">
        <f>IF(A21=" "," ",((G21+H21)/12))</f>
        <v>1.6798333333333332E-2</v>
      </c>
      <c r="J21" s="59">
        <f>PMT(I21,K21,-F21,0)</f>
        <v>5350426.6022509355</v>
      </c>
      <c r="K21" s="60">
        <f>IF(A18=" "," ",+$B$2-A21)</f>
        <v>30</v>
      </c>
      <c r="L21">
        <f>IF(A21&lt;&gt;" ",+L20," ")</f>
        <v>16</v>
      </c>
      <c r="M21">
        <f>IF(AND(A21&lt;&gt;" ")*(M20=12),1,1+M20)</f>
        <v>12</v>
      </c>
      <c r="N21">
        <f>IF(AND(A21&lt;&gt;" ")*(M21=1),1+N20,N20)</f>
        <v>2027</v>
      </c>
    </row>
    <row r="22" spans="1:26">
      <c r="A22" s="63">
        <f>IF(AND(A21&lt;$B$2)*(A21&lt;&gt;0),1+A21," ")</f>
        <v>19</v>
      </c>
      <c r="B22" s="57">
        <f>IF(A22=" "," ",+F21)</f>
        <v>125278085.5253274</v>
      </c>
      <c r="C22" s="57">
        <f>IF(A22=" "," ",+B22*I21)</f>
        <v>2104463.0400162912</v>
      </c>
      <c r="D22" s="57">
        <f>+E22-C22</f>
        <v>3245963.5622346443</v>
      </c>
      <c r="E22" s="57">
        <f>IF(A22=" "," ",+J21)</f>
        <v>5350426.6022509355</v>
      </c>
      <c r="F22" s="57">
        <f>+B22-D22</f>
        <v>122032121.96309276</v>
      </c>
      <c r="G22" s="11">
        <v>0.10858</v>
      </c>
      <c r="H22" s="52">
        <f>IF(A22=" "," ",+H21)</f>
        <v>9.2999999999999999E-2</v>
      </c>
      <c r="I22" s="58">
        <f>IF(A22=" "," ",((G22+H22)/12))</f>
        <v>1.6798333333333332E-2</v>
      </c>
      <c r="J22" s="59">
        <f>PMT(I22,K22,-F22,0)</f>
        <v>5350426.6022509355</v>
      </c>
      <c r="K22" s="60">
        <f>IF(A19=" "," ",+$B$2-A22)</f>
        <v>29</v>
      </c>
      <c r="L22">
        <f>IF(A22&lt;&gt;" ",+L21," ")</f>
        <v>16</v>
      </c>
      <c r="M22">
        <f>IF(AND(A22&lt;&gt;" ")*(M21=12),1,1+M21)</f>
        <v>1</v>
      </c>
      <c r="N22">
        <f>IF(AND(A22&lt;&gt;" ")*(M22=1),1+N21,N21)</f>
        <v>2028</v>
      </c>
      <c r="P22" s="21"/>
    </row>
    <row r="23" spans="1:26">
      <c r="A23" s="63">
        <f>IF(AND(A22&lt;$B$2)*(A22&lt;&gt;0),1+A22," ")</f>
        <v>20</v>
      </c>
      <c r="B23" s="57">
        <f>IF(A23=" "," ",+F22)</f>
        <v>122032121.96309276</v>
      </c>
      <c r="C23" s="57">
        <f>IF(A23=" "," ",+B23*I22)</f>
        <v>2049936.2621100196</v>
      </c>
      <c r="D23" s="57">
        <f>+E23-C23</f>
        <v>3300490.3401409159</v>
      </c>
      <c r="E23" s="57">
        <f>IF(A23=" "," ",+J22)</f>
        <v>5350426.6022509355</v>
      </c>
      <c r="F23" s="57">
        <f>+B23-D23</f>
        <v>118731631.62295185</v>
      </c>
      <c r="G23" s="11">
        <v>0.10858</v>
      </c>
      <c r="H23" s="52">
        <f>IF(A23=" "," ",+H22)</f>
        <v>9.2999999999999999E-2</v>
      </c>
      <c r="I23" s="58">
        <f>IF(A23=" "," ",((G23+H23)/12))</f>
        <v>1.6798333333333332E-2</v>
      </c>
      <c r="J23" s="59">
        <f>PMT(I23,K23,-F23,0)</f>
        <v>5350426.6022509374</v>
      </c>
      <c r="K23" s="60">
        <f>IF(A20=" "," ",+$B$2-A23)</f>
        <v>28</v>
      </c>
      <c r="L23">
        <f>IF(A23&lt;&gt;" ",+L22," ")</f>
        <v>16</v>
      </c>
      <c r="M23">
        <f>IF(AND(A23&lt;&gt;" ")*(M22=12),1,1+M22)</f>
        <v>2</v>
      </c>
      <c r="N23">
        <f>IF(AND(A23&lt;&gt;" ")*(M23=1),1+N22,N22)</f>
        <v>2028</v>
      </c>
      <c r="P23" s="21"/>
    </row>
    <row r="24" spans="1:26">
      <c r="A24" s="63">
        <f>IF(AND(A23&lt;$B$2)*(A23&lt;&gt;0),1+A23," ")</f>
        <v>21</v>
      </c>
      <c r="B24" s="57">
        <f>IF(A24=" "," ",+F23)</f>
        <v>118731631.62295185</v>
      </c>
      <c r="C24" s="57">
        <f>IF(A24=" "," ",+B24*I23)</f>
        <v>1994493.525212886</v>
      </c>
      <c r="D24" s="57">
        <f>+E24-C24</f>
        <v>3355933.0770380516</v>
      </c>
      <c r="E24" s="57">
        <f>IF(A24=" "," ",+J23)</f>
        <v>5350426.6022509374</v>
      </c>
      <c r="F24" s="57">
        <f>+B24-D24</f>
        <v>115375698.5459138</v>
      </c>
      <c r="G24" s="11">
        <v>0.10858</v>
      </c>
      <c r="H24" s="52">
        <f>IF(A24=" "," ",+H23)</f>
        <v>9.2999999999999999E-2</v>
      </c>
      <c r="I24" s="58">
        <f>IF(A24=" "," ",((G24+H24)/12))</f>
        <v>1.6798333333333332E-2</v>
      </c>
      <c r="J24" s="59">
        <f>PMT(I24,K24,-F24,0)</f>
        <v>5350426.6022509355</v>
      </c>
      <c r="K24" s="60">
        <f>IF(A21=" "," ",+$B$2-A24)</f>
        <v>27</v>
      </c>
      <c r="L24">
        <f>IF(A24&lt;&gt;" ",+L23," ")</f>
        <v>16</v>
      </c>
      <c r="M24">
        <f>IF(AND(A24&lt;&gt;" ")*(M23=12),1,1+M23)</f>
        <v>3</v>
      </c>
      <c r="N24">
        <f>IF(AND(A24&lt;&gt;" ")*(M24=1),1+N23,N23)</f>
        <v>2028</v>
      </c>
    </row>
    <row r="25" spans="1:26">
      <c r="A25" s="63">
        <f>IF(AND(A24&lt;$B$2)*(A24&lt;&gt;0),1+A24," ")</f>
        <v>22</v>
      </c>
      <c r="B25" s="57">
        <f>IF(A25=" "," ",+F24)</f>
        <v>115375698.5459138</v>
      </c>
      <c r="C25" s="57">
        <f>IF(A25=" "," ",+B25*I24)</f>
        <v>1938119.4427404418</v>
      </c>
      <c r="D25" s="57">
        <f>+E25-C25</f>
        <v>3412307.1595104937</v>
      </c>
      <c r="E25" s="57">
        <f>IF(A25=" "," ",+J24)</f>
        <v>5350426.6022509355</v>
      </c>
      <c r="F25" s="57">
        <f>+B25-D25</f>
        <v>111963391.38640331</v>
      </c>
      <c r="G25" s="11">
        <v>0.10858</v>
      </c>
      <c r="H25" s="52">
        <f>IF(A25=" "," ",+H24)</f>
        <v>9.2999999999999999E-2</v>
      </c>
      <c r="I25" s="58">
        <f>IF(A25=" "," ",((G25+H25)/12))</f>
        <v>1.6798333333333332E-2</v>
      </c>
      <c r="J25" s="59">
        <f>PMT(I25,K25,-F25,0)</f>
        <v>5350426.6022509355</v>
      </c>
      <c r="K25" s="60">
        <f>IF(A22=" "," ",+$B$2-A25)</f>
        <v>26</v>
      </c>
      <c r="L25">
        <f>IF(A25&lt;&gt;" ",+L24," ")</f>
        <v>16</v>
      </c>
      <c r="M25">
        <f>IF(AND(A25&lt;&gt;" ")*(M24=12),1,1+M24)</f>
        <v>4</v>
      </c>
      <c r="N25">
        <f>IF(AND(A25&lt;&gt;" ")*(M25=1),1+N24,N24)</f>
        <v>2028</v>
      </c>
    </row>
    <row r="26" spans="1:26">
      <c r="A26" s="63">
        <f>IF(AND(A25&lt;$B$2)*(A25&lt;&gt;0),1+A25," ")</f>
        <v>23</v>
      </c>
      <c r="B26" s="57">
        <f>IF(A26=" "," ",+F25)</f>
        <v>111963391.38640331</v>
      </c>
      <c r="C26" s="57">
        <f>IF(A26=" "," ",+B26*I25)</f>
        <v>1880798.3696392647</v>
      </c>
      <c r="D26" s="57">
        <f>+E26-C26</f>
        <v>3469628.2326116711</v>
      </c>
      <c r="E26" s="57">
        <f>IF(A26=" "," ",+J25)</f>
        <v>5350426.6022509355</v>
      </c>
      <c r="F26" s="57">
        <f>+B26-D26</f>
        <v>108493763.15379164</v>
      </c>
      <c r="G26" s="11">
        <v>0.10858</v>
      </c>
      <c r="H26" s="52">
        <f>IF(A26=" "," ",+H25)</f>
        <v>9.2999999999999999E-2</v>
      </c>
      <c r="I26" s="58">
        <f>IF(A26=" "," ",((G26+H26)/12))</f>
        <v>1.6798333333333332E-2</v>
      </c>
      <c r="J26" s="59">
        <f>PMT(I26,K26,-F26,0)</f>
        <v>5350426.6022509374</v>
      </c>
      <c r="K26" s="60">
        <f>IF(A23=" "," ",+$B$2-A26)</f>
        <v>25</v>
      </c>
      <c r="L26">
        <f>IF(A26&lt;&gt;" ",+L25," ")</f>
        <v>16</v>
      </c>
      <c r="M26">
        <f>IF(AND(A26&lt;&gt;" ")*(M25=12),1,1+M25)</f>
        <v>5</v>
      </c>
      <c r="N26">
        <f>IF(AND(A26&lt;&gt;" ")*(M26=1),1+N25,N25)</f>
        <v>2028</v>
      </c>
    </row>
    <row r="27" spans="1:26">
      <c r="A27" s="63">
        <f>IF(AND(A26&lt;$B$2)*(A26&lt;&gt;0),1+A26," ")</f>
        <v>24</v>
      </c>
      <c r="B27" s="57">
        <f>IF(A27=" "," ",+F26)</f>
        <v>108493763.15379164</v>
      </c>
      <c r="C27" s="57">
        <f>IF(A27=" "," ",+B27*I26)</f>
        <v>1822514.3980451096</v>
      </c>
      <c r="D27" s="57">
        <f>+E27-C27</f>
        <v>3527912.2042058278</v>
      </c>
      <c r="E27" s="57">
        <f>IF(A27=" "," ",+J26)</f>
        <v>5350426.6022509374</v>
      </c>
      <c r="F27" s="57">
        <f>+B27-D27</f>
        <v>104965850.94958581</v>
      </c>
      <c r="G27" s="11">
        <v>0.10858</v>
      </c>
      <c r="H27" s="52">
        <f>IF(A27=" "," ",+H26)</f>
        <v>9.2999999999999999E-2</v>
      </c>
      <c r="I27" s="58">
        <f>IF(A27=" "," ",((G27+H27)/12))</f>
        <v>1.6798333333333332E-2</v>
      </c>
      <c r="J27" s="59">
        <f>PMT(I27,K27,-F27,0)</f>
        <v>5350426.6022509374</v>
      </c>
      <c r="K27" s="60">
        <f>IF(A24=" "," ",+$B$2-A27)</f>
        <v>24</v>
      </c>
      <c r="L27">
        <f>IF(A27&lt;&gt;" ",+L26," ")</f>
        <v>16</v>
      </c>
      <c r="M27">
        <f>IF(AND(A27&lt;&gt;" ")*(M26=12),1,1+M26)</f>
        <v>6</v>
      </c>
      <c r="N27">
        <f>IF(AND(A27&lt;&gt;" ")*(M27=1),1+N26,N26)</f>
        <v>2028</v>
      </c>
    </row>
    <row r="28" spans="1:26">
      <c r="A28" s="63">
        <f>IF(AND(A27&lt;$B$2)*(A27&lt;&gt;0),1+A27," ")</f>
        <v>25</v>
      </c>
      <c r="B28" s="57">
        <f>IF(A28=" "," ",+F27)</f>
        <v>104965850.94958581</v>
      </c>
      <c r="C28" s="57">
        <f>IF(A28=" "," ",+B28*I27)</f>
        <v>1763251.3528681255</v>
      </c>
      <c r="D28" s="57">
        <f>+E28-C28</f>
        <v>3587175.2493828116</v>
      </c>
      <c r="E28" s="57">
        <f>IF(A28=" "," ",+J27)</f>
        <v>5350426.6022509374</v>
      </c>
      <c r="F28" s="57">
        <f>+B28-D28</f>
        <v>101378675.700203</v>
      </c>
      <c r="G28" s="11">
        <v>0.10858</v>
      </c>
      <c r="H28" s="52">
        <f>IF(A28=" "," ",+H27)</f>
        <v>9.2999999999999999E-2</v>
      </c>
      <c r="I28" s="58">
        <f>IF(A28=" "," ",((G28+H28)/12))</f>
        <v>1.6798333333333332E-2</v>
      </c>
      <c r="J28" s="59">
        <f>PMT(I28,K28,-F28,0)</f>
        <v>5350426.6022509374</v>
      </c>
      <c r="K28" s="60">
        <f>IF(A25=" "," ",+$B$2-A28)</f>
        <v>23</v>
      </c>
      <c r="L28">
        <f>IF(A28&lt;&gt;" ",+L27," ")</f>
        <v>16</v>
      </c>
      <c r="M28">
        <f>IF(AND(A28&lt;&gt;" ")*(M27=12),1,1+M27)</f>
        <v>7</v>
      </c>
      <c r="N28">
        <f>IF(AND(A28&lt;&gt;" ")*(M28=1),1+N27,N27)</f>
        <v>2028</v>
      </c>
    </row>
    <row r="29" spans="1:26">
      <c r="A29" s="63">
        <f>IF(AND(A28&lt;$B$2)*(A28&lt;&gt;0),1+A28," ")</f>
        <v>26</v>
      </c>
      <c r="B29" s="57">
        <f>IF(A29=" "," ",+F28)</f>
        <v>101378675.700203</v>
      </c>
      <c r="C29" s="57">
        <f>IF(A29=" "," ",+B29*I28)</f>
        <v>1702992.7873039099</v>
      </c>
      <c r="D29" s="57">
        <f>+E29-C29</f>
        <v>3647433.8149470277</v>
      </c>
      <c r="E29" s="57">
        <f>IF(A29=" "," ",+J28)</f>
        <v>5350426.6022509374</v>
      </c>
      <c r="F29" s="57">
        <f>+B29-D29</f>
        <v>97731241.885255978</v>
      </c>
      <c r="G29" s="11">
        <v>0.10858</v>
      </c>
      <c r="H29" s="52">
        <f>IF(A29=" "," ",+H28)</f>
        <v>9.2999999999999999E-2</v>
      </c>
      <c r="I29" s="58">
        <f>IF(A29=" "," ",((G29+H29)/12))</f>
        <v>1.6798333333333332E-2</v>
      </c>
      <c r="J29" s="59">
        <f>PMT(I29,K29,-F29,0)</f>
        <v>5350426.6022509374</v>
      </c>
      <c r="K29" s="60">
        <f>IF(A26=" "," ",+$B$2-A29)</f>
        <v>22</v>
      </c>
      <c r="L29">
        <f>IF(A29&lt;&gt;" ",+L28," ")</f>
        <v>16</v>
      </c>
      <c r="M29">
        <f>IF(AND(A29&lt;&gt;" ")*(M28=12),1,1+M28)</f>
        <v>8</v>
      </c>
      <c r="N29">
        <f>IF(AND(A29&lt;&gt;" ")*(M29=1),1+N28,N28)</f>
        <v>2028</v>
      </c>
    </row>
    <row r="30" spans="1:26">
      <c r="A30" s="63">
        <f>IF(AND(A29&lt;$B$2)*(A29&lt;&gt;0),1+A29," ")</f>
        <v>27</v>
      </c>
      <c r="B30" s="57">
        <f>IF(A30=" "," ",+F29)</f>
        <v>97731241.885255978</v>
      </c>
      <c r="C30" s="57">
        <f>IF(A30=" "," ",+B30*I29)</f>
        <v>1641721.9782691582</v>
      </c>
      <c r="D30" s="57">
        <f>+E30-C30</f>
        <v>3708704.6239817794</v>
      </c>
      <c r="E30" s="57">
        <f>IF(A30=" "," ",+J29)</f>
        <v>5350426.6022509374</v>
      </c>
      <c r="F30" s="57">
        <f>+B30-D30</f>
        <v>94022537.261274204</v>
      </c>
      <c r="G30" s="11">
        <v>0.10858</v>
      </c>
      <c r="H30" s="52">
        <f>IF(A30=" "," ",+H29)</f>
        <v>9.2999999999999999E-2</v>
      </c>
      <c r="I30" s="58">
        <f>IF(A30=" "," ",((G30+H30)/12))</f>
        <v>1.6798333333333332E-2</v>
      </c>
      <c r="J30" s="59">
        <f>PMT(I30,K30,-F30,0)</f>
        <v>5350426.6022509374</v>
      </c>
      <c r="K30" s="60">
        <f>IF(A27=" "," ",+$B$2-A30)</f>
        <v>21</v>
      </c>
      <c r="L30">
        <f>IF(A30&lt;&gt;" ",+L29," ")</f>
        <v>16</v>
      </c>
      <c r="M30">
        <f>IF(AND(A30&lt;&gt;" ")*(M29=12),1,1+M29)</f>
        <v>9</v>
      </c>
      <c r="N30">
        <f>IF(AND(A30&lt;&gt;" ")*(M30=1),1+N29,N29)</f>
        <v>2028</v>
      </c>
    </row>
    <row r="31" spans="1:26">
      <c r="A31" s="63">
        <f>IF(AND(A30&lt;$B$2)*(A30&lt;&gt;0),1+A30," ")</f>
        <v>28</v>
      </c>
      <c r="B31" s="57">
        <f>IF(A31=" "," ",+F30)</f>
        <v>94022537.261274204</v>
      </c>
      <c r="C31" s="57">
        <f>IF(A31=" "," ",+B31*I30)</f>
        <v>1579421.9217606378</v>
      </c>
      <c r="D31" s="57">
        <f>+E31-C31</f>
        <v>3771004.6804902996</v>
      </c>
      <c r="E31" s="57">
        <f>IF(A31=" "," ",+J30)</f>
        <v>5350426.6022509374</v>
      </c>
      <c r="F31" s="57">
        <f>+B31-D31</f>
        <v>90251532.580783904</v>
      </c>
      <c r="G31" s="11">
        <v>0.10858</v>
      </c>
      <c r="H31" s="52">
        <f>IF(A31=" "," ",+H30)</f>
        <v>9.2999999999999999E-2</v>
      </c>
      <c r="I31" s="58">
        <f>IF(A31=" "," ",((G31+H31)/12))</f>
        <v>1.6798333333333332E-2</v>
      </c>
      <c r="J31" s="59">
        <f>PMT(I31,K31,-F31,0)</f>
        <v>5350426.6022509374</v>
      </c>
      <c r="K31" s="60">
        <f>IF(A28=" "," ",+$B$2-A31)</f>
        <v>20</v>
      </c>
      <c r="L31">
        <f>IF(A31&lt;&gt;" ",+L30," ")</f>
        <v>16</v>
      </c>
      <c r="M31">
        <f>IF(AND(A31&lt;&gt;" ")*(M30=12),1,1+M30)</f>
        <v>10</v>
      </c>
      <c r="N31">
        <f>IF(AND(A31&lt;&gt;" ")*(M31=1),1+N30,N30)</f>
        <v>2028</v>
      </c>
    </row>
    <row r="32" spans="1:26">
      <c r="A32" s="63">
        <f>IF(AND(A31&lt;$B$2)*(A31&lt;&gt;0),1+A31," ")</f>
        <v>29</v>
      </c>
      <c r="B32" s="57">
        <f>IF(A32=" "," ",+F31)</f>
        <v>90251532.580783904</v>
      </c>
      <c r="C32" s="57">
        <f>IF(A32=" "," ",+B32*I31)</f>
        <v>1516075.3281362015</v>
      </c>
      <c r="D32" s="57">
        <f>+E32-C32</f>
        <v>3834351.2741147359</v>
      </c>
      <c r="E32" s="57">
        <f>IF(A32=" "," ",+J31)</f>
        <v>5350426.6022509374</v>
      </c>
      <c r="F32" s="57">
        <f>+B32-D32</f>
        <v>86417181.306669161</v>
      </c>
      <c r="G32" s="11">
        <v>0.10858</v>
      </c>
      <c r="H32" s="52">
        <f>IF(A32=" "," ",+H31)</f>
        <v>9.2999999999999999E-2</v>
      </c>
      <c r="I32" s="58">
        <f>IF(A32=" "," ",((G32+H32)/12))</f>
        <v>1.6798333333333332E-2</v>
      </c>
      <c r="J32" s="59">
        <f>PMT(I32,K32,-F32,0)</f>
        <v>5350426.6022509374</v>
      </c>
      <c r="K32" s="60">
        <f>IF(A29=" "," ",+$B$2-A32)</f>
        <v>19</v>
      </c>
      <c r="L32">
        <f>IF(A32&lt;&gt;" ",+L31," ")</f>
        <v>16</v>
      </c>
      <c r="M32">
        <f>IF(AND(A32&lt;&gt;" ")*(M31=12),1,1+M31)</f>
        <v>11</v>
      </c>
      <c r="N32">
        <f>IF(AND(A32&lt;&gt;" ")*(M32=1),1+N31,N31)</f>
        <v>2028</v>
      </c>
    </row>
    <row r="33" spans="1:14">
      <c r="A33" s="63">
        <f>IF(AND(A32&lt;$B$2)*(A32&lt;&gt;0),1+A32," ")</f>
        <v>30</v>
      </c>
      <c r="B33" s="57">
        <f>IF(A33=" "," ",+F32)</f>
        <v>86417181.306669161</v>
      </c>
      <c r="C33" s="57">
        <f>IF(A33=" "," ",+B33*I32)</f>
        <v>1451664.6173165306</v>
      </c>
      <c r="D33" s="57">
        <f>+E33-C33</f>
        <v>3898761.9849344068</v>
      </c>
      <c r="E33" s="57">
        <f>IF(A33=" "," ",+J32)</f>
        <v>5350426.6022509374</v>
      </c>
      <c r="F33" s="57">
        <f>+B33-D33</f>
        <v>82518419.321734756</v>
      </c>
      <c r="G33" s="11">
        <v>0.10858</v>
      </c>
      <c r="H33" s="52">
        <f>IF(A33=" "," ",+H32)</f>
        <v>9.2999999999999999E-2</v>
      </c>
      <c r="I33" s="58">
        <f>IF(A33=" "," ",((G33+H33)/12))</f>
        <v>1.6798333333333332E-2</v>
      </c>
      <c r="J33" s="59">
        <f>PMT(I33,K33,-F33,0)</f>
        <v>5350426.6022509383</v>
      </c>
      <c r="K33" s="60">
        <f>IF(A30=" "," ",+$B$2-A33)</f>
        <v>18</v>
      </c>
      <c r="L33">
        <f>IF(A33&lt;&gt;" ",+L32," ")</f>
        <v>16</v>
      </c>
      <c r="M33">
        <f>IF(AND(A33&lt;&gt;" ")*(M32=12),1,1+M32)</f>
        <v>12</v>
      </c>
      <c r="N33">
        <f>IF(AND(A33&lt;&gt;" ")*(M33=1),1+N32,N32)</f>
        <v>2028</v>
      </c>
    </row>
    <row r="34" spans="1:14">
      <c r="A34" s="63">
        <f>IF(AND(A33&lt;$B$2)*(A33&lt;&gt;0),1+A33," ")</f>
        <v>31</v>
      </c>
      <c r="B34" s="57">
        <f>IF(A34=" "," ",+F33)</f>
        <v>82518419.321734756</v>
      </c>
      <c r="C34" s="57">
        <f>IF(A34=" "," ",+B34*I33)</f>
        <v>1386171.9139062741</v>
      </c>
      <c r="D34" s="57">
        <f>+E34-C34</f>
        <v>3964254.6883446639</v>
      </c>
      <c r="E34" s="57">
        <f>IF(A34=" "," ",+J33)</f>
        <v>5350426.6022509383</v>
      </c>
      <c r="F34" s="57">
        <f>+B34-D34</f>
        <v>78554164.633390099</v>
      </c>
      <c r="G34" s="11">
        <v>0.10858</v>
      </c>
      <c r="H34" s="52">
        <f>IF(A34=" "," ",+H33)</f>
        <v>9.2999999999999999E-2</v>
      </c>
      <c r="I34" s="58">
        <f>IF(A34=" "," ",((G34+H34)/12))</f>
        <v>1.6798333333333332E-2</v>
      </c>
      <c r="J34" s="59">
        <f>PMT(I34,K34,-F34,0)</f>
        <v>5350426.6022509374</v>
      </c>
      <c r="K34" s="60">
        <f>IF(A31=" "," ",+$B$2-A34)</f>
        <v>17</v>
      </c>
      <c r="L34">
        <f>IF(A34&lt;&gt;" ",+L33," ")</f>
        <v>16</v>
      </c>
      <c r="M34">
        <f>IF(AND(A34&lt;&gt;" ")*(M33=12),1,1+M33)</f>
        <v>1</v>
      </c>
      <c r="N34">
        <f>IF(AND(A34&lt;&gt;" ")*(M34=1),1+N33,N33)</f>
        <v>2029</v>
      </c>
    </row>
    <row r="35" spans="1:14">
      <c r="A35" s="63">
        <f>IF(AND(A34&lt;$B$2)*(A34&lt;&gt;0),1+A34," ")</f>
        <v>32</v>
      </c>
      <c r="B35" s="57">
        <f>IF(A35=" "," ",+F34)</f>
        <v>78554164.633390099</v>
      </c>
      <c r="C35" s="57">
        <f>IF(A35=" "," ",+B35*I34)</f>
        <v>1319579.0422332312</v>
      </c>
      <c r="D35" s="57">
        <f>+E35-C35</f>
        <v>4030847.5600177059</v>
      </c>
      <c r="E35" s="57">
        <f>IF(A35=" "," ",+J34)</f>
        <v>5350426.6022509374</v>
      </c>
      <c r="F35" s="57">
        <f>+B35-D35</f>
        <v>74523317.073372394</v>
      </c>
      <c r="G35" s="11">
        <v>0.10858</v>
      </c>
      <c r="H35" s="52">
        <f>IF(A35=" "," ",+H34)</f>
        <v>9.2999999999999999E-2</v>
      </c>
      <c r="I35" s="58">
        <f>IF(A35=" "," ",((G35+H35)/12))</f>
        <v>1.6798333333333332E-2</v>
      </c>
      <c r="J35" s="59">
        <f>PMT(I35,K35,-F35,0)</f>
        <v>5350426.6022509383</v>
      </c>
      <c r="K35" s="60">
        <f>IF(A32=" "," ",+$B$2-A35)</f>
        <v>16</v>
      </c>
      <c r="L35">
        <f>IF(A35&lt;&gt;" ",+L34," ")</f>
        <v>16</v>
      </c>
      <c r="M35">
        <f>IF(AND(A35&lt;&gt;" ")*(M34=12),1,1+M34)</f>
        <v>2</v>
      </c>
      <c r="N35">
        <f>IF(AND(A35&lt;&gt;" ")*(M35=1),1+N34,N34)</f>
        <v>2029</v>
      </c>
    </row>
    <row r="36" spans="1:14">
      <c r="A36" s="63">
        <f>IF(AND(A35&lt;$B$2)*(A35&lt;&gt;0),1+A35," ")</f>
        <v>33</v>
      </c>
      <c r="B36" s="57">
        <f>IF(A36=" "," ",+F35)</f>
        <v>74523317.073372394</v>
      </c>
      <c r="C36" s="57">
        <f>IF(A36=" "," ",+B36*I35)</f>
        <v>1251867.5213042004</v>
      </c>
      <c r="D36" s="57">
        <f>+E36-C36</f>
        <v>4098559.0809467379</v>
      </c>
      <c r="E36" s="57">
        <f>IF(A36=" "," ",+J35)</f>
        <v>5350426.6022509383</v>
      </c>
      <c r="F36" s="57">
        <f>+B36-D36</f>
        <v>70424757.99242565</v>
      </c>
      <c r="G36" s="11">
        <v>0.10858</v>
      </c>
      <c r="H36" s="52">
        <f>IF(A36=" "," ",+H35)</f>
        <v>9.2999999999999999E-2</v>
      </c>
      <c r="I36" s="58">
        <f>IF(A36=" "," ",((G36+H36)/12))</f>
        <v>1.6798333333333332E-2</v>
      </c>
      <c r="J36" s="59">
        <f>PMT(I36,K36,-F36,0)</f>
        <v>5350426.6022509374</v>
      </c>
      <c r="K36" s="60">
        <f>IF(A33=" "," ",+$B$2-A36)</f>
        <v>15</v>
      </c>
      <c r="L36">
        <f>IF(A36&lt;&gt;" ",+L35," ")</f>
        <v>16</v>
      </c>
      <c r="M36">
        <f>IF(AND(A36&lt;&gt;" ")*(M35=12),1,1+M35)</f>
        <v>3</v>
      </c>
      <c r="N36">
        <f>IF(AND(A36&lt;&gt;" ")*(M36=1),1+N35,N35)</f>
        <v>2029</v>
      </c>
    </row>
    <row r="37" spans="1:14">
      <c r="A37" s="63">
        <f>IF(AND(A36&lt;$B$2)*(A36&lt;&gt;0),1+A36," ")</f>
        <v>34</v>
      </c>
      <c r="B37" s="57">
        <f>IF(A37=" "," ",+F36)</f>
        <v>70424757.99242565</v>
      </c>
      <c r="C37" s="57">
        <f>IF(A37=" "," ",+B37*I36)</f>
        <v>1183018.5596760968</v>
      </c>
      <c r="D37" s="57">
        <f>+E37-C37</f>
        <v>4167408.0425748406</v>
      </c>
      <c r="E37" s="57">
        <f>IF(A37=" "," ",+J36)</f>
        <v>5350426.6022509374</v>
      </c>
      <c r="F37" s="57">
        <f>+B37-D37</f>
        <v>66257349.949850813</v>
      </c>
      <c r="G37" s="11">
        <v>0.10858</v>
      </c>
      <c r="H37" s="52">
        <f>IF(A37=" "," ",+H36)</f>
        <v>9.2999999999999999E-2</v>
      </c>
      <c r="I37" s="58">
        <f>IF(A37=" "," ",((G37+H37)/12))</f>
        <v>1.6798333333333332E-2</v>
      </c>
      <c r="J37" s="59">
        <f>PMT(I37,K37,-F37,0)</f>
        <v>5350426.6022509374</v>
      </c>
      <c r="K37" s="60">
        <f>IF(A34=" "," ",+$B$2-A37)</f>
        <v>14</v>
      </c>
      <c r="L37">
        <f>IF(A37&lt;&gt;" ",+L36," ")</f>
        <v>16</v>
      </c>
      <c r="M37">
        <f>IF(AND(A37&lt;&gt;" ")*(M36=12),1,1+M36)</f>
        <v>4</v>
      </c>
      <c r="N37">
        <f>IF(AND(A37&lt;&gt;" ")*(M37=1),1+N36,N36)</f>
        <v>2029</v>
      </c>
    </row>
    <row r="38" spans="1:14">
      <c r="A38" s="63">
        <f>IF(AND(A37&lt;$B$2)*(A37&lt;&gt;0),1+A37," ")</f>
        <v>35</v>
      </c>
      <c r="B38" s="57">
        <f>IF(A38=" "," ",+F37)</f>
        <v>66257349.949850813</v>
      </c>
      <c r="C38" s="57">
        <f>IF(A38=" "," ",+B38*I37)</f>
        <v>1113013.0502409104</v>
      </c>
      <c r="D38" s="57">
        <f>+E38-C38</f>
        <v>4237413.5520100268</v>
      </c>
      <c r="E38" s="57">
        <f>IF(A38=" "," ",+J37)</f>
        <v>5350426.6022509374</v>
      </c>
      <c r="F38" s="57">
        <f>+B38-D38</f>
        <v>62019936.397840783</v>
      </c>
      <c r="G38" s="11">
        <v>0.10858</v>
      </c>
      <c r="H38" s="52">
        <f>IF(A38=" "," ",+H37)</f>
        <v>9.2999999999999999E-2</v>
      </c>
      <c r="I38" s="58">
        <f>IF(A38=" "," ",((G38+H38)/12))</f>
        <v>1.6798333333333332E-2</v>
      </c>
      <c r="J38" s="59">
        <f>PMT(I38,K38,-F38,0)</f>
        <v>5350426.6022509374</v>
      </c>
      <c r="K38" s="60">
        <f>IF(A35=" "," ",+$B$2-A38)</f>
        <v>13</v>
      </c>
      <c r="L38">
        <f>IF(A38&lt;&gt;" ",+L37," ")</f>
        <v>16</v>
      </c>
      <c r="M38">
        <f>IF(AND(A38&lt;&gt;" ")*(M37=12),1,1+M37)</f>
        <v>5</v>
      </c>
      <c r="N38">
        <f>IF(AND(A38&lt;&gt;" ")*(M38=1),1+N37,N37)</f>
        <v>2029</v>
      </c>
    </row>
    <row r="39" spans="1:14">
      <c r="A39" s="63">
        <f>IF(AND(A38&lt;$B$2)*(A38&lt;&gt;0),1+A38," ")</f>
        <v>36</v>
      </c>
      <c r="B39" s="57">
        <f>IF(A39=" "," ",+F38)</f>
        <v>62019936.397840783</v>
      </c>
      <c r="C39" s="57">
        <f>IF(A39=" "," ",+B39*I38)</f>
        <v>1041831.564923062</v>
      </c>
      <c r="D39" s="57">
        <f>+E39-C39</f>
        <v>4308595.0373278754</v>
      </c>
      <c r="E39" s="57">
        <f>IF(A39=" "," ",+J38)</f>
        <v>5350426.6022509374</v>
      </c>
      <c r="F39" s="57">
        <f>+B39-D39</f>
        <v>57711341.360512905</v>
      </c>
      <c r="G39" s="11">
        <v>0.10858</v>
      </c>
      <c r="H39" s="52">
        <f>IF(A39=" "," ",+H38)</f>
        <v>9.2999999999999999E-2</v>
      </c>
      <c r="I39" s="58">
        <f>IF(A39=" "," ",((G39+H39)/12))</f>
        <v>1.6798333333333332E-2</v>
      </c>
      <c r="J39" s="59">
        <f>PMT(I39,K39,-F39,0)</f>
        <v>5350426.6022509383</v>
      </c>
      <c r="K39" s="60">
        <f>IF(A36=" "," ",+$B$2-A39)</f>
        <v>12</v>
      </c>
      <c r="L39">
        <f>IF(A39&lt;&gt;" ",+L38," ")</f>
        <v>16</v>
      </c>
      <c r="M39">
        <f>IF(AND(A39&lt;&gt;" ")*(M38=12),1,1+M38)</f>
        <v>6</v>
      </c>
      <c r="N39">
        <f>IF(AND(A39&lt;&gt;" ")*(M39=1),1+N38,N38)</f>
        <v>2029</v>
      </c>
    </row>
    <row r="40" spans="1:14">
      <c r="A40" s="63">
        <f>IF(AND(A39&lt;$B$2)*(A39&lt;&gt;0),1+A39," ")</f>
        <v>37</v>
      </c>
      <c r="B40" s="57">
        <f>IF(A40=" "," ",+F39)</f>
        <v>57711341.360512905</v>
      </c>
      <c r="C40" s="57">
        <f>IF(A40=" "," ",+B40*I39)</f>
        <v>969454.34928768256</v>
      </c>
      <c r="D40" s="57">
        <f>+E40-C40</f>
        <v>4380972.2529632561</v>
      </c>
      <c r="E40" s="57">
        <f>IF(A40=" "," ",+J39)</f>
        <v>5350426.6022509383</v>
      </c>
      <c r="F40" s="57">
        <f>+B40-D40</f>
        <v>53330369.107549652</v>
      </c>
      <c r="G40" s="11">
        <v>0.10858</v>
      </c>
      <c r="H40" s="52">
        <f>IF(A40=" "," ",+H39)</f>
        <v>9.2999999999999999E-2</v>
      </c>
      <c r="I40" s="58">
        <f>IF(A40=" "," ",((G40+H40)/12))</f>
        <v>1.6798333333333332E-2</v>
      </c>
      <c r="J40" s="59">
        <f>PMT(I40,K40,-F40,0)</f>
        <v>5350426.6022509374</v>
      </c>
      <c r="K40" s="60">
        <f>IF(A37=" "," ",+$B$2-A40)</f>
        <v>11</v>
      </c>
      <c r="L40">
        <f>IF(A40&lt;&gt;" ",+L39," ")</f>
        <v>16</v>
      </c>
      <c r="M40">
        <f>IF(AND(A40&lt;&gt;" ")*(M39=12),1,1+M39)</f>
        <v>7</v>
      </c>
      <c r="N40">
        <f>IF(AND(A40&lt;&gt;" ")*(M40=1),1+N39,N39)</f>
        <v>2029</v>
      </c>
    </row>
    <row r="41" spans="1:14">
      <c r="A41" s="63">
        <f>IF(AND(A40&lt;$B$2)*(A40&lt;&gt;0),1+A40," ")</f>
        <v>38</v>
      </c>
      <c r="B41" s="57">
        <f>IF(A41=" "," ",+F40)</f>
        <v>53330369.107549652</v>
      </c>
      <c r="C41" s="57">
        <f>IF(A41=" "," ",+B41*I40)</f>
        <v>895861.31705832144</v>
      </c>
      <c r="D41" s="57">
        <f>+E41-C41</f>
        <v>4454565.2851926163</v>
      </c>
      <c r="E41" s="57">
        <f>IF(A41=" "," ",+J40)</f>
        <v>5350426.6022509374</v>
      </c>
      <c r="F41" s="57">
        <f>+B41-D41</f>
        <v>48875803.822357036</v>
      </c>
      <c r="G41" s="11">
        <v>0.10858</v>
      </c>
      <c r="H41" s="52">
        <f>IF(A41=" "," ",+H40)</f>
        <v>9.2999999999999999E-2</v>
      </c>
      <c r="I41" s="58">
        <f>IF(A41=" "," ",((G41+H41)/12))</f>
        <v>1.6798333333333332E-2</v>
      </c>
      <c r="J41" s="59">
        <f>PMT(I41,K41,-F41,0)</f>
        <v>5350426.6022509374</v>
      </c>
      <c r="K41" s="60">
        <f>IF(A38=" "," ",+$B$2-A41)</f>
        <v>10</v>
      </c>
      <c r="L41">
        <f>IF(A41&lt;&gt;" ",+L40," ")</f>
        <v>16</v>
      </c>
      <c r="M41">
        <f>IF(AND(A41&lt;&gt;" ")*(M40=12),1,1+M40)</f>
        <v>8</v>
      </c>
      <c r="N41">
        <f>IF(AND(A41&lt;&gt;" ")*(M41=1),1+N40,N40)</f>
        <v>2029</v>
      </c>
    </row>
    <row r="42" spans="1:14">
      <c r="A42" s="63">
        <f>IF(AND(A41&lt;$B$2)*(A41&lt;&gt;0),1+A41," ")</f>
        <v>39</v>
      </c>
      <c r="B42" s="57">
        <f>IF(A42=" "," ",+F41)</f>
        <v>48875803.822357036</v>
      </c>
      <c r="C42" s="57">
        <f>IF(A42=" "," ",+B42*I41)</f>
        <v>821032.04454256082</v>
      </c>
      <c r="D42" s="57">
        <f>+E42-C42</f>
        <v>4529394.557708377</v>
      </c>
      <c r="E42" s="57">
        <f>IF(A42=" "," ",+J41)</f>
        <v>5350426.6022509374</v>
      </c>
      <c r="F42" s="57">
        <f>+B42-D42</f>
        <v>44346409.264648661</v>
      </c>
      <c r="G42" s="11">
        <v>0.10858</v>
      </c>
      <c r="H42" s="52">
        <f>IF(A42=" "," ",+H41)</f>
        <v>9.2999999999999999E-2</v>
      </c>
      <c r="I42" s="58">
        <f>IF(A42=" "," ",((G42+H42)/12))</f>
        <v>1.6798333333333332E-2</v>
      </c>
      <c r="J42" s="59">
        <f>PMT(I42,K42,-F42,0)</f>
        <v>5350426.6022509383</v>
      </c>
      <c r="K42" s="60">
        <f>IF(A39=" "," ",+$B$2-A42)</f>
        <v>9</v>
      </c>
      <c r="L42">
        <f>IF(A42&lt;&gt;" ",+L41," ")</f>
        <v>16</v>
      </c>
      <c r="M42">
        <f>IF(AND(A42&lt;&gt;" ")*(M41=12),1,1+M41)</f>
        <v>9</v>
      </c>
      <c r="N42">
        <f>IF(AND(A42&lt;&gt;" ")*(M42=1),1+N41,N41)</f>
        <v>2029</v>
      </c>
    </row>
    <row r="43" spans="1:14">
      <c r="A43" s="63">
        <f>IF(AND(A42&lt;$B$2)*(A42&lt;&gt;0),1+A42," ")</f>
        <v>40</v>
      </c>
      <c r="B43" s="57">
        <f>IF(A43=" "," ",+F42)</f>
        <v>44346409.264648661</v>
      </c>
      <c r="C43" s="57">
        <f>IF(A43=" "," ",+B43*I42)</f>
        <v>744945.76496398973</v>
      </c>
      <c r="D43" s="57">
        <f>+E43-C43</f>
        <v>4605480.8372869482</v>
      </c>
      <c r="E43" s="57">
        <f>IF(A43=" "," ",+J42)</f>
        <v>5350426.6022509383</v>
      </c>
      <c r="F43" s="57">
        <f>+B43-D43</f>
        <v>39740928.427361712</v>
      </c>
      <c r="G43" s="11">
        <v>0.10858</v>
      </c>
      <c r="H43" s="52">
        <f>IF(A43=" "," ",+H42)</f>
        <v>9.2999999999999999E-2</v>
      </c>
      <c r="I43" s="58">
        <f>IF(A43=" "," ",((G43+H43)/12))</f>
        <v>1.6798333333333332E-2</v>
      </c>
      <c r="J43" s="59">
        <f>PMT(I43,K43,-F43,0)</f>
        <v>5350426.6022509355</v>
      </c>
      <c r="K43" s="60">
        <f>IF(A40=" "," ",+$B$2-A43)</f>
        <v>8</v>
      </c>
      <c r="L43">
        <f>IF(A43&lt;&gt;" ",+L42," ")</f>
        <v>16</v>
      </c>
      <c r="M43">
        <f>IF(AND(A43&lt;&gt;" ")*(M42=12),1,1+M42)</f>
        <v>10</v>
      </c>
      <c r="N43">
        <f>IF(AND(A43&lt;&gt;" ")*(M43=1),1+N42,N42)</f>
        <v>2029</v>
      </c>
    </row>
    <row r="44" spans="1:14">
      <c r="A44" s="63">
        <f>IF(AND(A43&lt;$B$2)*(A43&lt;&gt;0),1+A43," ")</f>
        <v>41</v>
      </c>
      <c r="B44" s="57">
        <f>IF(A44=" "," ",+F43)</f>
        <v>39740928.427361712</v>
      </c>
      <c r="C44" s="57">
        <f>IF(A44=" "," ",+B44*I43)</f>
        <v>667581.36269896443</v>
      </c>
      <c r="D44" s="57">
        <f>+E44-C44</f>
        <v>4682845.2395519707</v>
      </c>
      <c r="E44" s="57">
        <f>IF(A44=" "," ",+J43)</f>
        <v>5350426.6022509355</v>
      </c>
      <c r="F44" s="57">
        <f>+B44-D44</f>
        <v>35058083.187809743</v>
      </c>
      <c r="G44" s="11">
        <v>0.10858</v>
      </c>
      <c r="H44" s="52">
        <f>IF(A44=" "," ",+H43)</f>
        <v>9.2999999999999999E-2</v>
      </c>
      <c r="I44" s="58">
        <f>IF(A44=" "," ",((G44+H44)/12))</f>
        <v>1.6798333333333332E-2</v>
      </c>
      <c r="J44" s="59">
        <f>PMT(I44,K44,-F44,0)</f>
        <v>5350426.6022509383</v>
      </c>
      <c r="K44" s="60">
        <f>IF(A41=" "," ",+$B$2-A44)</f>
        <v>7</v>
      </c>
      <c r="L44">
        <f>IF(A44&lt;&gt;" ",+L43," ")</f>
        <v>16</v>
      </c>
      <c r="M44">
        <f>IF(AND(A44&lt;&gt;" ")*(M43=12),1,1+M43)</f>
        <v>11</v>
      </c>
      <c r="N44">
        <f>IF(AND(A44&lt;&gt;" ")*(M44=1),1+N43,N43)</f>
        <v>2029</v>
      </c>
    </row>
    <row r="45" spans="1:14">
      <c r="A45" s="63">
        <f>IF(AND(A44&lt;$B$2)*(A44&lt;&gt;0),1+A44," ")</f>
        <v>42</v>
      </c>
      <c r="B45" s="57">
        <f>IF(A45=" "," ",+F44)</f>
        <v>35058083.187809743</v>
      </c>
      <c r="C45" s="57">
        <f>IF(A45=" "," ",+B45*I44)</f>
        <v>588917.36741655727</v>
      </c>
      <c r="D45" s="57">
        <f>+E45-C45</f>
        <v>4761509.2348343814</v>
      </c>
      <c r="E45" s="57">
        <f>IF(A45=" "," ",+J44)</f>
        <v>5350426.6022509383</v>
      </c>
      <c r="F45" s="57">
        <f>+B45-D45</f>
        <v>30296573.952975363</v>
      </c>
      <c r="G45" s="11">
        <v>0.10858</v>
      </c>
      <c r="H45" s="52">
        <f>IF(A45=" "," ",+H44)</f>
        <v>9.2999999999999999E-2</v>
      </c>
      <c r="I45" s="58">
        <f>IF(A45=" "," ",((G45+H45)/12))</f>
        <v>1.6798333333333332E-2</v>
      </c>
      <c r="J45" s="59">
        <f>PMT(I45,K45,-F45,0)</f>
        <v>5350426.6022509383</v>
      </c>
      <c r="K45" s="60">
        <f>IF(A42=" "," ",+$B$2-A45)</f>
        <v>6</v>
      </c>
      <c r="L45">
        <f>IF(A45&lt;&gt;" ",+L44," ")</f>
        <v>16</v>
      </c>
      <c r="M45">
        <f>IF(AND(A45&lt;&gt;" ")*(M44=12),1,1+M44)</f>
        <v>12</v>
      </c>
      <c r="N45">
        <f>IF(AND(A45&lt;&gt;" ")*(M45=1),1+N44,N44)</f>
        <v>2029</v>
      </c>
    </row>
    <row r="46" spans="1:14">
      <c r="A46" s="63">
        <f>IF(AND(A45&lt;$B$2)*(A45&lt;&gt;0),1+A45," ")</f>
        <v>43</v>
      </c>
      <c r="B46" s="57">
        <f>IF(A46=" "," ",+F45)</f>
        <v>30296573.952975363</v>
      </c>
      <c r="C46" s="57">
        <f>IF(A46=" "," ",+B46*I45)</f>
        <v>508931.94812006439</v>
      </c>
      <c r="D46" s="57">
        <f>+E46-C46</f>
        <v>4841494.6541308742</v>
      </c>
      <c r="E46" s="57">
        <f>IF(A46=" "," ",+J45)</f>
        <v>5350426.6022509383</v>
      </c>
      <c r="F46" s="57">
        <f>+B46-D46</f>
        <v>25455079.298844486</v>
      </c>
      <c r="G46" s="11">
        <v>0.10858</v>
      </c>
      <c r="H46" s="52">
        <f>IF(A46=" "," ",+H45)</f>
        <v>9.2999999999999999E-2</v>
      </c>
      <c r="I46" s="58">
        <f>IF(A46=" "," ",((G46+H46)/12))</f>
        <v>1.6798333333333332E-2</v>
      </c>
      <c r="J46" s="59">
        <f>PMT(I46,K46,-F46,0)</f>
        <v>5350426.6022509355</v>
      </c>
      <c r="K46" s="60">
        <f>IF(A43=" "," ",+$B$2-A46)</f>
        <v>5</v>
      </c>
      <c r="L46">
        <f>IF(A46&lt;&gt;" ",+L45," ")</f>
        <v>16</v>
      </c>
      <c r="M46">
        <f>IF(AND(A46&lt;&gt;" ")*(M45=12),1,1+M45)</f>
        <v>1</v>
      </c>
      <c r="N46">
        <f>IF(AND(A46&lt;&gt;" ")*(M46=1),1+N45,N45)</f>
        <v>2030</v>
      </c>
    </row>
    <row r="47" spans="1:14">
      <c r="A47" s="63">
        <f>IF(AND(A46&lt;$B$2)*(A46&lt;&gt;0),1+A46," ")</f>
        <v>44</v>
      </c>
      <c r="B47" s="57">
        <f>IF(A47=" "," ",+F46)</f>
        <v>25455079.298844486</v>
      </c>
      <c r="C47" s="57">
        <f>IF(A47=" "," ",+B47*I46)</f>
        <v>427602.90708842257</v>
      </c>
      <c r="D47" s="57">
        <f>+E47-C47</f>
        <v>4922823.6951625133</v>
      </c>
      <c r="E47" s="57">
        <f>IF(A47=" "," ",+J46)</f>
        <v>5350426.6022509355</v>
      </c>
      <c r="F47" s="57">
        <f>+B47-D47</f>
        <v>20532255.603681974</v>
      </c>
      <c r="G47" s="11">
        <v>0.10858</v>
      </c>
      <c r="H47" s="52">
        <f>IF(A47=" "," ",+H46)</f>
        <v>9.2999999999999999E-2</v>
      </c>
      <c r="I47" s="58">
        <f>IF(A47=" "," ",((G47+H47)/12))</f>
        <v>1.6798333333333332E-2</v>
      </c>
      <c r="J47" s="59">
        <f>PMT(I47,K47,-F47,0)</f>
        <v>5350426.6022509383</v>
      </c>
      <c r="K47" s="60">
        <f>IF(A44=" "," ",+$B$2-A47)</f>
        <v>4</v>
      </c>
      <c r="L47">
        <f>IF(A47&lt;&gt;" ",+L46," ")</f>
        <v>16</v>
      </c>
      <c r="M47">
        <f>IF(AND(A47&lt;&gt;" ")*(M46=12),1,1+M46)</f>
        <v>2</v>
      </c>
      <c r="N47">
        <f>IF(AND(A47&lt;&gt;" ")*(M47=1),1+N46,N46)</f>
        <v>2030</v>
      </c>
    </row>
    <row r="48" spans="1:14">
      <c r="A48" s="63">
        <f>IF(AND(A47&lt;$B$2)*(A47&lt;&gt;0),1+A47," ")</f>
        <v>45</v>
      </c>
      <c r="B48" s="57">
        <f>IF(A48=" "," ",+F47)</f>
        <v>20532255.603681974</v>
      </c>
      <c r="C48" s="57">
        <f>IF(A48=" "," ",+B48*I47)</f>
        <v>344907.67371585098</v>
      </c>
      <c r="D48" s="57">
        <f>+E48-C48</f>
        <v>5005518.928535087</v>
      </c>
      <c r="E48" s="57">
        <f>IF(A48=" "," ",+J47)</f>
        <v>5350426.6022509383</v>
      </c>
      <c r="F48" s="57">
        <f>+B48-D48</f>
        <v>15526736.675146887</v>
      </c>
      <c r="G48" s="11">
        <v>0.10858</v>
      </c>
      <c r="H48" s="52">
        <f>IF(A48=" "," ",+H47)</f>
        <v>9.2999999999999999E-2</v>
      </c>
      <c r="I48" s="58">
        <f>IF(A48=" "," ",((G48+H48)/12))</f>
        <v>1.6798333333333332E-2</v>
      </c>
      <c r="J48" s="59">
        <f>PMT(I48,K48,-F48,0)</f>
        <v>5350426.6022509383</v>
      </c>
      <c r="K48" s="60">
        <f>IF(A45=" "," ",+$B$2-A48)</f>
        <v>3</v>
      </c>
      <c r="L48">
        <f>IF(A48&lt;&gt;" ",+L47," ")</f>
        <v>16</v>
      </c>
      <c r="M48">
        <f>IF(AND(A48&lt;&gt;" ")*(M47=12),1,1+M47)</f>
        <v>3</v>
      </c>
      <c r="N48">
        <f>IF(AND(A48&lt;&gt;" ")*(M48=1),1+N47,N47)</f>
        <v>2030</v>
      </c>
    </row>
    <row r="49" spans="1:14">
      <c r="A49" s="63">
        <f>IF(AND(A48&lt;$B$2)*(A48&lt;&gt;0),1+A48," ")</f>
        <v>46</v>
      </c>
      <c r="B49" s="57">
        <f>IF(A49=" "," ",+F48)</f>
        <v>15526736.675146887</v>
      </c>
      <c r="C49" s="57">
        <f>IF(A49=" "," ",+B49*I48)</f>
        <v>260823.29824800909</v>
      </c>
      <c r="D49" s="57">
        <f>+E49-C49</f>
        <v>5089603.3040029295</v>
      </c>
      <c r="E49" s="57">
        <f>IF(A49=" "," ",+J48)</f>
        <v>5350426.6022509383</v>
      </c>
      <c r="F49" s="57">
        <f>+B49-D49</f>
        <v>10437133.371143958</v>
      </c>
      <c r="G49" s="11">
        <v>0.10858</v>
      </c>
      <c r="H49" s="52">
        <f>IF(A49=" "," ",+H48)</f>
        <v>9.2999999999999999E-2</v>
      </c>
      <c r="I49" s="58">
        <f>IF(A49=" "," ",((G49+H49)/12))</f>
        <v>1.6798333333333332E-2</v>
      </c>
      <c r="J49" s="59">
        <f>PMT(I49,K49,-F49,0)</f>
        <v>5350426.6022509355</v>
      </c>
      <c r="K49" s="60">
        <f>IF(A46=" "," ",+$B$2-A49)</f>
        <v>2</v>
      </c>
      <c r="L49">
        <f>IF(A49&lt;&gt;" ",+L48," ")</f>
        <v>16</v>
      </c>
      <c r="M49">
        <f>IF(AND(A49&lt;&gt;" ")*(M48=12),1,1+M48)</f>
        <v>4</v>
      </c>
      <c r="N49">
        <f>IF(AND(A49&lt;&gt;" ")*(M49=1),1+N48,N48)</f>
        <v>2030</v>
      </c>
    </row>
    <row r="50" spans="1:14">
      <c r="A50" s="63">
        <f>IF(AND(A49&lt;$B$2)*(A49&lt;&gt;0),1+A49," ")</f>
        <v>47</v>
      </c>
      <c r="B50" s="57">
        <f>IF(A50=" "," ",+F49)</f>
        <v>10437133.371143958</v>
      </c>
      <c r="C50" s="57">
        <f>IF(A50=" "," ",+B50*I49)</f>
        <v>175326.44541293324</v>
      </c>
      <c r="D50" s="57">
        <f>+E50-C50</f>
        <v>5175100.1568380026</v>
      </c>
      <c r="E50" s="57">
        <f>IF(A50=" "," ",+J49)</f>
        <v>5350426.6022509355</v>
      </c>
      <c r="F50" s="57">
        <f>+B50-D50</f>
        <v>5262033.214305955</v>
      </c>
      <c r="G50" s="11">
        <v>0.10858</v>
      </c>
      <c r="H50" s="52">
        <f>IF(A50=" "," ",+H49)</f>
        <v>9.2999999999999999E-2</v>
      </c>
      <c r="I50" s="58">
        <f>IF(A50=" "," ",((G50+H50)/12))</f>
        <v>1.6798333333333332E-2</v>
      </c>
      <c r="J50" s="59">
        <f>PMT(I50,K50,-F50,0)</f>
        <v>5350426.6022509374</v>
      </c>
      <c r="K50" s="60">
        <f>IF(A47=" "," ",+$B$2-A50)</f>
        <v>1</v>
      </c>
      <c r="L50">
        <f>IF(A50&lt;&gt;" ",+L49," ")</f>
        <v>16</v>
      </c>
      <c r="M50">
        <f>IF(AND(A50&lt;&gt;" ")*(M49=12),1,1+M49)</f>
        <v>5</v>
      </c>
      <c r="N50">
        <f>IF(AND(A50&lt;&gt;" ")*(M50=1),1+N49,N49)</f>
        <v>2030</v>
      </c>
    </row>
    <row r="51" spans="1:14">
      <c r="A51" s="63">
        <f>IF(AND(A50&lt;$B$2)*(A50&lt;&gt;0),1+A50," ")</f>
        <v>48</v>
      </c>
      <c r="B51" s="57">
        <f>IF(A51=" "," ",+F50)</f>
        <v>5262033.214305955</v>
      </c>
      <c r="C51" s="57">
        <f>IF(A51=" "," ",+B51*I50)</f>
        <v>88393.387944982853</v>
      </c>
      <c r="D51" s="57">
        <f>+E51-C51</f>
        <v>5262033.2143059541</v>
      </c>
      <c r="E51" s="57">
        <f>IF(A51=" "," ",+J50)</f>
        <v>5350426.6022509374</v>
      </c>
      <c r="F51" s="57">
        <f>+B51-D51</f>
        <v>0</v>
      </c>
      <c r="G51" s="11">
        <v>0.10858</v>
      </c>
      <c r="H51" s="52">
        <f>IF(A51=" "," ",+H50)</f>
        <v>9.2999999999999999E-2</v>
      </c>
      <c r="I51" s="58">
        <f>IF(A51=" "," ",((G51+H51)/12))</f>
        <v>1.6798333333333332E-2</v>
      </c>
      <c r="J51" s="59" t="e">
        <f>PMT(I51,K51,-F51,0)</f>
        <v>#NUM!</v>
      </c>
      <c r="K51" s="60">
        <f>IF(A48=" "," ",+$B$2-A51)</f>
        <v>0</v>
      </c>
      <c r="L51">
        <f>IF(A51&lt;&gt;" ",+L50," ")</f>
        <v>16</v>
      </c>
      <c r="M51">
        <f>IF(AND(A51&lt;&gt;" ")*(M50=12),1,1+M50)</f>
        <v>6</v>
      </c>
      <c r="N51">
        <f>IF(AND(A51&lt;&gt;" ")*(M51=1),1+N50,N50)</f>
        <v>2030</v>
      </c>
    </row>
  </sheetData>
  <mergeCells count="1">
    <mergeCell ref="Q2:W2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showGridLines="0" workbookViewId="0">
      <selection activeCell="B20" sqref="B20"/>
    </sheetView>
  </sheetViews>
  <sheetFormatPr defaultColWidth="11.42578125" defaultRowHeight="14.45"/>
  <cols>
    <col min="2" max="2" width="14.5703125" bestFit="1" customWidth="1"/>
    <col min="3" max="3" width="16.28515625" bestFit="1" customWidth="1"/>
    <col min="4" max="4" width="14.5703125" bestFit="1" customWidth="1"/>
  </cols>
  <sheetData>
    <row r="1" spans="1:4" ht="15" customHeight="1" thickBot="1"/>
    <row r="2" spans="1:4" ht="15" customHeight="1" thickBot="1">
      <c r="A2" s="79" t="s">
        <v>23</v>
      </c>
      <c r="B2" s="84"/>
      <c r="C2" s="84"/>
      <c r="D2" s="85"/>
    </row>
    <row r="3" spans="1:4" ht="26.45" customHeight="1">
      <c r="A3" s="23" t="s">
        <v>36</v>
      </c>
      <c r="B3" s="16" t="s">
        <v>37</v>
      </c>
      <c r="C3" s="17" t="s">
        <v>38</v>
      </c>
      <c r="D3" s="24" t="s">
        <v>41</v>
      </c>
    </row>
    <row r="4" spans="1:4">
      <c r="A4" s="25"/>
      <c r="B4" s="22"/>
      <c r="C4" s="22"/>
      <c r="D4" s="26"/>
    </row>
    <row r="5" spans="1:4">
      <c r="A5" s="25"/>
      <c r="B5" s="22"/>
      <c r="C5" s="22"/>
      <c r="D5" s="27"/>
    </row>
    <row r="6" spans="1:4" ht="15" customHeight="1" thickBot="1">
      <c r="A6" s="28"/>
      <c r="B6" s="29"/>
      <c r="C6" s="30"/>
      <c r="D6" s="31"/>
    </row>
  </sheetData>
  <mergeCells count="1">
    <mergeCell ref="A2:D2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J18"/>
  <sheetViews>
    <sheetView workbookViewId="0">
      <selection activeCell="B20" sqref="B20"/>
    </sheetView>
  </sheetViews>
  <sheetFormatPr defaultColWidth="11.42578125" defaultRowHeight="14.45"/>
  <cols>
    <col min="1" max="4" width="13.5703125" bestFit="1" customWidth="1"/>
    <col min="6" max="6" width="13.5703125" customWidth="1"/>
    <col min="8" max="11" width="13.5703125" bestFit="1" customWidth="1"/>
  </cols>
  <sheetData>
    <row r="2" spans="1:10">
      <c r="A2" s="81" t="s">
        <v>43</v>
      </c>
      <c r="B2" s="86"/>
      <c r="C2" s="86"/>
      <c r="D2" s="87"/>
      <c r="G2" s="80" t="s">
        <v>44</v>
      </c>
      <c r="H2" s="86"/>
      <c r="I2" s="86"/>
      <c r="J2" s="87"/>
    </row>
    <row r="4" spans="1:10" ht="26.45" customHeight="1">
      <c r="A4" s="41" t="s">
        <v>36</v>
      </c>
      <c r="B4" s="42" t="s">
        <v>37</v>
      </c>
      <c r="C4" s="43" t="s">
        <v>38</v>
      </c>
      <c r="D4" s="49" t="s">
        <v>41</v>
      </c>
      <c r="F4" s="44" t="s">
        <v>45</v>
      </c>
      <c r="G4" s="44" t="s">
        <v>36</v>
      </c>
      <c r="H4" s="45" t="s">
        <v>37</v>
      </c>
      <c r="I4" s="46" t="s">
        <v>38</v>
      </c>
      <c r="J4" s="46" t="s">
        <v>46</v>
      </c>
    </row>
    <row r="5" spans="1:10">
      <c r="A5" s="48">
        <v>45092</v>
      </c>
      <c r="B5" s="22">
        <v>11579428</v>
      </c>
      <c r="C5" s="22">
        <v>5047163</v>
      </c>
      <c r="D5" s="22">
        <f>+C5+B5</f>
        <v>16626591</v>
      </c>
      <c r="F5" s="47">
        <v>1</v>
      </c>
      <c r="G5" s="36">
        <v>45092</v>
      </c>
      <c r="H5" s="18">
        <v>11579428</v>
      </c>
      <c r="I5" s="18">
        <v>5047163</v>
      </c>
      <c r="J5" s="38">
        <f>+H5+I5</f>
        <v>16626591</v>
      </c>
    </row>
    <row r="6" spans="1:10">
      <c r="A6" s="36">
        <v>45121</v>
      </c>
      <c r="B6" s="22">
        <v>11095536</v>
      </c>
      <c r="C6" s="50">
        <v>5531054</v>
      </c>
      <c r="D6" s="22">
        <f>+C6+B6</f>
        <v>16626590</v>
      </c>
      <c r="F6" s="35">
        <v>2</v>
      </c>
      <c r="G6" s="36">
        <v>45122</v>
      </c>
      <c r="H6" s="22">
        <v>11478140</v>
      </c>
      <c r="I6" s="22">
        <v>5148450</v>
      </c>
      <c r="J6" s="38">
        <f>SUM(H6:I6)</f>
        <v>16626590</v>
      </c>
    </row>
    <row r="7" spans="1:10">
      <c r="A7" s="36">
        <v>45153</v>
      </c>
      <c r="B7" s="22"/>
      <c r="C7" s="22"/>
      <c r="D7" s="22">
        <f>+C7+B7</f>
        <v>0</v>
      </c>
      <c r="F7" s="35">
        <v>3</v>
      </c>
      <c r="G7" s="36">
        <v>45153</v>
      </c>
      <c r="H7" s="22">
        <v>11368085</v>
      </c>
      <c r="I7" s="22">
        <v>5247935</v>
      </c>
      <c r="J7" s="38">
        <f>SUM(H7:I7)</f>
        <v>16616020</v>
      </c>
    </row>
    <row r="8" spans="1:10">
      <c r="A8" s="37"/>
      <c r="B8" s="39"/>
      <c r="C8" s="38"/>
      <c r="D8" s="38"/>
    </row>
    <row r="11" spans="1:10">
      <c r="A11" s="82" t="s">
        <v>47</v>
      </c>
      <c r="B11" s="86"/>
      <c r="C11" s="86"/>
      <c r="D11" s="87"/>
    </row>
    <row r="13" spans="1:10">
      <c r="A13" s="40">
        <v>45047</v>
      </c>
      <c r="B13" s="40">
        <v>45078</v>
      </c>
      <c r="C13" s="40">
        <v>45108</v>
      </c>
    </row>
    <row r="14" spans="1:10">
      <c r="A14" s="21">
        <v>5789714.166666666</v>
      </c>
      <c r="B14" s="21">
        <v>5789714</v>
      </c>
      <c r="C14" s="21">
        <v>5356465.8998543695</v>
      </c>
    </row>
    <row r="15" spans="1:10">
      <c r="A15" s="33"/>
      <c r="B15" s="34">
        <v>5739070.1001456305</v>
      </c>
      <c r="C15" s="34">
        <v>5684042.6006204812</v>
      </c>
    </row>
    <row r="16" spans="1:10">
      <c r="A16" s="21">
        <f>SUM(A14:A15)</f>
        <v>5789714.166666666</v>
      </c>
      <c r="B16" s="21">
        <f>SUM(B14:B15)</f>
        <v>11528784.100145631</v>
      </c>
      <c r="C16" s="21">
        <f>SUM(C14:C15)</f>
        <v>11040508.500474852</v>
      </c>
    </row>
    <row r="18" spans="1:2">
      <c r="A18" s="21">
        <f>+A16+B14</f>
        <v>11579428.166666666</v>
      </c>
      <c r="B18" s="21">
        <f>+B15+C14</f>
        <v>11095536</v>
      </c>
    </row>
  </sheetData>
  <mergeCells count="3">
    <mergeCell ref="G2:J2"/>
    <mergeCell ref="A2:D2"/>
    <mergeCell ref="A11:D11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3"/>
  <sheetViews>
    <sheetView workbookViewId="0"/>
  </sheetViews>
  <sheetFormatPr defaultRowHeight="15"/>
  <sheetData>
    <row r="1" spans="1:21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  <c r="S1" t="s">
        <v>66</v>
      </c>
      <c r="T1" t="s">
        <v>67</v>
      </c>
      <c r="U1" t="s">
        <v>68</v>
      </c>
    </row>
    <row r="2" spans="1:21">
      <c r="A2" t="s">
        <v>69</v>
      </c>
      <c r="B2" t="s">
        <v>70</v>
      </c>
      <c r="C2" t="s">
        <v>71</v>
      </c>
      <c r="D2" t="s">
        <v>72</v>
      </c>
      <c r="E2">
        <v>13</v>
      </c>
      <c r="F2" t="s">
        <v>73</v>
      </c>
      <c r="G2" t="s">
        <v>74</v>
      </c>
      <c r="H2" t="s">
        <v>75</v>
      </c>
      <c r="I2" t="s">
        <v>76</v>
      </c>
      <c r="J2">
        <v>13</v>
      </c>
      <c r="K2">
        <v>5</v>
      </c>
      <c r="L2" t="s">
        <v>77</v>
      </c>
      <c r="M2" t="s">
        <v>78</v>
      </c>
      <c r="N2" t="s">
        <v>73</v>
      </c>
      <c r="O2" t="s">
        <v>79</v>
      </c>
      <c r="Q2" t="s">
        <v>80</v>
      </c>
      <c r="R2" t="s">
        <v>79</v>
      </c>
      <c r="S2" t="s">
        <v>81</v>
      </c>
      <c r="T2" t="s">
        <v>82</v>
      </c>
      <c r="U2" t="s">
        <v>83</v>
      </c>
    </row>
    <row r="3" spans="1:21">
      <c r="A3" t="s">
        <v>69</v>
      </c>
      <c r="B3" t="s">
        <v>70</v>
      </c>
      <c r="C3" t="s">
        <v>71</v>
      </c>
      <c r="D3" t="s">
        <v>72</v>
      </c>
      <c r="E3">
        <v>14</v>
      </c>
      <c r="F3" t="s">
        <v>73</v>
      </c>
      <c r="G3" t="s">
        <v>74</v>
      </c>
      <c r="H3" t="s">
        <v>84</v>
      </c>
      <c r="I3" t="s">
        <v>85</v>
      </c>
      <c r="J3">
        <v>14</v>
      </c>
      <c r="K3">
        <v>5</v>
      </c>
      <c r="L3" t="s">
        <v>86</v>
      </c>
      <c r="M3" t="s">
        <v>87</v>
      </c>
      <c r="N3" t="s">
        <v>73</v>
      </c>
      <c r="O3" t="s">
        <v>79</v>
      </c>
      <c r="Q3" t="s">
        <v>80</v>
      </c>
      <c r="R3" t="s">
        <v>79</v>
      </c>
      <c r="S3" t="s">
        <v>81</v>
      </c>
      <c r="T3" t="s">
        <v>82</v>
      </c>
      <c r="U3" t="s">
        <v>83</v>
      </c>
    </row>
  </sheetData>
  <sheetProtection password="CE4B" sheet="1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bb3be2b-1d28-4a79-823f-3d35cca8c796">
      <Terms xmlns="http://schemas.microsoft.com/office/infopath/2007/PartnerControls"/>
    </lcf76f155ced4ddcb4097134ff3c332f>
    <TaxCatchAll xmlns="348462d5-9b69-49df-b051-096e4d35777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EB548CF78B9C4C8997815F625FE7C4" ma:contentTypeVersion="16" ma:contentTypeDescription="Crear nuevo documento." ma:contentTypeScope="" ma:versionID="934f90ff112016b79a310032fd3b4e0c">
  <xsd:schema xmlns:xsd="http://www.w3.org/2001/XMLSchema" xmlns:xs="http://www.w3.org/2001/XMLSchema" xmlns:p="http://schemas.microsoft.com/office/2006/metadata/properties" xmlns:ns2="bbb3be2b-1d28-4a79-823f-3d35cca8c796" xmlns:ns3="348462d5-9b69-49df-b051-096e4d35777a" targetNamespace="http://schemas.microsoft.com/office/2006/metadata/properties" ma:root="true" ma:fieldsID="b83ca870ae91e6870454ebee6942bb0e" ns2:_="" ns3:_="">
    <xsd:import namespace="bbb3be2b-1d28-4a79-823f-3d35cca8c796"/>
    <xsd:import namespace="348462d5-9b69-49df-b051-096e4d3577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b3be2b-1d28-4a79-823f-3d35cca8c7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13321937-4ffa-421c-9d6b-54e966a39f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8462d5-9b69-49df-b051-096e4d35777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1a82ae70-afd5-41f4-a214-3d4431bdc45b}" ma:internalName="TaxCatchAll" ma:showField="CatchAllData" ma:web="348462d5-9b69-49df-b051-096e4d3577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A9A163-4192-4067-AA42-AD0654CA63CB}"/>
</file>

<file path=customXml/itemProps2.xml><?xml version="1.0" encoding="utf-8"?>
<ds:datastoreItem xmlns:ds="http://schemas.openxmlformats.org/officeDocument/2006/customXml" ds:itemID="{33CF60E7-BA55-488D-A07C-4351D4A42209}"/>
</file>

<file path=customXml/itemProps3.xml><?xml version="1.0" encoding="utf-8"?>
<ds:datastoreItem xmlns:ds="http://schemas.openxmlformats.org/officeDocument/2006/customXml" ds:itemID="{BA7F76F2-2D2B-4AF4-A4D1-419B42610D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Torres</dc:creator>
  <cp:keywords/>
  <dc:description/>
  <cp:lastModifiedBy/>
  <cp:revision/>
  <dcterms:created xsi:type="dcterms:W3CDTF">2022-09-29T19:09:30Z</dcterms:created>
  <dcterms:modified xsi:type="dcterms:W3CDTF">2026-08-21T10:57:53Z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0x0101006FEB548CF78B9C4C8997815F625FE7C4</vt:lpwstr>
  </property>
  <property fmtid="{D5CDD505-2E9C-101B-9397-08002B2CF9AE}" pid="3" name="MediaServiceImageTags">
    <vt:lpwstr/>
  </property>
</Properties>
</file>