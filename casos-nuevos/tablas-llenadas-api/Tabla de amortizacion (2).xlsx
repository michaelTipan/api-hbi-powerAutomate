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A57FDC26-A327-4D2F-BA5B-AABA039B987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saImplicita" sheetId="1" state="hidden" r:id="rId1"/>
    <sheet name="SERVIPETROLEOS" sheetId="2" r:id="rId2"/>
    <sheet name="Hoja2" sheetId="3" r:id="rId3"/>
    <sheet name="Hoja1" sheetId="4" r:id="rId4"/>
    <sheet name="Hoja3" sheetId="5" r:id="rId5"/>
    <sheet name="Hoja4" sheetId="6" r:id="rId6"/>
    <sheet name="_AUTOMATION_LOG" sheetId="7" r:id="rId7"/>
  </sheets>
  <calcPr calcId="191028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5" l="1"/>
  <c r="B9" i="4"/>
  <c r="E9" i="4" s="1"/>
  <c r="C8" i="4"/>
  <c r="B8" i="4"/>
  <c r="E8" i="4" s="1"/>
  <c r="E7" i="4"/>
  <c r="F6" i="4"/>
  <c r="F7" i="4" s="1"/>
  <c r="F8" i="4" s="1"/>
  <c r="F9" i="4" s="1"/>
  <c r="E6" i="4"/>
  <c r="D10" i="3"/>
  <c r="D12" i="3" s="1"/>
  <c r="B10" i="3"/>
  <c r="C9" i="3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AC62" i="2"/>
  <c r="AC61" i="2"/>
  <c r="U56" i="2"/>
  <c r="AJ55" i="2"/>
  <c r="Z55" i="2"/>
  <c r="U55" i="2"/>
  <c r="U54" i="2"/>
  <c r="U53" i="2"/>
  <c r="U52" i="2"/>
  <c r="U51" i="2"/>
  <c r="U50" i="2"/>
  <c r="Z49" i="2"/>
  <c r="Y49" i="2"/>
  <c r="U49" i="2"/>
  <c r="AD48" i="2"/>
  <c r="U48" i="2"/>
  <c r="U47" i="2"/>
  <c r="AJ46" i="2"/>
  <c r="AH46" i="2"/>
  <c r="AE46" i="2"/>
  <c r="U46" i="2"/>
  <c r="U45" i="2"/>
  <c r="AD44" i="2"/>
  <c r="AB44" i="2"/>
  <c r="AB55" i="2" s="1"/>
  <c r="U44" i="2"/>
  <c r="U43" i="2"/>
  <c r="AI42" i="2"/>
  <c r="U42" i="2"/>
  <c r="U41" i="2"/>
  <c r="G41" i="2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U40" i="2"/>
  <c r="O40" i="2"/>
  <c r="P40" i="2" s="1"/>
  <c r="AF67" i="2" s="1"/>
  <c r="U39" i="2"/>
  <c r="O39" i="2"/>
  <c r="U38" i="2"/>
  <c r="O38" i="2"/>
  <c r="U37" i="2"/>
  <c r="O37" i="2"/>
  <c r="D37" i="2"/>
  <c r="Z36" i="2"/>
  <c r="U36" i="2"/>
  <c r="O36" i="2"/>
  <c r="D36" i="2"/>
  <c r="O35" i="2"/>
  <c r="D35" i="2"/>
  <c r="O34" i="2"/>
  <c r="D34" i="2"/>
  <c r="U33" i="2"/>
  <c r="O33" i="2"/>
  <c r="D33" i="2"/>
  <c r="U32" i="2"/>
  <c r="O32" i="2"/>
  <c r="D32" i="2"/>
  <c r="U31" i="2"/>
  <c r="O31" i="2"/>
  <c r="D31" i="2"/>
  <c r="U30" i="2"/>
  <c r="O30" i="2"/>
  <c r="D30" i="2"/>
  <c r="AB29" i="2"/>
  <c r="AA29" i="2"/>
  <c r="Z29" i="2"/>
  <c r="U29" i="2"/>
  <c r="O29" i="2"/>
  <c r="D29" i="2"/>
  <c r="U28" i="2"/>
  <c r="O28" i="2"/>
  <c r="D28" i="2"/>
  <c r="U27" i="2"/>
  <c r="O27" i="2"/>
  <c r="D27" i="2"/>
  <c r="U26" i="2"/>
  <c r="U25" i="2"/>
  <c r="AC29" i="2" s="1"/>
  <c r="U24" i="2"/>
  <c r="U23" i="2"/>
  <c r="D23" i="2"/>
  <c r="U22" i="2"/>
  <c r="D22" i="2"/>
  <c r="U21" i="2"/>
  <c r="D21" i="2"/>
  <c r="U20" i="2"/>
  <c r="D20" i="2"/>
  <c r="AD19" i="2"/>
  <c r="R19" i="2"/>
  <c r="D19" i="2"/>
  <c r="R18" i="2"/>
  <c r="D18" i="2"/>
  <c r="U17" i="2"/>
  <c r="D17" i="2"/>
  <c r="U16" i="2"/>
  <c r="D16" i="2"/>
  <c r="U15" i="2"/>
  <c r="O15" i="2"/>
  <c r="P15" i="2" s="1"/>
  <c r="AK43" i="2" s="1"/>
  <c r="D15" i="2"/>
  <c r="U14" i="2"/>
  <c r="O14" i="2"/>
  <c r="U13" i="2"/>
  <c r="U12" i="2"/>
  <c r="O12" i="2"/>
  <c r="P12" i="2" s="1"/>
  <c r="AG43" i="2" s="1"/>
  <c r="U11" i="2"/>
  <c r="O11" i="2"/>
  <c r="P11" i="2" s="1"/>
  <c r="AF43" i="2" s="1"/>
  <c r="U10" i="2"/>
  <c r="O10" i="2"/>
  <c r="U9" i="2"/>
  <c r="U8" i="2"/>
  <c r="R7" i="2"/>
  <c r="AB6" i="2"/>
  <c r="S6" i="2"/>
  <c r="R6" i="2"/>
  <c r="A6" i="2"/>
  <c r="S5" i="2"/>
  <c r="U5" i="2" s="1"/>
  <c r="M5" i="2"/>
  <c r="N5" i="2" s="1"/>
  <c r="L5" i="2"/>
  <c r="K5" i="2"/>
  <c r="V4" i="2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U4" i="2"/>
  <c r="K4" i="2"/>
  <c r="H4" i="2"/>
  <c r="B4" i="2"/>
  <c r="O2" i="2"/>
  <c r="F1" i="2"/>
  <c r="F2" i="2" s="1"/>
  <c r="E4" i="2" s="1"/>
  <c r="F4" i="2" l="1"/>
  <c r="B5" i="2" s="1"/>
  <c r="C4" i="2"/>
  <c r="H5" i="2"/>
  <c r="I5" i="2" s="1"/>
  <c r="I4" i="2"/>
  <c r="J4" i="2" s="1"/>
  <c r="E5" i="2" s="1"/>
  <c r="A7" i="2"/>
  <c r="M6" i="2"/>
  <c r="N6" i="2" s="1"/>
  <c r="L6" i="2"/>
  <c r="K6" i="2"/>
  <c r="H6" i="2"/>
  <c r="I6" i="2" s="1"/>
  <c r="AA49" i="2"/>
  <c r="U6" i="2"/>
  <c r="AC42" i="2"/>
  <c r="AB47" i="2" s="1"/>
  <c r="AB50" i="2" s="1"/>
  <c r="AB53" i="2" s="1"/>
  <c r="U7" i="2"/>
  <c r="AE43" i="2"/>
  <c r="AE47" i="2" s="1"/>
  <c r="AE42" i="2"/>
  <c r="P10" i="2"/>
  <c r="AF44" i="2"/>
  <c r="AH42" i="2"/>
  <c r="AJ43" i="2"/>
  <c r="AJ44" i="2" s="1"/>
  <c r="P14" i="2"/>
  <c r="AK44" i="2"/>
  <c r="AL42" i="2"/>
  <c r="U18" i="2"/>
  <c r="U19" i="2"/>
  <c r="AX42" i="2"/>
  <c r="P27" i="2"/>
  <c r="AW43" i="2" s="1"/>
  <c r="AY42" i="2"/>
  <c r="P28" i="2"/>
  <c r="AX43" i="2" s="1"/>
  <c r="AZ42" i="2"/>
  <c r="P29" i="2"/>
  <c r="AY43" i="2" s="1"/>
  <c r="BA42" i="2"/>
  <c r="P30" i="2"/>
  <c r="AZ43" i="2" s="1"/>
  <c r="BB42" i="2"/>
  <c r="P31" i="2"/>
  <c r="BA43" i="2" s="1"/>
  <c r="Y66" i="2"/>
  <c r="P32" i="2"/>
  <c r="BB43" i="2" s="1"/>
  <c r="Z66" i="2"/>
  <c r="P33" i="2"/>
  <c r="Y67" i="2" s="1"/>
  <c r="AA66" i="2"/>
  <c r="P34" i="2"/>
  <c r="Z67" i="2" s="1"/>
  <c r="AB66" i="2"/>
  <c r="P35" i="2"/>
  <c r="AA67" i="2" s="1"/>
  <c r="AC66" i="2"/>
  <c r="P36" i="2"/>
  <c r="AB67" i="2" s="1"/>
  <c r="AD66" i="2"/>
  <c r="P37" i="2"/>
  <c r="AC67" i="2" s="1"/>
  <c r="AE66" i="2"/>
  <c r="P38" i="2"/>
  <c r="AD67" i="2" s="1"/>
  <c r="AF66" i="2"/>
  <c r="AF68" i="2" s="1"/>
  <c r="P39" i="2"/>
  <c r="AE67" i="2" s="1"/>
  <c r="AI46" i="2"/>
  <c r="AI44" i="2"/>
  <c r="AD55" i="2"/>
  <c r="AD46" i="2"/>
  <c r="C12" i="1"/>
  <c r="A14" i="1"/>
  <c r="B13" i="1"/>
  <c r="C10" i="3"/>
  <c r="E9" i="3"/>
  <c r="B11" i="3"/>
  <c r="B12" i="3" s="1"/>
  <c r="E10" i="3"/>
  <c r="E12" i="3" l="1"/>
  <c r="C11" i="3"/>
  <c r="O21" i="2"/>
  <c r="C12" i="3"/>
  <c r="C13" i="1"/>
  <c r="A15" i="1"/>
  <c r="C14" i="1"/>
  <c r="B14" i="1"/>
  <c r="AE68" i="2"/>
  <c r="AD68" i="2"/>
  <c r="AC68" i="2"/>
  <c r="AB68" i="2"/>
  <c r="AA68" i="2"/>
  <c r="Z68" i="2"/>
  <c r="Y68" i="2"/>
  <c r="BB44" i="2"/>
  <c r="BA44" i="2"/>
  <c r="AZ44" i="2"/>
  <c r="AY44" i="2"/>
  <c r="AX44" i="2"/>
  <c r="AD21" i="2"/>
  <c r="AK46" i="2"/>
  <c r="AH44" i="2"/>
  <c r="AG46" i="2"/>
  <c r="AD47" i="2"/>
  <c r="AD50" i="2" s="1"/>
  <c r="AD51" i="2" s="1"/>
  <c r="AE44" i="2"/>
  <c r="AF48" i="2" s="1"/>
  <c r="AG42" i="2" s="1"/>
  <c r="A8" i="2"/>
  <c r="M7" i="2"/>
  <c r="N7" i="2" s="1"/>
  <c r="L7" i="2"/>
  <c r="K7" i="2"/>
  <c r="H7" i="2"/>
  <c r="I7" i="2" s="1"/>
  <c r="P4" i="2"/>
  <c r="Y42" i="2" s="1"/>
  <c r="O4" i="2"/>
  <c r="F5" i="2"/>
  <c r="C5" i="2"/>
  <c r="P5" i="2" l="1"/>
  <c r="O5" i="2"/>
  <c r="B6" i="2"/>
  <c r="J5" i="2"/>
  <c r="E6" i="2" s="1"/>
  <c r="Y44" i="2"/>
  <c r="Z42" i="2"/>
  <c r="A9" i="2"/>
  <c r="M8" i="2"/>
  <c r="N8" i="2" s="1"/>
  <c r="L8" i="2"/>
  <c r="K8" i="2"/>
  <c r="H8" i="2"/>
  <c r="I8" i="2" s="1"/>
  <c r="AG44" i="2"/>
  <c r="AF47" i="2"/>
  <c r="AF46" i="2"/>
  <c r="AD53" i="2"/>
  <c r="AF51" i="2"/>
  <c r="A16" i="1"/>
  <c r="C15" i="1"/>
  <c r="B15" i="1"/>
  <c r="AQ39" i="2"/>
  <c r="AR38" i="2"/>
  <c r="P21" i="2"/>
  <c r="AQ43" i="2" s="1"/>
  <c r="AR42" i="2" l="1"/>
  <c r="AQ46" i="2" s="1"/>
  <c r="A17" i="1"/>
  <c r="C16" i="1"/>
  <c r="B16" i="1"/>
  <c r="A10" i="2"/>
  <c r="M9" i="2"/>
  <c r="N9" i="2" s="1"/>
  <c r="L9" i="2"/>
  <c r="H9" i="2"/>
  <c r="I9" i="2" s="1"/>
  <c r="K9" i="2"/>
  <c r="Z46" i="2"/>
  <c r="Y47" i="2"/>
  <c r="Y50" i="2" s="1"/>
  <c r="F6" i="2"/>
  <c r="C6" i="2"/>
  <c r="AA43" i="2"/>
  <c r="AA47" i="2" s="1"/>
  <c r="AA50" i="2" s="1"/>
  <c r="Z43" i="2"/>
  <c r="Z44" i="2" l="1"/>
  <c r="P6" i="2"/>
  <c r="O6" i="2"/>
  <c r="J6" i="2"/>
  <c r="E7" i="2" s="1"/>
  <c r="B7" i="2"/>
  <c r="A11" i="2"/>
  <c r="M10" i="2"/>
  <c r="N10" i="2" s="1"/>
  <c r="L10" i="2"/>
  <c r="H10" i="2"/>
  <c r="I10" i="2" s="1"/>
  <c r="K10" i="2"/>
  <c r="A18" i="1"/>
  <c r="C17" i="1"/>
  <c r="B17" i="1"/>
  <c r="A19" i="1" l="1"/>
  <c r="C18" i="1"/>
  <c r="B18" i="1"/>
  <c r="A12" i="2"/>
  <c r="M11" i="2"/>
  <c r="N11" i="2" s="1"/>
  <c r="L11" i="2"/>
  <c r="H11" i="2"/>
  <c r="I11" i="2" s="1"/>
  <c r="K11" i="2"/>
  <c r="F7" i="2"/>
  <c r="C7" i="2"/>
  <c r="O7" i="2" s="1"/>
  <c r="P7" i="2" s="1"/>
  <c r="Z50" i="2"/>
  <c r="AA42" i="2"/>
  <c r="AA44" i="2" l="1"/>
  <c r="AA55" i="2" s="1"/>
  <c r="AA56" i="2" s="1"/>
  <c r="AB56" i="2" s="1"/>
  <c r="AB58" i="2" s="1"/>
  <c r="Z47" i="2"/>
  <c r="J7" i="2"/>
  <c r="E8" i="2" s="1"/>
  <c r="B8" i="2"/>
  <c r="A13" i="2"/>
  <c r="M12" i="2"/>
  <c r="N12" i="2" s="1"/>
  <c r="L12" i="2"/>
  <c r="H12" i="2"/>
  <c r="I12" i="2" s="1"/>
  <c r="K12" i="2"/>
  <c r="A20" i="1"/>
  <c r="C19" i="1"/>
  <c r="B19" i="1"/>
  <c r="A21" i="1" l="1"/>
  <c r="C20" i="1"/>
  <c r="B20" i="1"/>
  <c r="A14" i="2"/>
  <c r="M13" i="2"/>
  <c r="N13" i="2" s="1"/>
  <c r="L13" i="2"/>
  <c r="H13" i="2"/>
  <c r="I13" i="2" s="1"/>
  <c r="K13" i="2"/>
  <c r="F8" i="2"/>
  <c r="C8" i="2"/>
  <c r="O8" i="2" s="1"/>
  <c r="AC43" i="2" l="1"/>
  <c r="P8" i="2"/>
  <c r="J8" i="2"/>
  <c r="E9" i="2" s="1"/>
  <c r="B9" i="2"/>
  <c r="A15" i="2"/>
  <c r="M14" i="2"/>
  <c r="N14" i="2" s="1"/>
  <c r="L14" i="2"/>
  <c r="H14" i="2"/>
  <c r="I14" i="2" s="1"/>
  <c r="K14" i="2"/>
  <c r="A22" i="1"/>
  <c r="C21" i="1"/>
  <c r="B21" i="1"/>
  <c r="A23" i="1" l="1"/>
  <c r="C22" i="1"/>
  <c r="B22" i="1"/>
  <c r="A16" i="2"/>
  <c r="M15" i="2"/>
  <c r="N15" i="2" s="1"/>
  <c r="L15" i="2"/>
  <c r="H15" i="2"/>
  <c r="I15" i="2" s="1"/>
  <c r="K15" i="2"/>
  <c r="F9" i="2"/>
  <c r="C9" i="2"/>
  <c r="O9" i="2" s="1"/>
  <c r="P9" i="2" s="1"/>
  <c r="AC47" i="2"/>
  <c r="AC50" i="2" s="1"/>
  <c r="AC44" i="2"/>
  <c r="AC55" i="2" s="1"/>
  <c r="J9" i="2" l="1"/>
  <c r="E10" i="2" s="1"/>
  <c r="B10" i="2"/>
  <c r="A17" i="2"/>
  <c r="M16" i="2"/>
  <c r="N16" i="2" s="1"/>
  <c r="L16" i="2"/>
  <c r="H16" i="2"/>
  <c r="I16" i="2" s="1"/>
  <c r="K16" i="2"/>
  <c r="A24" i="1"/>
  <c r="C23" i="1"/>
  <c r="B23" i="1"/>
  <c r="A25" i="1" l="1"/>
  <c r="C24" i="1"/>
  <c r="B24" i="1"/>
  <c r="A18" i="2"/>
  <c r="M17" i="2"/>
  <c r="N17" i="2" s="1"/>
  <c r="L17" i="2"/>
  <c r="H17" i="2"/>
  <c r="I17" i="2" s="1"/>
  <c r="K17" i="2"/>
  <c r="F10" i="2"/>
  <c r="C10" i="2"/>
  <c r="J10" i="2" l="1"/>
  <c r="E11" i="2" s="1"/>
  <c r="B11" i="2"/>
  <c r="A19" i="2"/>
  <c r="M18" i="2"/>
  <c r="N18" i="2" s="1"/>
  <c r="L18" i="2"/>
  <c r="H18" i="2"/>
  <c r="I18" i="2" s="1"/>
  <c r="K18" i="2"/>
  <c r="A26" i="1"/>
  <c r="C25" i="1"/>
  <c r="B25" i="1"/>
  <c r="A27" i="1" l="1"/>
  <c r="C26" i="1"/>
  <c r="B26" i="1"/>
  <c r="A20" i="2"/>
  <c r="M19" i="2"/>
  <c r="N19" i="2" s="1"/>
  <c r="L19" i="2"/>
  <c r="H19" i="2"/>
  <c r="I19" i="2" s="1"/>
  <c r="K19" i="2"/>
  <c r="F11" i="2"/>
  <c r="C11" i="2"/>
  <c r="J11" i="2" l="1"/>
  <c r="E12" i="2" s="1"/>
  <c r="B12" i="2"/>
  <c r="A21" i="2"/>
  <c r="M20" i="2"/>
  <c r="N20" i="2" s="1"/>
  <c r="L20" i="2"/>
  <c r="H20" i="2"/>
  <c r="I20" i="2" s="1"/>
  <c r="K20" i="2"/>
  <c r="A28" i="1"/>
  <c r="C27" i="1"/>
  <c r="B27" i="1"/>
  <c r="A29" i="1" l="1"/>
  <c r="C28" i="1"/>
  <c r="B28" i="1"/>
  <c r="A22" i="2"/>
  <c r="M21" i="2"/>
  <c r="N21" i="2" s="1"/>
  <c r="L21" i="2"/>
  <c r="H21" i="2"/>
  <c r="I21" i="2" s="1"/>
  <c r="K21" i="2"/>
  <c r="F12" i="2"/>
  <c r="C12" i="2"/>
  <c r="J12" i="2" l="1"/>
  <c r="E13" i="2" s="1"/>
  <c r="B13" i="2"/>
  <c r="A23" i="2"/>
  <c r="M22" i="2"/>
  <c r="N22" i="2" s="1"/>
  <c r="L22" i="2"/>
  <c r="H22" i="2"/>
  <c r="I22" i="2" s="1"/>
  <c r="K22" i="2"/>
  <c r="A30" i="1"/>
  <c r="C29" i="1"/>
  <c r="B29" i="1"/>
  <c r="A31" i="1" l="1"/>
  <c r="C30" i="1"/>
  <c r="B30" i="1"/>
  <c r="A24" i="2"/>
  <c r="M23" i="2"/>
  <c r="N23" i="2" s="1"/>
  <c r="L23" i="2"/>
  <c r="H23" i="2"/>
  <c r="I23" i="2" s="1"/>
  <c r="K23" i="2"/>
  <c r="F13" i="2"/>
  <c r="C13" i="2"/>
  <c r="O13" i="2" s="1"/>
  <c r="P13" i="2" s="1"/>
  <c r="J13" i="2" l="1"/>
  <c r="E14" i="2" s="1"/>
  <c r="B14" i="2"/>
  <c r="A25" i="2"/>
  <c r="M24" i="2"/>
  <c r="N24" i="2" s="1"/>
  <c r="L24" i="2"/>
  <c r="H24" i="2"/>
  <c r="I24" i="2" s="1"/>
  <c r="K24" i="2"/>
  <c r="A32" i="1"/>
  <c r="C31" i="1"/>
  <c r="B31" i="1"/>
  <c r="A33" i="1" l="1"/>
  <c r="C32" i="1"/>
  <c r="B32" i="1"/>
  <c r="A26" i="2"/>
  <c r="M25" i="2"/>
  <c r="N25" i="2" s="1"/>
  <c r="L25" i="2"/>
  <c r="H25" i="2"/>
  <c r="I25" i="2" s="1"/>
  <c r="K25" i="2"/>
  <c r="F14" i="2"/>
  <c r="C14" i="2"/>
  <c r="J14" i="2" l="1"/>
  <c r="E15" i="2" s="1"/>
  <c r="B15" i="2"/>
  <c r="A27" i="2"/>
  <c r="M26" i="2"/>
  <c r="N26" i="2" s="1"/>
  <c r="L26" i="2"/>
  <c r="H26" i="2"/>
  <c r="I26" i="2" s="1"/>
  <c r="K26" i="2"/>
  <c r="A34" i="1"/>
  <c r="C33" i="1"/>
  <c r="B33" i="1"/>
  <c r="A35" i="1" l="1"/>
  <c r="C34" i="1"/>
  <c r="B34" i="1"/>
  <c r="A28" i="2"/>
  <c r="M27" i="2"/>
  <c r="N27" i="2" s="1"/>
  <c r="L27" i="2"/>
  <c r="H27" i="2"/>
  <c r="I27" i="2" s="1"/>
  <c r="K27" i="2"/>
  <c r="F15" i="2"/>
  <c r="C15" i="2"/>
  <c r="J15" i="2" l="1"/>
  <c r="E16" i="2" s="1"/>
  <c r="B16" i="2"/>
  <c r="A29" i="2"/>
  <c r="M28" i="2"/>
  <c r="N28" i="2" s="1"/>
  <c r="L28" i="2"/>
  <c r="H28" i="2"/>
  <c r="I28" i="2" s="1"/>
  <c r="K28" i="2"/>
  <c r="A36" i="1"/>
  <c r="C35" i="1"/>
  <c r="B35" i="1"/>
  <c r="A37" i="1" l="1"/>
  <c r="C36" i="1"/>
  <c r="B36" i="1"/>
  <c r="A30" i="2"/>
  <c r="M29" i="2"/>
  <c r="N29" i="2" s="1"/>
  <c r="L29" i="2"/>
  <c r="H29" i="2"/>
  <c r="I29" i="2" s="1"/>
  <c r="K29" i="2"/>
  <c r="F16" i="2"/>
  <c r="C16" i="2"/>
  <c r="O16" i="2" s="1"/>
  <c r="Z16" i="2" l="1"/>
  <c r="P16" i="2"/>
  <c r="J16" i="2"/>
  <c r="E17" i="2" s="1"/>
  <c r="B17" i="2"/>
  <c r="A31" i="2"/>
  <c r="M30" i="2"/>
  <c r="N30" i="2" s="1"/>
  <c r="L30" i="2"/>
  <c r="H30" i="2"/>
  <c r="I30" i="2" s="1"/>
  <c r="K30" i="2"/>
  <c r="A38" i="1"/>
  <c r="C37" i="1"/>
  <c r="B37" i="1"/>
  <c r="A39" i="1" l="1"/>
  <c r="C38" i="1"/>
  <c r="B38" i="1"/>
  <c r="A32" i="2"/>
  <c r="M31" i="2"/>
  <c r="N31" i="2" s="1"/>
  <c r="L31" i="2"/>
  <c r="H31" i="2"/>
  <c r="I31" i="2" s="1"/>
  <c r="K31" i="2"/>
  <c r="F17" i="2"/>
  <c r="C17" i="2"/>
  <c r="O17" i="2" s="1"/>
  <c r="AL43" i="2"/>
  <c r="AM42" i="2"/>
  <c r="AE20" i="2" l="1"/>
  <c r="AL46" i="2"/>
  <c r="AL44" i="2"/>
  <c r="AL45" i="2" s="1"/>
  <c r="AM40" i="2"/>
  <c r="P17" i="2"/>
  <c r="J17" i="2"/>
  <c r="E18" i="2" s="1"/>
  <c r="B18" i="2"/>
  <c r="A33" i="2"/>
  <c r="M32" i="2"/>
  <c r="N32" i="2" s="1"/>
  <c r="L32" i="2"/>
  <c r="H32" i="2"/>
  <c r="I32" i="2" s="1"/>
  <c r="K32" i="2"/>
  <c r="A40" i="1"/>
  <c r="C39" i="1"/>
  <c r="B39" i="1"/>
  <c r="A41" i="1" l="1"/>
  <c r="C40" i="1"/>
  <c r="B40" i="1"/>
  <c r="A34" i="2"/>
  <c r="M33" i="2"/>
  <c r="N33" i="2" s="1"/>
  <c r="L33" i="2"/>
  <c r="H33" i="2"/>
  <c r="I33" i="2" s="1"/>
  <c r="K33" i="2"/>
  <c r="F18" i="2"/>
  <c r="C18" i="2"/>
  <c r="O18" i="2" s="1"/>
  <c r="P18" i="2" s="1"/>
  <c r="AN43" i="2" s="1"/>
  <c r="AM43" i="2"/>
  <c r="AN42" i="2"/>
  <c r="AN44" i="2" l="1"/>
  <c r="AF20" i="2"/>
  <c r="AM46" i="2"/>
  <c r="AE21" i="2"/>
  <c r="AM44" i="2"/>
  <c r="AO42" i="2"/>
  <c r="AN46" i="2" s="1"/>
  <c r="AF21" i="2"/>
  <c r="J18" i="2"/>
  <c r="E19" i="2" s="1"/>
  <c r="B19" i="2"/>
  <c r="A35" i="2"/>
  <c r="M34" i="2"/>
  <c r="N34" i="2" s="1"/>
  <c r="L34" i="2"/>
  <c r="H34" i="2"/>
  <c r="I34" i="2" s="1"/>
  <c r="K34" i="2"/>
  <c r="A42" i="1"/>
  <c r="C41" i="1"/>
  <c r="B41" i="1"/>
  <c r="A43" i="1" l="1"/>
  <c r="C42" i="1"/>
  <c r="B42" i="1"/>
  <c r="A36" i="2"/>
  <c r="M35" i="2"/>
  <c r="N35" i="2" s="1"/>
  <c r="L35" i="2"/>
  <c r="H35" i="2"/>
  <c r="I35" i="2" s="1"/>
  <c r="K35" i="2"/>
  <c r="F19" i="2"/>
  <c r="C19" i="2"/>
  <c r="O19" i="2" s="1"/>
  <c r="P19" i="2" s="1"/>
  <c r="AO43" i="2" s="1"/>
  <c r="AO44" i="2" l="1"/>
  <c r="AO45" i="2" s="1"/>
  <c r="AP42" i="2"/>
  <c r="J19" i="2"/>
  <c r="E20" i="2" s="1"/>
  <c r="B20" i="2"/>
  <c r="A37" i="2"/>
  <c r="M36" i="2"/>
  <c r="N36" i="2" s="1"/>
  <c r="L36" i="2"/>
  <c r="H36" i="2"/>
  <c r="I36" i="2" s="1"/>
  <c r="K36" i="2"/>
  <c r="A44" i="1"/>
  <c r="C43" i="1"/>
  <c r="B43" i="1"/>
  <c r="A45" i="1" l="1"/>
  <c r="C44" i="1"/>
  <c r="B44" i="1"/>
  <c r="A38" i="2"/>
  <c r="M37" i="2"/>
  <c r="N37" i="2" s="1"/>
  <c r="L37" i="2"/>
  <c r="H37" i="2"/>
  <c r="I37" i="2" s="1"/>
  <c r="K37" i="2"/>
  <c r="F20" i="2"/>
  <c r="C20" i="2"/>
  <c r="AO46" i="2"/>
  <c r="O20" i="2" l="1"/>
  <c r="J20" i="2"/>
  <c r="E21" i="2" s="1"/>
  <c r="B21" i="2"/>
  <c r="A39" i="2"/>
  <c r="M38" i="2"/>
  <c r="N38" i="2" s="1"/>
  <c r="L38" i="2"/>
  <c r="H38" i="2"/>
  <c r="I38" i="2" s="1"/>
  <c r="K38" i="2"/>
  <c r="A46" i="1"/>
  <c r="C45" i="1"/>
  <c r="B45" i="1"/>
  <c r="A47" i="1" l="1"/>
  <c r="C46" i="1"/>
  <c r="B46" i="1"/>
  <c r="A40" i="2"/>
  <c r="M39" i="2"/>
  <c r="N39" i="2" s="1"/>
  <c r="L39" i="2"/>
  <c r="H39" i="2"/>
  <c r="I39" i="2" s="1"/>
  <c r="K39" i="2"/>
  <c r="F21" i="2"/>
  <c r="C21" i="2"/>
  <c r="AQ38" i="2"/>
  <c r="P20" i="2"/>
  <c r="AP43" i="2" s="1"/>
  <c r="AP44" i="2" l="1"/>
  <c r="AQ42" i="2"/>
  <c r="J21" i="2"/>
  <c r="E22" i="2" s="1"/>
  <c r="B22" i="2"/>
  <c r="A41" i="2"/>
  <c r="M40" i="2"/>
  <c r="N40" i="2" s="1"/>
  <c r="L40" i="2"/>
  <c r="H40" i="2"/>
  <c r="I40" i="2" s="1"/>
  <c r="K40" i="2"/>
  <c r="A48" i="1"/>
  <c r="C47" i="1"/>
  <c r="B47" i="1"/>
  <c r="A49" i="1" l="1"/>
  <c r="C48" i="1"/>
  <c r="B48" i="1"/>
  <c r="A42" i="2"/>
  <c r="M41" i="2"/>
  <c r="N41" i="2" s="1"/>
  <c r="L41" i="2"/>
  <c r="H41" i="2"/>
  <c r="I41" i="2" s="1"/>
  <c r="K41" i="2"/>
  <c r="F22" i="2"/>
  <c r="C22" i="2"/>
  <c r="AQ44" i="2"/>
  <c r="AP46" i="2"/>
  <c r="O22" i="2" l="1"/>
  <c r="J22" i="2"/>
  <c r="E23" i="2" s="1"/>
  <c r="B23" i="2"/>
  <c r="A43" i="2"/>
  <c r="M42" i="2"/>
  <c r="N42" i="2" s="1"/>
  <c r="L42" i="2"/>
  <c r="H42" i="2"/>
  <c r="I42" i="2" s="1"/>
  <c r="K42" i="2"/>
  <c r="A50" i="1"/>
  <c r="C49" i="1"/>
  <c r="B49" i="1"/>
  <c r="A51" i="1" l="1"/>
  <c r="C50" i="1"/>
  <c r="B50" i="1"/>
  <c r="A44" i="2"/>
  <c r="M43" i="2"/>
  <c r="N43" i="2" s="1"/>
  <c r="L43" i="2"/>
  <c r="H43" i="2"/>
  <c r="I43" i="2" s="1"/>
  <c r="K43" i="2"/>
  <c r="F23" i="2"/>
  <c r="C23" i="2"/>
  <c r="O23" i="2" s="1"/>
  <c r="AR39" i="2"/>
  <c r="AS38" i="2"/>
  <c r="P22" i="2"/>
  <c r="AR43" i="2" s="1"/>
  <c r="AR44" i="2" l="1"/>
  <c r="AS42" i="2"/>
  <c r="AR46" i="2" s="1"/>
  <c r="AS39" i="2"/>
  <c r="P23" i="2"/>
  <c r="AS43" i="2" s="1"/>
  <c r="J23" i="2"/>
  <c r="E24" i="2" s="1"/>
  <c r="B24" i="2"/>
  <c r="A45" i="2"/>
  <c r="M44" i="2"/>
  <c r="N44" i="2" s="1"/>
  <c r="L44" i="2"/>
  <c r="H44" i="2"/>
  <c r="I44" i="2" s="1"/>
  <c r="K44" i="2"/>
  <c r="A52" i="1"/>
  <c r="C51" i="1"/>
  <c r="B51" i="1"/>
  <c r="A53" i="1" l="1"/>
  <c r="C52" i="1"/>
  <c r="B52" i="1"/>
  <c r="A46" i="2"/>
  <c r="M45" i="2"/>
  <c r="N45" i="2" s="1"/>
  <c r="L45" i="2"/>
  <c r="H45" i="2"/>
  <c r="I45" i="2" s="1"/>
  <c r="K45" i="2"/>
  <c r="F24" i="2"/>
  <c r="C24" i="2"/>
  <c r="O24" i="2" s="1"/>
  <c r="P24" i="2" s="1"/>
  <c r="AT43" i="2" s="1"/>
  <c r="AS46" i="2"/>
  <c r="AS44" i="2"/>
  <c r="AT44" i="2" l="1"/>
  <c r="AU42" i="2"/>
  <c r="AT46" i="2" s="1"/>
  <c r="J24" i="2"/>
  <c r="E25" i="2" s="1"/>
  <c r="B25" i="2"/>
  <c r="A47" i="2"/>
  <c r="M46" i="2"/>
  <c r="N46" i="2" s="1"/>
  <c r="L46" i="2"/>
  <c r="H46" i="2"/>
  <c r="I46" i="2" s="1"/>
  <c r="K46" i="2"/>
  <c r="A54" i="1"/>
  <c r="C53" i="1"/>
  <c r="B53" i="1"/>
  <c r="A55" i="1" l="1"/>
  <c r="C54" i="1"/>
  <c r="B54" i="1"/>
  <c r="A48" i="2"/>
  <c r="M47" i="2"/>
  <c r="N47" i="2" s="1"/>
  <c r="L47" i="2"/>
  <c r="H47" i="2"/>
  <c r="I47" i="2" s="1"/>
  <c r="K47" i="2"/>
  <c r="F25" i="2"/>
  <c r="C25" i="2"/>
  <c r="O25" i="2" s="1"/>
  <c r="P25" i="2" s="1"/>
  <c r="AU43" i="2" s="1"/>
  <c r="AU44" i="2" l="1"/>
  <c r="AV42" i="2"/>
  <c r="J25" i="2"/>
  <c r="E26" i="2" s="1"/>
  <c r="B26" i="2"/>
  <c r="A49" i="2"/>
  <c r="M48" i="2"/>
  <c r="N48" i="2" s="1"/>
  <c r="L48" i="2"/>
  <c r="H48" i="2"/>
  <c r="I48" i="2" s="1"/>
  <c r="K48" i="2"/>
  <c r="A56" i="1"/>
  <c r="C55" i="1"/>
  <c r="B55" i="1"/>
  <c r="A57" i="1" l="1"/>
  <c r="C56" i="1"/>
  <c r="B56" i="1"/>
  <c r="A50" i="2"/>
  <c r="M49" i="2"/>
  <c r="N49" i="2" s="1"/>
  <c r="L49" i="2"/>
  <c r="H49" i="2"/>
  <c r="I49" i="2" s="1"/>
  <c r="K49" i="2"/>
  <c r="F26" i="2"/>
  <c r="C26" i="2"/>
  <c r="O26" i="2" s="1"/>
  <c r="AU46" i="2"/>
  <c r="AW42" i="2" l="1"/>
  <c r="AW44" i="2" s="1"/>
  <c r="P26" i="2"/>
  <c r="AV43" i="2" s="1"/>
  <c r="AV44" i="2" s="1"/>
  <c r="J26" i="2"/>
  <c r="E27" i="2" s="1"/>
  <c r="B27" i="2"/>
  <c r="A51" i="2"/>
  <c r="M50" i="2"/>
  <c r="N50" i="2" s="1"/>
  <c r="L50" i="2"/>
  <c r="H50" i="2"/>
  <c r="I50" i="2" s="1"/>
  <c r="K50" i="2"/>
  <c r="A58" i="1"/>
  <c r="C57" i="1"/>
  <c r="B57" i="1"/>
  <c r="A59" i="1" l="1"/>
  <c r="C58" i="1"/>
  <c r="B58" i="1"/>
  <c r="M51" i="2"/>
  <c r="N51" i="2" s="1"/>
  <c r="L51" i="2"/>
  <c r="H51" i="2"/>
  <c r="I51" i="2" s="1"/>
  <c r="K51" i="2"/>
  <c r="F27" i="2"/>
  <c r="C27" i="2"/>
  <c r="J27" i="2" l="1"/>
  <c r="E28" i="2" s="1"/>
  <c r="B28" i="2"/>
  <c r="A60" i="1"/>
  <c r="C59" i="1"/>
  <c r="B59" i="1"/>
  <c r="A61" i="1" l="1"/>
  <c r="C60" i="1"/>
  <c r="B60" i="1"/>
  <c r="F28" i="2"/>
  <c r="C28" i="2"/>
  <c r="J28" i="2" l="1"/>
  <c r="E29" i="2" s="1"/>
  <c r="B29" i="2"/>
  <c r="A62" i="1"/>
  <c r="C61" i="1"/>
  <c r="B61" i="1"/>
  <c r="A63" i="1" l="1"/>
  <c r="C62" i="1"/>
  <c r="B62" i="1"/>
  <c r="F29" i="2"/>
  <c r="C29" i="2"/>
  <c r="J29" i="2" l="1"/>
  <c r="E30" i="2" s="1"/>
  <c r="B30" i="2"/>
  <c r="A64" i="1"/>
  <c r="C63" i="1"/>
  <c r="B63" i="1"/>
  <c r="A65" i="1" l="1"/>
  <c r="C64" i="1"/>
  <c r="B64" i="1"/>
  <c r="F30" i="2"/>
  <c r="C30" i="2"/>
  <c r="J30" i="2" l="1"/>
  <c r="E31" i="2" s="1"/>
  <c r="B31" i="2"/>
  <c r="A66" i="1"/>
  <c r="C65" i="1"/>
  <c r="B65" i="1"/>
  <c r="A67" i="1" l="1"/>
  <c r="C66" i="1"/>
  <c r="B66" i="1"/>
  <c r="F31" i="2"/>
  <c r="C31" i="2"/>
  <c r="J31" i="2" l="1"/>
  <c r="E32" i="2" s="1"/>
  <c r="B32" i="2"/>
  <c r="A68" i="1"/>
  <c r="C67" i="1"/>
  <c r="B67" i="1"/>
  <c r="A69" i="1" l="1"/>
  <c r="C68" i="1"/>
  <c r="B68" i="1"/>
  <c r="F32" i="2"/>
  <c r="C32" i="2"/>
  <c r="J32" i="2" l="1"/>
  <c r="E33" i="2" s="1"/>
  <c r="B33" i="2"/>
  <c r="A70" i="1"/>
  <c r="C69" i="1"/>
  <c r="B69" i="1"/>
  <c r="A71" i="1" l="1"/>
  <c r="C70" i="1"/>
  <c r="B70" i="1"/>
  <c r="F33" i="2"/>
  <c r="C33" i="2"/>
  <c r="J33" i="2" l="1"/>
  <c r="E34" i="2" s="1"/>
  <c r="B34" i="2"/>
  <c r="A72" i="1"/>
  <c r="C71" i="1"/>
  <c r="B71" i="1"/>
  <c r="A73" i="1" l="1"/>
  <c r="C72" i="1"/>
  <c r="B72" i="1"/>
  <c r="F34" i="2"/>
  <c r="C34" i="2"/>
  <c r="J34" i="2" l="1"/>
  <c r="E35" i="2" s="1"/>
  <c r="B35" i="2"/>
  <c r="A74" i="1"/>
  <c r="C73" i="1"/>
  <c r="B73" i="1"/>
  <c r="A75" i="1" l="1"/>
  <c r="C74" i="1"/>
  <c r="B74" i="1"/>
  <c r="F35" i="2"/>
  <c r="C35" i="2"/>
  <c r="J35" i="2" l="1"/>
  <c r="E36" i="2" s="1"/>
  <c r="B36" i="2"/>
  <c r="A76" i="1"/>
  <c r="C75" i="1"/>
  <c r="B75" i="1"/>
  <c r="A77" i="1" l="1"/>
  <c r="C76" i="1"/>
  <c r="B76" i="1"/>
  <c r="F36" i="2"/>
  <c r="C36" i="2"/>
  <c r="J36" i="2" l="1"/>
  <c r="E37" i="2" s="1"/>
  <c r="B37" i="2"/>
  <c r="A78" i="1"/>
  <c r="C77" i="1"/>
  <c r="B77" i="1"/>
  <c r="A79" i="1" l="1"/>
  <c r="C78" i="1"/>
  <c r="B78" i="1"/>
  <c r="F37" i="2"/>
  <c r="C37" i="2"/>
  <c r="J37" i="2" l="1"/>
  <c r="E38" i="2" s="1"/>
  <c r="B38" i="2"/>
  <c r="A80" i="1"/>
  <c r="C79" i="1"/>
  <c r="B79" i="1"/>
  <c r="A81" i="1" l="1"/>
  <c r="C80" i="1"/>
  <c r="B80" i="1"/>
  <c r="C38" i="2"/>
  <c r="D38" i="2"/>
  <c r="F38" i="2" s="1"/>
  <c r="J38" i="2" l="1"/>
  <c r="E39" i="2" s="1"/>
  <c r="B39" i="2"/>
  <c r="A82" i="1"/>
  <c r="C81" i="1"/>
  <c r="B81" i="1"/>
  <c r="A83" i="1" l="1"/>
  <c r="C82" i="1"/>
  <c r="B82" i="1"/>
  <c r="C39" i="2"/>
  <c r="D39" i="2"/>
  <c r="F39" i="2" s="1"/>
  <c r="J39" i="2" l="1"/>
  <c r="E40" i="2" s="1"/>
  <c r="B40" i="2"/>
  <c r="A84" i="1"/>
  <c r="C83" i="1"/>
  <c r="B83" i="1"/>
  <c r="A85" i="1" l="1"/>
  <c r="C84" i="1"/>
  <c r="B84" i="1"/>
  <c r="C40" i="2"/>
  <c r="D40" i="2"/>
  <c r="F40" i="2" s="1"/>
  <c r="J40" i="2" l="1"/>
  <c r="E41" i="2" s="1"/>
  <c r="B41" i="2"/>
  <c r="A86" i="1"/>
  <c r="C85" i="1"/>
  <c r="B85" i="1"/>
  <c r="A87" i="1" l="1"/>
  <c r="C86" i="1"/>
  <c r="B86" i="1"/>
  <c r="C41" i="2"/>
  <c r="D41" i="2"/>
  <c r="F41" i="2" s="1"/>
  <c r="J41" i="2" l="1"/>
  <c r="E42" i="2" s="1"/>
  <c r="B42" i="2"/>
  <c r="A88" i="1"/>
  <c r="C87" i="1"/>
  <c r="B87" i="1"/>
  <c r="A89" i="1" l="1"/>
  <c r="C88" i="1"/>
  <c r="B88" i="1"/>
  <c r="C42" i="2"/>
  <c r="D42" i="2"/>
  <c r="F42" i="2" s="1"/>
  <c r="J42" i="2" l="1"/>
  <c r="E43" i="2" s="1"/>
  <c r="B43" i="2"/>
  <c r="A90" i="1"/>
  <c r="C89" i="1"/>
  <c r="B89" i="1"/>
  <c r="A91" i="1" l="1"/>
  <c r="C90" i="1"/>
  <c r="B90" i="1"/>
  <c r="C43" i="2"/>
  <c r="D43" i="2"/>
  <c r="F43" i="2" s="1"/>
  <c r="J43" i="2" l="1"/>
  <c r="E44" i="2" s="1"/>
  <c r="B44" i="2"/>
  <c r="A92" i="1"/>
  <c r="C91" i="1"/>
  <c r="B91" i="1"/>
  <c r="A93" i="1" l="1"/>
  <c r="C92" i="1"/>
  <c r="B92" i="1"/>
  <c r="C44" i="2"/>
  <c r="D44" i="2"/>
  <c r="F44" i="2" s="1"/>
  <c r="J44" i="2" l="1"/>
  <c r="E45" i="2" s="1"/>
  <c r="B45" i="2"/>
  <c r="A94" i="1"/>
  <c r="C93" i="1"/>
  <c r="B93" i="1"/>
  <c r="A95" i="1" l="1"/>
  <c r="C94" i="1"/>
  <c r="B94" i="1"/>
  <c r="C45" i="2"/>
  <c r="D45" i="2"/>
  <c r="F45" i="2" s="1"/>
  <c r="J45" i="2" l="1"/>
  <c r="E46" i="2" s="1"/>
  <c r="B46" i="2"/>
  <c r="A96" i="1"/>
  <c r="C95" i="1"/>
  <c r="B95" i="1"/>
  <c r="A97" i="1" l="1"/>
  <c r="C96" i="1"/>
  <c r="B96" i="1"/>
  <c r="C46" i="2"/>
  <c r="D46" i="2"/>
  <c r="F46" i="2" s="1"/>
  <c r="J46" i="2" l="1"/>
  <c r="E47" i="2" s="1"/>
  <c r="B47" i="2"/>
  <c r="A98" i="1"/>
  <c r="C97" i="1"/>
  <c r="B97" i="1"/>
  <c r="A99" i="1" l="1"/>
  <c r="C98" i="1"/>
  <c r="B98" i="1"/>
  <c r="C47" i="2"/>
  <c r="D47" i="2"/>
  <c r="F47" i="2" s="1"/>
  <c r="J47" i="2" l="1"/>
  <c r="E48" i="2" s="1"/>
  <c r="B48" i="2"/>
  <c r="A100" i="1"/>
  <c r="C99" i="1"/>
  <c r="B99" i="1"/>
  <c r="A101" i="1" l="1"/>
  <c r="C100" i="1"/>
  <c r="B100" i="1"/>
  <c r="C48" i="2"/>
  <c r="D48" i="2"/>
  <c r="F48" i="2" s="1"/>
  <c r="J48" i="2" l="1"/>
  <c r="E49" i="2" s="1"/>
  <c r="B49" i="2"/>
  <c r="A102" i="1"/>
  <c r="C101" i="1"/>
  <c r="B101" i="1"/>
  <c r="A103" i="1" l="1"/>
  <c r="C102" i="1"/>
  <c r="B102" i="1"/>
  <c r="C49" i="2"/>
  <c r="D49" i="2"/>
  <c r="F49" i="2" s="1"/>
  <c r="J49" i="2" l="1"/>
  <c r="E50" i="2" s="1"/>
  <c r="B50" i="2"/>
  <c r="A104" i="1"/>
  <c r="C103" i="1"/>
  <c r="B103" i="1"/>
  <c r="A105" i="1" l="1"/>
  <c r="C104" i="1"/>
  <c r="B104" i="1"/>
  <c r="C50" i="2"/>
  <c r="D50" i="2"/>
  <c r="F50" i="2" s="1"/>
  <c r="J50" i="2" l="1"/>
  <c r="E51" i="2" s="1"/>
  <c r="B51" i="2"/>
  <c r="A106" i="1"/>
  <c r="C105" i="1"/>
  <c r="B105" i="1"/>
  <c r="A107" i="1" l="1"/>
  <c r="C106" i="1"/>
  <c r="B106" i="1"/>
  <c r="C51" i="2"/>
  <c r="D51" i="2"/>
  <c r="F51" i="2" s="1"/>
  <c r="J51" i="2" s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T3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3126</t>
        </r>
      </text>
    </comment>
    <comment ref="T3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3333</t>
        </r>
      </text>
    </comment>
    <comment ref="T3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3446</t>
        </r>
      </text>
    </comment>
    <comment ref="T4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Patricia Bello Pedraza:
4287</t>
        </r>
      </text>
    </comment>
    <comment ref="T4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Patricia Bello Pedraza:
4387</t>
        </r>
      </text>
    </comment>
    <comment ref="T45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Patricia Bello Pedraza:
5188</t>
        </r>
      </text>
    </comment>
    <comment ref="T4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Patricia Bello Pedraza:
5726</t>
        </r>
      </text>
    </comment>
  </commentList>
</comments>
</file>

<file path=xl/sharedStrings.xml><?xml version="1.0" encoding="utf-8"?>
<sst xmlns="http://schemas.openxmlformats.org/spreadsheetml/2006/main" count="295" uniqueCount="162">
  <si>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</si>
  <si>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</si>
  <si>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</si>
  <si>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</si>
  <si>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</si>
  <si>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</si>
  <si>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</si>
  <si>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</si>
  <si>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</si>
  <si>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</si>
  <si>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</si>
  <si>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</si>
  <si>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</si>
  <si>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</si>
  <si>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</si>
  <si>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</si>
  <si>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</si>
  <si>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</si>
  <si>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</si>
  <si>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</si>
  <si>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</si>
  <si>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</si>
  <si>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</si>
  <si>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</si>
  <si>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</si>
  <si>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</si>
  <si>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</si>
  <si>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</si>
  <si>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</si>
  <si>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</si>
  <si>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</si>
  <si>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</si>
  <si>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</si>
  <si>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</si>
  <si>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</si>
  <si>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</si>
  <si>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</si>
  <si>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</si>
  <si>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</si>
  <si>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Intereses de mora</t>
  </si>
  <si>
    <t>Valor pagado cliente</t>
  </si>
  <si>
    <t>Saldo de capital</t>
  </si>
  <si>
    <t>12,531,194.00</t>
  </si>
  <si>
    <t>15,524,524.00</t>
  </si>
  <si>
    <t>12,056,479.00</t>
  </si>
  <si>
    <t>10,097,271.00</t>
  </si>
  <si>
    <t>8,972,912.00</t>
  </si>
  <si>
    <t>11,669,585.00</t>
  </si>
  <si>
    <t>13,280,362.00</t>
  </si>
  <si>
    <t>10,147,259.00</t>
  </si>
  <si>
    <t>61,669.00</t>
  </si>
  <si>
    <t>AJUSTE AGOSTO}</t>
  </si>
  <si>
    <t>AJUSTE DE  OCTUBRE</t>
  </si>
  <si>
    <t>9,826,118.00</t>
  </si>
  <si>
    <t xml:space="preserve">AJUSTAE ASOTO </t>
  </si>
  <si>
    <t>1,270,783.00</t>
  </si>
  <si>
    <t>15,139.00</t>
  </si>
  <si>
    <t>8,179,292.00</t>
  </si>
  <si>
    <t>9,065,881.00</t>
  </si>
  <si>
    <t>HBIC 2333</t>
  </si>
  <si>
    <t>HBIC 2542</t>
  </si>
  <si>
    <t>HBIC 2543</t>
  </si>
  <si>
    <t>NO SE HIZO AJUSTE DE ENERO YA SE HABIA REALIZADO LA FACTUACION MAR</t>
  </si>
  <si>
    <t>FACTURACION</t>
  </si>
  <si>
    <t>NC</t>
  </si>
  <si>
    <t>OK</t>
  </si>
  <si>
    <t>TOTAL MES</t>
  </si>
  <si>
    <t>HACER AJUSTE EN ENERO-24</t>
  </si>
  <si>
    <t>CAPITAL</t>
  </si>
  <si>
    <t>INTERES</t>
  </si>
  <si>
    <t>MORA</t>
  </si>
  <si>
    <t>TOTAL</t>
  </si>
  <si>
    <t>mayo</t>
  </si>
  <si>
    <t>junio</t>
  </si>
  <si>
    <t>julio</t>
  </si>
  <si>
    <t>Fecha desembolso</t>
  </si>
  <si>
    <t>Valor</t>
  </si>
  <si>
    <t>ITEM</t>
  </si>
  <si>
    <t>FECHA</t>
  </si>
  <si>
    <t>VALOR</t>
  </si>
  <si>
    <t>VALOR CAPITAL</t>
  </si>
  <si>
    <t>Capital</t>
  </si>
  <si>
    <t>01-26-2024</t>
  </si>
  <si>
    <t>9,743,616.00</t>
  </si>
  <si>
    <t>635,695,173.00</t>
  </si>
  <si>
    <t>Interes Corr</t>
  </si>
  <si>
    <t>0.00</t>
  </si>
  <si>
    <t>7,262,571.00</t>
  </si>
  <si>
    <t>628,432,602.00</t>
  </si>
  <si>
    <t xml:space="preserve">Interes mora </t>
  </si>
  <si>
    <t>5,066.00</t>
  </si>
  <si>
    <t>10,735,682.00</t>
  </si>
  <si>
    <t>617,696,920.00</t>
  </si>
  <si>
    <t>617,691,854.00</t>
  </si>
  <si>
    <t>04-30-2024</t>
  </si>
  <si>
    <t>12,694,890.00</t>
  </si>
  <si>
    <t>604,996,964.00</t>
  </si>
  <si>
    <t>05-24-2024</t>
  </si>
  <si>
    <t>13,819,249.00</t>
  </si>
  <si>
    <t>591,177,715.00</t>
  </si>
  <si>
    <t>06-26-2024</t>
  </si>
  <si>
    <t>11,122,576.00</t>
  </si>
  <si>
    <t>580,055,139.00</t>
  </si>
  <si>
    <t>Total Capital</t>
  </si>
  <si>
    <t>08-15-2024</t>
  </si>
  <si>
    <t>9,450,130.00</t>
  </si>
  <si>
    <t>570,605,009.00</t>
  </si>
  <si>
    <t>12,629,763.00</t>
  </si>
  <si>
    <t>557,975,246.00</t>
  </si>
  <si>
    <t>11,642,516.00</t>
  </si>
  <si>
    <t>546,332,730.00</t>
  </si>
  <si>
    <t>52,744.00</t>
  </si>
  <si>
    <t>11-18-2024</t>
  </si>
  <si>
    <t>14,505,509.00</t>
  </si>
  <si>
    <t>531,827,221.00</t>
  </si>
  <si>
    <t>Total Interes Corr</t>
  </si>
  <si>
    <t>107,360.00</t>
  </si>
  <si>
    <t>13,667,261.00</t>
  </si>
  <si>
    <t>518,159,960.00</t>
  </si>
  <si>
    <t>59,019.00</t>
  </si>
  <si>
    <t xml:space="preserve">Total Interes mora </t>
  </si>
  <si>
    <t>Total general</t>
  </si>
  <si>
    <t>INFORMACIÓN IMPORTANTE</t>
  </si>
  <si>
    <t>Para insertar la Tabla dinámica seleccionada, hemos tenido que organizar los datos en columnas con una sola fila de encabezado.</t>
  </si>
  <si>
    <t>Campo1</t>
  </si>
  <si>
    <t>Campo5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</si>
  <si>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</si>
  <si>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</si>
  <si>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</si>
  <si>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</si>
  <si>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</si>
  <si>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</si>
  <si>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</si>
  <si>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</si>
  <si>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</si>
  <si>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</si>
  <si>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</si>
  <si>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</si>
  <si>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</si>
  <si>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</si>
  <si>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</si>
  <si>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</si>
  <si>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</si>
  <si>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</si>
  <si>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</si>
  <si>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</si>
  <si>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</si>
  <si>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2026-08-21T05:06:07-05:00</t>
  </si>
  <si>
    <t>667922eb-baa3-4617-b4ea-3ca1fcb0966a</t>
  </si>
  <si>
    <t>SERVIPETROLEOS</t>
  </si>
  <si>
    <t>16</t>
  </si>
  <si>
    <t>APLICADO</t>
  </si>
  <si>
    <t>apply|WOULD_APPLY|ibr=NOT_REQUIRED|tipo=PAGO|subtipo=SALDO_VENCIDO</t>
  </si>
  <si>
    <t>667922eb-baa3-4617-b4ea-3ca1fcb0966a|16|informacion creditos-clientes/03 comware pruebas- informacion creditos clientes/servipetroleos/asientos contables cred 16/cred 16 -1.pdf||</t>
  </si>
  <si>
    <t>INFORMACION CREDITOS-CLIENTES/03 COMWARE PRUEBAS- INFORMACION CREDITOS CLIENTES/SERVIPETROLEOS/ASIENTOS CONTABLES CRED 16/CRED 16 -1.pdf</t>
  </si>
  <si>
    <t>f3d3965a6366717b2b92e9b110c2c84c9b3afa84ee0ab2186616bf40c9389b9a</t>
  </si>
  <si>
    <t>"{9FC9BADE-DCBB-4E2C-8E3F-B06B8C78B063},1"</t>
  </si>
  <si>
    <t>PAGO</t>
  </si>
  <si>
    <t>ABONO A CUOTAS EN MORA</t>
  </si>
  <si>
    <t>SALDO_VENCIDO</t>
  </si>
  <si>
    <t>REFERENCIA_SALDO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</si>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</sst>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0%"/>
    <numFmt numFmtId="166" formatCode="_-&quot;$&quot;\ * #,##0.00_-;\-&quot;$&quot;\ * #,##0.00_-;_-&quot;$&quot;\ * &quot;-&quot;??_-;_-@_-"/>
    <numFmt numFmtId="167" formatCode="&quot;$&quot;\ 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166" fontId="1" fillId="0" borderId="0"/>
  </cellStyleXfs>
  <cellXfs count="100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6" borderId="0" xfId="1" applyFont="1" applyFill="1"/>
    <xf numFmtId="165" fontId="0" fillId="0" borderId="0" xfId="2" applyNumberFormat="1" applyFont="1" applyProtection="1">
      <protection locked="0"/>
    </xf>
    <xf numFmtId="0" fontId="2" fillId="0" borderId="0" xfId="0" applyFont="1" applyAlignment="1">
      <alignment horizontal="center"/>
    </xf>
    <xf numFmtId="165" fontId="5" fillId="2" borderId="0" xfId="2" applyNumberFormat="1" applyFont="1" applyFill="1" applyProtection="1">
      <protection locked="0"/>
    </xf>
    <xf numFmtId="43" fontId="0" fillId="0" borderId="3" xfId="0" applyNumberFormat="1" applyBorder="1"/>
    <xf numFmtId="43" fontId="0" fillId="0" borderId="3" xfId="1" applyFont="1" applyBorder="1"/>
    <xf numFmtId="43" fontId="6" fillId="0" borderId="0" xfId="0" applyNumberFormat="1" applyFont="1"/>
    <xf numFmtId="43" fontId="0" fillId="0" borderId="0" xfId="0" applyNumberFormat="1" applyAlignment="1">
      <alignment horizontal="center"/>
    </xf>
    <xf numFmtId="165" fontId="0" fillId="6" borderId="0" xfId="2" applyNumberFormat="1" applyFont="1" applyFill="1" applyProtection="1">
      <protection locked="0"/>
    </xf>
    <xf numFmtId="17" fontId="5" fillId="0" borderId="0" xfId="0" applyNumberFormat="1" applyFont="1" applyAlignment="1">
      <alignment horizontal="center" vertical="center"/>
    </xf>
    <xf numFmtId="14" fontId="0" fillId="0" borderId="2" xfId="0" applyNumberFormat="1" applyBorder="1"/>
    <xf numFmtId="43" fontId="0" fillId="0" borderId="2" xfId="1" applyFont="1" applyBorder="1"/>
    <xf numFmtId="43" fontId="5" fillId="0" borderId="0" xfId="1" applyFont="1"/>
    <xf numFmtId="17" fontId="5" fillId="0" borderId="0" xfId="0" applyNumberFormat="1" applyFont="1" applyAlignment="1">
      <alignment horizontal="center"/>
    </xf>
    <xf numFmtId="43" fontId="0" fillId="0" borderId="2" xfId="0" applyNumberFormat="1" applyBorder="1"/>
    <xf numFmtId="0" fontId="7" fillId="0" borderId="0" xfId="0" applyFont="1"/>
    <xf numFmtId="14" fontId="0" fillId="3" borderId="2" xfId="1" applyNumberFormat="1" applyFont="1" applyFill="1" applyBorder="1"/>
    <xf numFmtId="43" fontId="0" fillId="3" borderId="2" xfId="1" applyFont="1" applyFill="1" applyBorder="1"/>
    <xf numFmtId="43" fontId="8" fillId="0" borderId="2" xfId="1" applyFont="1" applyBorder="1"/>
    <xf numFmtId="43" fontId="5" fillId="0" borderId="2" xfId="0" applyNumberFormat="1" applyFont="1" applyBorder="1"/>
    <xf numFmtId="0" fontId="5" fillId="0" borderId="0" xfId="0" applyFont="1"/>
    <xf numFmtId="14" fontId="5" fillId="0" borderId="0" xfId="0" applyNumberFormat="1" applyFont="1"/>
    <xf numFmtId="166" fontId="5" fillId="0" borderId="0" xfId="3" applyFont="1"/>
    <xf numFmtId="164" fontId="0" fillId="0" borderId="2" xfId="0" applyNumberFormat="1" applyBorder="1"/>
    <xf numFmtId="43" fontId="8" fillId="0" borderId="3" xfId="1" applyFont="1" applyBorder="1"/>
    <xf numFmtId="43" fontId="6" fillId="0" borderId="0" xfId="1" applyFont="1"/>
    <xf numFmtId="0" fontId="6" fillId="0" borderId="0" xfId="0" applyFont="1"/>
    <xf numFmtId="43" fontId="5" fillId="0" borderId="0" xfId="0" applyNumberFormat="1" applyFont="1"/>
    <xf numFmtId="0" fontId="0" fillId="0" borderId="3" xfId="0" applyBorder="1"/>
    <xf numFmtId="43" fontId="0" fillId="8" borderId="0" xfId="1" applyFont="1" applyFill="1"/>
    <xf numFmtId="43" fontId="0" fillId="8" borderId="3" xfId="1" applyFont="1" applyFill="1" applyBorder="1"/>
    <xf numFmtId="43" fontId="0" fillId="5" borderId="3" xfId="0" applyNumberFormat="1" applyFill="1" applyBorder="1"/>
    <xf numFmtId="43" fontId="0" fillId="5" borderId="0" xfId="1" applyFont="1" applyFill="1"/>
    <xf numFmtId="167" fontId="0" fillId="0" borderId="0" xfId="0" applyNumberFormat="1"/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0" fillId="0" borderId="0" xfId="0" pivotButton="1"/>
    <xf numFmtId="0" fontId="8" fillId="0" borderId="0" xfId="0" applyFont="1" applyAlignment="1">
      <alignment horizontal="center"/>
    </xf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164" fontId="0" fillId="0" borderId="2" xfId="1" applyNumberFormat="1" applyFont="1" applyBorder="1"/>
    <xf numFmtId="14" fontId="7" fillId="0" borderId="0" xfId="0" applyNumberFormat="1" applyFont="1"/>
    <xf numFmtId="14" fontId="0" fillId="9" borderId="2" xfId="0" applyNumberFormat="1" applyFill="1" applyBorder="1"/>
    <xf numFmtId="43" fontId="0" fillId="10" borderId="0" xfId="0" applyNumberFormat="1" applyFill="1"/>
    <xf numFmtId="43" fontId="0" fillId="10" borderId="0" xfId="1" applyFont="1" applyFill="1"/>
    <xf numFmtId="165" fontId="1" fillId="0" borderId="0" xfId="2" applyNumberFormat="1"/>
    <xf numFmtId="164" fontId="1" fillId="0" borderId="0" xfId="1" applyNumberFormat="1"/>
    <xf numFmtId="0" fontId="11" fillId="0" borderId="0" xfId="0" applyFont="1" applyAlignment="1">
      <alignment horizontal="center"/>
    </xf>
    <xf numFmtId="164" fontId="7" fillId="0" borderId="2" xfId="1" applyNumberFormat="1" applyFont="1" applyBorder="1"/>
    <xf numFmtId="0" fontId="3" fillId="0" borderId="1" xfId="0" applyFont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/>
    </xf>
    <xf numFmtId="164" fontId="5" fillId="11" borderId="0" xfId="1" applyNumberFormat="1" applyFont="1" applyFill="1"/>
    <xf numFmtId="165" fontId="5" fillId="11" borderId="0" xfId="2" applyNumberFormat="1" applyFont="1" applyFill="1" applyProtection="1">
      <protection locked="0"/>
    </xf>
    <xf numFmtId="165" fontId="5" fillId="11" borderId="0" xfId="2" applyNumberFormat="1" applyFont="1" applyFill="1"/>
    <xf numFmtId="0" fontId="2" fillId="11" borderId="0" xfId="0" applyFont="1" applyFill="1" applyAlignment="1">
      <alignment horizontal="center"/>
    </xf>
    <xf numFmtId="0" fontId="5" fillId="11" borderId="0" xfId="0" applyFont="1" applyFill="1"/>
    <xf numFmtId="164" fontId="0" fillId="0" borderId="5" xfId="1" applyNumberFormat="1" applyFont="1" applyBorder="1"/>
    <xf numFmtId="164" fontId="7" fillId="0" borderId="2" xfId="0" applyNumberFormat="1" applyFont="1" applyBorder="1"/>
    <xf numFmtId="164" fontId="6" fillId="0" borderId="2" xfId="0" applyNumberFormat="1" applyFont="1" applyBorder="1"/>
    <xf numFmtId="165" fontId="1" fillId="0" borderId="0" xfId="2" applyNumberFormat="1" applyProtection="1">
      <protection locked="0"/>
    </xf>
    <xf numFmtId="164" fontId="6" fillId="0" borderId="2" xfId="1" applyNumberFormat="1" applyFont="1" applyBorder="1"/>
    <xf numFmtId="0" fontId="0" fillId="3" borderId="0" xfId="0" applyFill="1" applyAlignment="1">
      <alignment horizontal="center"/>
    </xf>
    <xf numFmtId="164" fontId="1" fillId="3" borderId="0" xfId="1" applyNumberFormat="1" applyFill="1"/>
    <xf numFmtId="165" fontId="12" fillId="3" borderId="0" xfId="2" applyNumberFormat="1" applyFont="1" applyFill="1" applyProtection="1">
      <protection locked="0"/>
    </xf>
    <xf numFmtId="165" fontId="1" fillId="3" borderId="0" xfId="2" applyNumberFormat="1" applyFill="1" applyProtection="1">
      <protection locked="0"/>
    </xf>
    <xf numFmtId="165" fontId="1" fillId="3" borderId="0" xfId="2" applyNumberFormat="1" applyFill="1"/>
    <xf numFmtId="0" fontId="11" fillId="3" borderId="0" xfId="0" applyFont="1" applyFill="1" applyAlignment="1">
      <alignment horizontal="center"/>
    </xf>
    <xf numFmtId="164" fontId="0" fillId="3" borderId="2" xfId="1" applyNumberFormat="1" applyFont="1" applyFill="1" applyBorder="1"/>
    <xf numFmtId="0" fontId="5" fillId="11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0" xfId="0" applyAlignment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6.596214583333" createdVersion="8" refreshedVersion="8" minRefreshableVersion="3" recordCount="32" xr:uid="{00000000-000A-0000-FFFF-FFFF01000000}">
  <cacheSource type="worksheet">
    <worksheetSource ref="C6:G38" sheet="Hoja4"/>
  </cacheSource>
  <cacheFields count="5">
    <cacheField name="Campo1" numFmtId="0">
      <sharedItems containsSemiMixedTypes="0" containsString="0" containsNumber="1" containsInteger="1" minValue="1" maxValue="3"/>
    </cacheField>
    <cacheField name="ITEM" numFmtId="0">
      <sharedItems count="3">
        <s v="Capital"/>
        <s v="Interes Corr"/>
        <s v="Interes mora "/>
      </sharedItems>
    </cacheField>
    <cacheField name="FECHA" numFmtId="0">
      <sharedItems containsSemiMixedTypes="0" containsDate="1" containsString="0" containsMixedTypes="1" minDate="1900-01-01T11:51:04" maxDate="2024-12-13T00:00:00"/>
    </cacheField>
    <cacheField name="VALOR" numFmtId="2">
      <sharedItems containsSemiMixedTypes="0" containsString="0" containsNumber="1" containsInteger="1" minValue="5066" maxValue="15524524" count="29">
        <n v="9743616"/>
        <n v="12531194"/>
        <n v="7262571"/>
        <n v="15524524"/>
        <n v="5066"/>
        <n v="10735682"/>
        <n v="12056479"/>
        <n v="12694890"/>
        <n v="10097271"/>
        <n v="13819249"/>
        <n v="8972912"/>
        <n v="11122576"/>
        <n v="11669585"/>
        <n v="9450130"/>
        <n v="13280362"/>
        <n v="61669"/>
        <n v="12629763"/>
        <n v="10147259"/>
        <n v="15139"/>
        <n v="11642516"/>
        <n v="9826118"/>
        <n v="52744"/>
        <n v="1270783"/>
        <n v="14505509"/>
        <n v="8179292"/>
        <n v="107360"/>
        <n v="13667261"/>
        <n v="9065881"/>
        <n v="59019"/>
      </sharedItems>
    </cacheField>
    <cacheField name="Campo5" numFmtId="0">
      <sharedItems containsSemiMixedTypes="0" containsString="0" containsNumber="1" containsInteger="1" minValue="0" maxValue="6356951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2">
  <r>
    <n v="1"/>
    <x v="0"/>
    <n v="45317"/>
    <x v="0"/>
    <n v="635695173"/>
  </r>
  <r>
    <n v="2"/>
    <x v="1"/>
    <n v="45317"/>
    <x v="1"/>
    <n v="0"/>
  </r>
  <r>
    <n v="1"/>
    <x v="0"/>
    <d v="2024-05-03T00:00:00"/>
    <x v="2"/>
    <n v="628432602"/>
  </r>
  <r>
    <n v="2"/>
    <x v="1"/>
    <d v="2024-05-03T00:00:00"/>
    <x v="3"/>
    <n v="0"/>
  </r>
  <r>
    <n v="3"/>
    <x v="2"/>
    <d v="2024-05-03T00:00:00"/>
    <x v="4"/>
    <n v="0"/>
  </r>
  <r>
    <n v="1"/>
    <x v="0"/>
    <d v="2024-04-04T00:00:00"/>
    <x v="5"/>
    <n v="617696920"/>
  </r>
  <r>
    <n v="2"/>
    <x v="1"/>
    <d v="2024-04-04T00:00:00"/>
    <x v="6"/>
    <n v="0"/>
  </r>
  <r>
    <n v="1"/>
    <x v="0"/>
    <d v="2024-04-04T00:00:00"/>
    <x v="4"/>
    <n v="617691854"/>
  </r>
  <r>
    <n v="1"/>
    <x v="0"/>
    <n v="45412"/>
    <x v="7"/>
    <n v="604996964"/>
  </r>
  <r>
    <n v="2"/>
    <x v="1"/>
    <n v="45412"/>
    <x v="8"/>
    <n v="0"/>
  </r>
  <r>
    <n v="1"/>
    <x v="0"/>
    <n v="45436"/>
    <x v="9"/>
    <n v="591177715"/>
  </r>
  <r>
    <n v="2"/>
    <x v="1"/>
    <n v="45436"/>
    <x v="10"/>
    <n v="0"/>
  </r>
  <r>
    <n v="1"/>
    <x v="0"/>
    <n v="45469"/>
    <x v="11"/>
    <n v="580055139"/>
  </r>
  <r>
    <n v="2"/>
    <x v="1"/>
    <n v="45469"/>
    <x v="12"/>
    <n v="0"/>
  </r>
  <r>
    <n v="1"/>
    <x v="0"/>
    <n v="45519"/>
    <x v="13"/>
    <n v="570605009"/>
  </r>
  <r>
    <n v="2"/>
    <x v="1"/>
    <n v="45519"/>
    <x v="14"/>
    <n v="0"/>
  </r>
  <r>
    <n v="3"/>
    <x v="2"/>
    <n v="45519"/>
    <x v="15"/>
    <n v="0"/>
  </r>
  <r>
    <n v="1"/>
    <x v="0"/>
    <d v="2024-06-09T00:00:00"/>
    <x v="16"/>
    <n v="557975246"/>
  </r>
  <r>
    <n v="2"/>
    <x v="1"/>
    <d v="2024-06-09T00:00:00"/>
    <x v="17"/>
    <n v="0"/>
  </r>
  <r>
    <n v="3"/>
    <x v="2"/>
    <d v="2024-06-09T00:00:00"/>
    <x v="18"/>
    <n v="0"/>
  </r>
  <r>
    <n v="2"/>
    <x v="1"/>
    <d v="2024-06-09T00:00:00"/>
    <x v="15"/>
    <n v="0"/>
  </r>
  <r>
    <n v="1"/>
    <x v="0"/>
    <d v="2024-11-10T00:00:00"/>
    <x v="19"/>
    <n v="546332730"/>
  </r>
  <r>
    <n v="2"/>
    <x v="1"/>
    <d v="2024-11-10T00:00:00"/>
    <x v="20"/>
    <n v="0"/>
  </r>
  <r>
    <n v="3"/>
    <x v="2"/>
    <d v="2024-11-10T00:00:00"/>
    <x v="21"/>
    <n v="0"/>
  </r>
  <r>
    <n v="2"/>
    <x v="1"/>
    <d v="2024-11-10T00:00:00"/>
    <x v="22"/>
    <n v="0"/>
  </r>
  <r>
    <n v="2"/>
    <x v="1"/>
    <d v="2024-11-10T00:00:00"/>
    <x v="18"/>
    <n v="0"/>
  </r>
  <r>
    <n v="1"/>
    <x v="0"/>
    <n v="45614"/>
    <x v="23"/>
    <n v="531827221"/>
  </r>
  <r>
    <n v="2"/>
    <x v="1"/>
    <n v="45614"/>
    <x v="24"/>
    <n v="0"/>
  </r>
  <r>
    <n v="3"/>
    <x v="2"/>
    <n v="45614"/>
    <x v="25"/>
    <n v="0"/>
  </r>
  <r>
    <n v="1"/>
    <x v="0"/>
    <d v="2024-12-12T00:00:00"/>
    <x v="26"/>
    <n v="518159960"/>
  </r>
  <r>
    <n v="2"/>
    <x v="1"/>
    <d v="2024-12-12T00:00:00"/>
    <x v="27"/>
    <n v="0"/>
  </r>
  <r>
    <n v="3"/>
    <x v="2"/>
    <d v="2024-12-12T00:00:00"/>
    <x v="2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1:L37" firstHeaderRow="1" firstDataRow="1" firstDataCol="2"/>
  <pivotFields count="5">
    <pivotField compact="0" outline="0" showAll="0"/>
    <pivotField axis="axisRow" compact="0" outline="0" subtotalTop="0" showAll="0">
      <items count="4">
        <item x="0"/>
        <item x="1"/>
        <item x="2"/>
        <item t="default"/>
      </items>
    </pivotField>
    <pivotField compact="0" outline="0" showAll="0"/>
    <pivotField axis="axisRow" compact="0" numFmtId="2" outline="0" subtotalTop="0" showAll="0">
      <items count="30">
        <item x="4"/>
        <item x="18"/>
        <item x="21"/>
        <item x="28"/>
        <item x="15"/>
        <item x="25"/>
        <item x="22"/>
        <item x="2"/>
        <item x="24"/>
        <item x="10"/>
        <item x="27"/>
        <item x="13"/>
        <item x="0"/>
        <item x="20"/>
        <item x="8"/>
        <item x="17"/>
        <item x="5"/>
        <item x="11"/>
        <item x="19"/>
        <item x="12"/>
        <item x="6"/>
        <item x="1"/>
        <item x="16"/>
        <item x="7"/>
        <item x="14"/>
        <item x="26"/>
        <item x="9"/>
        <item x="23"/>
        <item x="3"/>
        <item t="default"/>
      </items>
    </pivotField>
    <pivotField compact="0" outline="0" showAll="0"/>
  </pivotFields>
  <rowFields count="2">
    <field x="1"/>
    <field x="3"/>
  </rowFields>
  <rowItems count="36">
    <i>
      <x/>
      <x/>
    </i>
    <i r="1">
      <x v="7"/>
    </i>
    <i r="1">
      <x v="11"/>
    </i>
    <i r="1">
      <x v="12"/>
    </i>
    <i r="1">
      <x v="16"/>
    </i>
    <i r="1">
      <x v="17"/>
    </i>
    <i r="1">
      <x v="18"/>
    </i>
    <i r="1">
      <x v="22"/>
    </i>
    <i r="1">
      <x v="23"/>
    </i>
    <i r="1">
      <x v="25"/>
    </i>
    <i r="1">
      <x v="26"/>
    </i>
    <i r="1">
      <x v="27"/>
    </i>
    <i t="default">
      <x/>
    </i>
    <i>
      <x v="1"/>
      <x v="1"/>
    </i>
    <i r="1">
      <x v="4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9"/>
    </i>
    <i r="1">
      <x v="20"/>
    </i>
    <i r="1">
      <x v="21"/>
    </i>
    <i r="1">
      <x v="24"/>
    </i>
    <i r="1">
      <x v="2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24"/>
  <sheetViews>
    <sheetView tabSelected="1" zoomScaleNormal="100" workbookViewId="0">
      <pane ySplit="3" topLeftCell="F51" activePane="bottomLeft" state="frozen"/>
      <selection pane="bottomLeft" activeCell="Q56" sqref="Q56:V56"/>
    </sheetView>
  </sheetViews>
  <sheetFormatPr defaultColWidth="11.42578125" defaultRowHeight="14.45"/>
  <cols>
    <col min="1" max="1" width="10.42578125" bestFit="1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customWidth="1"/>
    <col min="8" max="8" width="10.42578125" customWidth="1"/>
    <col min="9" max="9" width="8.28515625" bestFit="1" customWidth="1"/>
    <col min="10" max="10" width="12.140625" customWidth="1"/>
    <col min="11" max="11" width="8.28515625" customWidth="1"/>
    <col min="12" max="12" width="3.28515625" customWidth="1"/>
    <col min="13" max="13" width="4.28515625" customWidth="1"/>
    <col min="14" max="14" width="5" customWidth="1"/>
    <col min="15" max="15" width="14.7109375" customWidth="1"/>
    <col min="16" max="16" width="14.85546875" customWidth="1"/>
    <col min="17" max="17" width="14.5703125" bestFit="1" customWidth="1"/>
    <col min="18" max="18" width="16.140625" customWidth="1"/>
    <col min="19" max="19" width="16.85546875" bestFit="1" customWidth="1"/>
    <col min="20" max="21" width="14.5703125" bestFit="1" customWidth="1"/>
    <col min="22" max="22" width="19.140625" customWidth="1"/>
    <col min="23" max="23" width="15.140625" customWidth="1"/>
    <col min="24" max="24" width="16.85546875" customWidth="1"/>
    <col min="25" max="26" width="14.28515625" bestFit="1" customWidth="1"/>
    <col min="27" max="27" width="14.7109375" bestFit="1" customWidth="1"/>
    <col min="28" max="28" width="14.28515625" bestFit="1" customWidth="1"/>
    <col min="29" max="29" width="15.5703125" customWidth="1"/>
    <col min="30" max="30" width="17" customWidth="1"/>
    <col min="31" max="31" width="16.42578125" customWidth="1"/>
    <col min="32" max="32" width="15.7109375" customWidth="1"/>
    <col min="33" max="33" width="14.7109375" customWidth="1"/>
    <col min="34" max="34" width="15.140625" customWidth="1"/>
    <col min="35" max="35" width="13.7109375" customWidth="1"/>
    <col min="36" max="36" width="13.7109375" bestFit="1" customWidth="1"/>
    <col min="37" max="37" width="14.85546875" customWidth="1"/>
    <col min="38" max="39" width="13.5703125" bestFit="1" customWidth="1"/>
    <col min="40" max="40" width="12.5703125" bestFit="1" customWidth="1"/>
    <col min="41" max="41" width="13.5703125" bestFit="1" customWidth="1"/>
    <col min="42" max="44" width="12.5703125" bestFit="1" customWidth="1"/>
    <col min="45" max="45" width="12.5703125" customWidth="1"/>
    <col min="46" max="48" width="12.5703125" bestFit="1" customWidth="1"/>
    <col min="49" max="49" width="13.28515625" customWidth="1"/>
    <col min="50" max="54" width="13.7109375" bestFit="1" customWidth="1"/>
  </cols>
  <sheetData>
    <row r="1" spans="1:28">
      <c r="A1" s="10" t="s">
        <v>16</v>
      </c>
      <c r="B1" s="12">
        <v>705000000</v>
      </c>
      <c r="C1" s="10" t="s">
        <v>17</v>
      </c>
      <c r="D1" s="30">
        <v>0.12332</v>
      </c>
      <c r="E1" s="10" t="s">
        <v>18</v>
      </c>
      <c r="F1" s="8">
        <f>((D1+D2)/12)</f>
        <v>1.9651666666666668E-2</v>
      </c>
      <c r="H1" s="19" t="s">
        <v>19</v>
      </c>
      <c r="J1" s="64">
        <v>45111</v>
      </c>
    </row>
    <row r="2" spans="1:28" ht="29.45" customHeight="1">
      <c r="A2" s="10" t="s">
        <v>20</v>
      </c>
      <c r="B2" s="13">
        <v>48</v>
      </c>
      <c r="C2" s="10" t="s">
        <v>21</v>
      </c>
      <c r="D2" s="25">
        <v>0.1125</v>
      </c>
      <c r="E2" s="10" t="s">
        <v>22</v>
      </c>
      <c r="F2" s="2">
        <f>+PMT(F1,B2,-B1,0)</f>
        <v>22821682.931468125</v>
      </c>
      <c r="G2" s="2"/>
      <c r="J2" s="37">
        <v>16</v>
      </c>
      <c r="O2" s="4">
        <f>35653926-D4</f>
        <v>25763040</v>
      </c>
      <c r="Q2" s="94" t="s">
        <v>23</v>
      </c>
      <c r="R2" s="97"/>
      <c r="S2" s="97"/>
      <c r="T2" s="97"/>
      <c r="U2" s="97"/>
      <c r="V2" s="98"/>
    </row>
    <row r="3" spans="1:28" ht="27.6" customHeight="1">
      <c r="B3" s="9" t="s">
        <v>24</v>
      </c>
      <c r="C3" s="9" t="s">
        <v>25</v>
      </c>
      <c r="D3" s="9" t="s">
        <v>26</v>
      </c>
      <c r="E3" s="9" t="s">
        <v>13</v>
      </c>
      <c r="F3" s="9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4" t="s">
        <v>35</v>
      </c>
      <c r="Q3" s="74" t="s">
        <v>36</v>
      </c>
      <c r="R3" s="73" t="s">
        <v>37</v>
      </c>
      <c r="S3" s="74" t="s">
        <v>38</v>
      </c>
      <c r="T3" s="73" t="s">
        <v>39</v>
      </c>
      <c r="U3" s="75" t="s">
        <v>40</v>
      </c>
      <c r="V3" s="75" t="s">
        <v>41</v>
      </c>
      <c r="W3" s="72"/>
    </row>
    <row r="4" spans="1:28">
      <c r="A4" s="60">
        <v>1</v>
      </c>
      <c r="B4" s="61">
        <f>+B1</f>
        <v>705000000</v>
      </c>
      <c r="C4" s="61">
        <f>+B4*F1</f>
        <v>13854425</v>
      </c>
      <c r="D4" s="61">
        <v>9890886</v>
      </c>
      <c r="E4" s="61">
        <f>+F2</f>
        <v>22821682.931468125</v>
      </c>
      <c r="F4" s="61">
        <f>+B4-D4</f>
        <v>695109114</v>
      </c>
      <c r="G4" s="62">
        <v>0.12334000000000001</v>
      </c>
      <c r="H4" s="62">
        <f>+D2</f>
        <v>0.1125</v>
      </c>
      <c r="I4" s="8">
        <f>((G4+H4)/12)</f>
        <v>1.9653333333333332E-2</v>
      </c>
      <c r="J4" s="2">
        <f>PMT(I4,K4,-F4,0)</f>
        <v>22792161.318314966</v>
      </c>
      <c r="K4" s="7">
        <f>+$B$2-A4</f>
        <v>47</v>
      </c>
      <c r="L4">
        <v>4</v>
      </c>
      <c r="M4">
        <v>9</v>
      </c>
      <c r="N4">
        <v>2023</v>
      </c>
      <c r="O4" s="20">
        <f>+C4/30</f>
        <v>461814.16666666669</v>
      </c>
      <c r="P4" s="22">
        <f>+(C4/30)*26</f>
        <v>12007168.333333334</v>
      </c>
      <c r="Q4" s="38">
        <v>45140</v>
      </c>
      <c r="R4" s="93">
        <v>12930787</v>
      </c>
      <c r="S4" s="93">
        <v>9890886</v>
      </c>
      <c r="T4" s="93"/>
      <c r="U4" s="93">
        <f>SUM(R4:T4)</f>
        <v>22821673</v>
      </c>
      <c r="V4" s="45">
        <f>+B1-S4</f>
        <v>695109114</v>
      </c>
    </row>
    <row r="5" spans="1:28">
      <c r="A5" s="60">
        <v>2</v>
      </c>
      <c r="B5" s="61">
        <f>IF(A5=" "," ",+F4)</f>
        <v>695109114</v>
      </c>
      <c r="C5" s="61">
        <f>IF(A5=" "," ",+B5*I4)</f>
        <v>13661211.120479999</v>
      </c>
      <c r="D5" s="61">
        <v>8149097</v>
      </c>
      <c r="E5" s="61">
        <f>IF(A5=" "," ",+J4)</f>
        <v>22792161.318314966</v>
      </c>
      <c r="F5" s="61">
        <f>IF(A5=" "," ",+B5-D5)</f>
        <v>686960017</v>
      </c>
      <c r="G5" s="62">
        <v>0.12330000000000001</v>
      </c>
      <c r="H5" s="62">
        <f>IF(A5=" "," ",+H4)</f>
        <v>0.1125</v>
      </c>
      <c r="I5" s="8">
        <f>IF(A5=" "," ",((G5+H5)/12))</f>
        <v>1.9650000000000001E-2</v>
      </c>
      <c r="J5" s="2">
        <f>IF(A5=" "," ",PMT(I5,K5,-F5,0))</f>
        <v>22823283.30468275</v>
      </c>
      <c r="K5" s="7">
        <f>IF(A2=" "," ",+$B$2-A5)</f>
        <v>46</v>
      </c>
      <c r="L5">
        <f>IF(A5&lt;&gt;" ",+L4," ")</f>
        <v>4</v>
      </c>
      <c r="M5">
        <f>IF(AND(A5&lt;&gt;" ")*(M4=12),1,1+M4)</f>
        <v>10</v>
      </c>
      <c r="N5">
        <f>IF(AND(A5&lt;&gt;" ")*(M5=1),1+N4,N4)</f>
        <v>2023</v>
      </c>
      <c r="O5" s="20">
        <f>+C5/30</f>
        <v>455373.70401599997</v>
      </c>
      <c r="P5" s="22">
        <f>+(C5/30)*26</f>
        <v>11839716.304415999</v>
      </c>
      <c r="Q5" s="32">
        <v>45182</v>
      </c>
      <c r="R5" s="63">
        <v>14571959</v>
      </c>
      <c r="S5" s="63">
        <f>8149097</f>
        <v>8149097</v>
      </c>
      <c r="T5" s="86">
        <v>71105</v>
      </c>
      <c r="U5" s="93">
        <f>SUM(R5:T5)</f>
        <v>22792161</v>
      </c>
      <c r="V5" s="45">
        <f>+V4-S5</f>
        <v>686960017</v>
      </c>
    </row>
    <row r="6" spans="1:28">
      <c r="A6" s="60">
        <f>IF(AND(A5&lt;$B$2)*(A5&lt;&gt;0),1+A5," ")</f>
        <v>3</v>
      </c>
      <c r="B6" s="61">
        <f>IF(A6=" "," ",+F5)</f>
        <v>686960017</v>
      </c>
      <c r="C6" s="61">
        <f>IF(A6=" "," ",+B6*I5)</f>
        <v>13498764.33405</v>
      </c>
      <c r="D6" s="61">
        <v>9286486</v>
      </c>
      <c r="E6" s="61">
        <f>IF(A6=" "," ",+J5)</f>
        <v>22823283.30468275</v>
      </c>
      <c r="F6" s="61">
        <f>IF(A6=" "," ",+B6-D6)</f>
        <v>677673531</v>
      </c>
      <c r="G6" s="62">
        <v>0.12318</v>
      </c>
      <c r="H6" s="62">
        <f>IF(A6=" "," ",+H5)</f>
        <v>0.1125</v>
      </c>
      <c r="I6" s="8">
        <f>IF(A6=" "," ",((G6+H6)/12))</f>
        <v>1.9640000000000001E-2</v>
      </c>
      <c r="J6" s="2">
        <f>IF(A6=" "," ",PMT(I6,K6,-F6,0))</f>
        <v>22820141.506155629</v>
      </c>
      <c r="K6" s="7">
        <f>IF(A3=" "," ",+$B$2-A6)</f>
        <v>45</v>
      </c>
      <c r="L6">
        <f>IF(A6&lt;&gt;" ",+L5," ")</f>
        <v>4</v>
      </c>
      <c r="M6">
        <f>IF(AND(A6&lt;&gt;" ")*(M5=12),1,1+M5)</f>
        <v>11</v>
      </c>
      <c r="N6">
        <f>IF(AND(A6&lt;&gt;" ")*(M6=1),1+N5,N5)</f>
        <v>2023</v>
      </c>
      <c r="O6" s="20">
        <f>+C6/30</f>
        <v>449958.81113499997</v>
      </c>
      <c r="P6" s="22">
        <f>+(C6/30)*26</f>
        <v>11698929.089509999</v>
      </c>
      <c r="Q6" s="32">
        <v>45204</v>
      </c>
      <c r="R6" s="63">
        <f>13497367+71105</f>
        <v>13568472</v>
      </c>
      <c r="S6" s="63">
        <f>9215381+71105</f>
        <v>9286486</v>
      </c>
      <c r="T6" s="86">
        <v>8308</v>
      </c>
      <c r="U6" s="93">
        <f>SUM(R6:T6)</f>
        <v>22863266</v>
      </c>
      <c r="V6" s="45">
        <f>+V5-S6</f>
        <v>677673531</v>
      </c>
      <c r="X6" s="21"/>
      <c r="AB6" s="55" t="e">
        <f>+AB9+AB10</f>
        <v>#VALUE!</v>
      </c>
    </row>
    <row r="7" spans="1:28">
      <c r="A7" s="60">
        <f>IF(AND(A6&lt;$B$2)*(A6&lt;&gt;0),1+A6," ")</f>
        <v>4</v>
      </c>
      <c r="B7" s="61">
        <f>IF(A7=" "," ",+F6)</f>
        <v>677673531</v>
      </c>
      <c r="C7" s="61">
        <f>IF(A7=" "," ",+B7*I6)</f>
        <v>13309508.148840001</v>
      </c>
      <c r="D7" s="61">
        <v>13059835</v>
      </c>
      <c r="E7" s="61">
        <f>IF(A7=" "," ",+J6)</f>
        <v>22820141.506155629</v>
      </c>
      <c r="F7" s="61">
        <f>IF(A7=" "," ",+B7-D7)</f>
        <v>664613696</v>
      </c>
      <c r="G7" s="62">
        <v>0.12334000000000001</v>
      </c>
      <c r="H7" s="62">
        <f>IF(A7=" "," ",+H6)</f>
        <v>0.1125</v>
      </c>
      <c r="I7" s="8">
        <f>IF(A7=" "," ",((G7+H7)/12))</f>
        <v>1.9653333333333332E-2</v>
      </c>
      <c r="J7" s="2">
        <f>IF(A7=" "," ",PMT(I7,K7,-F7,0))</f>
        <v>22704682.800830938</v>
      </c>
      <c r="K7" s="7">
        <f>IF(A4=" "," ",+$B$2-A7)</f>
        <v>44</v>
      </c>
      <c r="L7">
        <f>IF(A7&lt;&gt;" ",+L6," ")</f>
        <v>4</v>
      </c>
      <c r="M7">
        <f>IF(AND(A7&lt;&gt;" ")*(M6=12),1,1+M6)</f>
        <v>12</v>
      </c>
      <c r="N7">
        <f>IF(AND(A7&lt;&gt;" ")*(M7=1),1+N6,N6)</f>
        <v>2023</v>
      </c>
      <c r="O7" s="20">
        <f>+C7/30</f>
        <v>443650.27162800002</v>
      </c>
      <c r="P7" s="22">
        <f>+O7*26</f>
        <v>11534907.062328</v>
      </c>
      <c r="Q7" s="32">
        <v>45225</v>
      </c>
      <c r="R7" s="45">
        <f>71105+9760306</f>
        <v>9831411</v>
      </c>
      <c r="S7" s="63">
        <v>13059835</v>
      </c>
      <c r="T7" s="45"/>
      <c r="U7" s="93">
        <f>SUM(R7:T7)</f>
        <v>22891246</v>
      </c>
      <c r="V7" s="45">
        <f>+V6-S7</f>
        <v>664613696</v>
      </c>
      <c r="X7" s="55"/>
    </row>
    <row r="8" spans="1:28">
      <c r="A8" s="60">
        <f>IF(AND(A7&lt;$B$2)*(A7&lt;&gt;0),1+A7," ")</f>
        <v>5</v>
      </c>
      <c r="B8" s="61">
        <f>IF(A8=" "," ",+F7)</f>
        <v>664613696</v>
      </c>
      <c r="C8" s="61">
        <f>IF(A8=" "," ",+B8*I7)</f>
        <v>13061874.505386665</v>
      </c>
      <c r="D8" s="61">
        <v>5834584</v>
      </c>
      <c r="E8" s="61">
        <f>IF(A8=" "," ",+J7)</f>
        <v>22704682.800830938</v>
      </c>
      <c r="F8" s="61">
        <f>IF(A8=" "," ",+B8-D8)</f>
        <v>658779112</v>
      </c>
      <c r="G8" s="62">
        <v>0.12300999999999999</v>
      </c>
      <c r="H8" s="62">
        <f>IF(A8=" "," ",+H7)</f>
        <v>0.1125</v>
      </c>
      <c r="I8" s="8">
        <f>IF(A8=" "," ",((G8+H8)/12))</f>
        <v>1.9625833333333332E-2</v>
      </c>
      <c r="J8" s="2">
        <f>IF(A8=" "," ",PMT(I8,K8,-F8,0))</f>
        <v>22824972.10877499</v>
      </c>
      <c r="K8" s="7">
        <f>IF(A5=" "," ",+$B$2-A8)</f>
        <v>43</v>
      </c>
      <c r="L8">
        <f>IF(A8&lt;&gt;" ",+L7," ")</f>
        <v>4</v>
      </c>
      <c r="M8">
        <f>IF(AND(A8&lt;&gt;" ")*(M7=12),1,1+M7)</f>
        <v>1</v>
      </c>
      <c r="N8">
        <f>IF(AND(A8&lt;&gt;" ")*(M8=1),1+N7,N7)</f>
        <v>2024</v>
      </c>
      <c r="O8" s="20">
        <f>+C8/30</f>
        <v>435395.81684622221</v>
      </c>
      <c r="P8" s="22">
        <f>+O8*26</f>
        <v>11320291.238001777</v>
      </c>
      <c r="Q8" s="32">
        <v>45267</v>
      </c>
      <c r="R8" s="45">
        <v>16545041</v>
      </c>
      <c r="S8" s="63">
        <v>5834584</v>
      </c>
      <c r="T8" s="84">
        <v>14828</v>
      </c>
      <c r="U8" s="93">
        <f>SUM(R8:T8)</f>
        <v>22394453</v>
      </c>
      <c r="V8" s="45">
        <f>+V7-S8</f>
        <v>658779112</v>
      </c>
    </row>
    <row r="9" spans="1:28">
      <c r="A9" s="60">
        <f>IF(AND(A8&lt;$B$2)*(A8&lt;&gt;0),1+A8," ")</f>
        <v>6</v>
      </c>
      <c r="B9" s="61">
        <f>IF(A9=" "," ",+F8)</f>
        <v>658779112</v>
      </c>
      <c r="C9" s="61">
        <f>IF(A9=" "," ",+B9*I8)</f>
        <v>12929089.055593332</v>
      </c>
      <c r="D9" s="61">
        <v>13340323</v>
      </c>
      <c r="E9" s="61">
        <f>IF(A9=" "," ",+J8)</f>
        <v>22824972.10877499</v>
      </c>
      <c r="F9" s="61">
        <f>IF(A9=" "," ",+B9-D9)</f>
        <v>645438789</v>
      </c>
      <c r="G9" s="62">
        <v>0.12048</v>
      </c>
      <c r="H9" s="62">
        <f>IF(A9=" "," ",+H8)</f>
        <v>0.1125</v>
      </c>
      <c r="I9" s="8">
        <f>IF(A9=" "," ",((G9+H9)/12))</f>
        <v>1.9415000000000002E-2</v>
      </c>
      <c r="J9" s="2">
        <f>IF(A9=" "," ",PMT(I9,K9,-F9,0))</f>
        <v>22616227.397100888</v>
      </c>
      <c r="K9" s="7">
        <f>IF(A6=" "," ",+$B$2-A9)</f>
        <v>42</v>
      </c>
      <c r="L9">
        <f>IF(A9&lt;&gt;" ",+L8," ")</f>
        <v>4</v>
      </c>
      <c r="M9">
        <f>IF(AND(A9&lt;&gt;" ")*(M8=12),1,1+M8)</f>
        <v>2</v>
      </c>
      <c r="N9">
        <f>IF(AND(A9&lt;&gt;" ")*(M9=1),1+N8,N8)</f>
        <v>2024</v>
      </c>
      <c r="O9" s="20">
        <f>+C9/30</f>
        <v>430969.63518644439</v>
      </c>
      <c r="P9" s="22">
        <f>+O9*26</f>
        <v>11205210.514847554</v>
      </c>
      <c r="Q9" s="32">
        <v>45286</v>
      </c>
      <c r="R9" s="45">
        <v>9481238</v>
      </c>
      <c r="S9" s="63">
        <v>13340323</v>
      </c>
      <c r="T9" s="45">
        <v>122</v>
      </c>
      <c r="U9" s="93">
        <f>SUM(R9:T9)</f>
        <v>22821683</v>
      </c>
      <c r="V9" s="45">
        <f>+V8-S9</f>
        <v>645438789</v>
      </c>
      <c r="X9" s="55"/>
      <c r="AB9" s="55" t="s">
        <v>42</v>
      </c>
    </row>
    <row r="10" spans="1:28">
      <c r="A10" s="60">
        <f>IF(AND(A9&lt;$B$2)*(A9&lt;&gt;0),1+A9," ")</f>
        <v>7</v>
      </c>
      <c r="B10" s="61">
        <f>IF(A10=" "," ",+F9)</f>
        <v>645438789</v>
      </c>
      <c r="C10" s="61">
        <f>IF(A10=" "," ",+B10*I9)</f>
        <v>12531194.088435002</v>
      </c>
      <c r="D10" s="61">
        <v>9743616</v>
      </c>
      <c r="E10" s="61">
        <f>IF(A10=" "," ",+J9)</f>
        <v>22616227.397100888</v>
      </c>
      <c r="F10" s="61">
        <f>IF(A10=" "," ",+B10-D10)</f>
        <v>635695173</v>
      </c>
      <c r="G10" s="62">
        <v>0.11885999999999999</v>
      </c>
      <c r="H10" s="62">
        <f>IF(A10=" "," ",+H9)</f>
        <v>0.1125</v>
      </c>
      <c r="I10" s="8">
        <f>IF(A10=" "," ",((G10+H10)/12))</f>
        <v>1.9280000000000002E-2</v>
      </c>
      <c r="J10" s="2">
        <f>IF(A10=" "," ",PMT(I10,K10,-F10,0))</f>
        <v>22573471.784935016</v>
      </c>
      <c r="K10" s="7">
        <f>IF(A7=" "," ",+$B$2-A10)</f>
        <v>41</v>
      </c>
      <c r="L10">
        <f>IF(A10&lt;&gt;" ",+L9," ")</f>
        <v>4</v>
      </c>
      <c r="M10">
        <f>IF(AND(A10&lt;&gt;" ")*(M9=12),1,1+M9)</f>
        <v>3</v>
      </c>
      <c r="N10">
        <f>IF(AND(A10&lt;&gt;" ")*(M10=1),1+N9,N9)</f>
        <v>2024</v>
      </c>
      <c r="O10" s="20">
        <f>15872846/38</f>
        <v>417706.4736842105</v>
      </c>
      <c r="P10" s="22">
        <f>+O10*26</f>
        <v>10860368.315789472</v>
      </c>
      <c r="Q10" s="32">
        <v>45317</v>
      </c>
      <c r="R10" s="45">
        <v>12531194</v>
      </c>
      <c r="S10" s="63">
        <v>9743616</v>
      </c>
      <c r="T10" s="45"/>
      <c r="U10" s="93">
        <f>SUM(R10:T10)</f>
        <v>22274810</v>
      </c>
      <c r="V10" s="45">
        <f>+V9-S10</f>
        <v>635695173</v>
      </c>
      <c r="X10" s="55"/>
      <c r="AB10" s="55" t="s">
        <v>43</v>
      </c>
    </row>
    <row r="11" spans="1:28">
      <c r="A11" s="60">
        <f>IF(AND(A10&lt;$B$2)*(A10&lt;&gt;0),1+A10," ")</f>
        <v>8</v>
      </c>
      <c r="B11" s="61">
        <f>IF(A11=" "," ",+F10)</f>
        <v>635695173</v>
      </c>
      <c r="C11" s="61">
        <f>IF(A11=" "," ",+B11*I10)</f>
        <v>12256202.935440002</v>
      </c>
      <c r="D11" s="61">
        <v>7262571</v>
      </c>
      <c r="E11" s="61">
        <f>IF(A11=" "," ",+J10)</f>
        <v>22573471.784935016</v>
      </c>
      <c r="F11" s="61">
        <f>IF(A11=" "," ",+B11-D11)</f>
        <v>628432602</v>
      </c>
      <c r="G11" s="62">
        <v>0.11885999999999999</v>
      </c>
      <c r="H11" s="62">
        <f>IF(A11=" "," ",+H10)</f>
        <v>0.1125</v>
      </c>
      <c r="I11" s="8">
        <f>IF(A11=" "," ",((G11+H11)/12))</f>
        <v>1.9280000000000002E-2</v>
      </c>
      <c r="J11" s="2">
        <f>IF(A11=" "," ",PMT(I11,K11,-F11,0))</f>
        <v>22683733.332807805</v>
      </c>
      <c r="K11" s="7">
        <f>IF(A8=" "," ",+$B$2-A11)</f>
        <v>40</v>
      </c>
      <c r="L11">
        <f>IF(A11&lt;&gt;" ",+L10," ")</f>
        <v>4</v>
      </c>
      <c r="M11">
        <f>IF(AND(A11&lt;&gt;" ")*(M10=12),1,1+M10)</f>
        <v>4</v>
      </c>
      <c r="N11">
        <f>IF(AND(A11&lt;&gt;" ")*(M11=1),1+N10,N10)</f>
        <v>2024</v>
      </c>
      <c r="O11" s="20">
        <f>15524524/38</f>
        <v>408540.10526315792</v>
      </c>
      <c r="P11" s="51">
        <f>+O11*26</f>
        <v>10622042.736842105</v>
      </c>
      <c r="Q11" s="32">
        <v>45356</v>
      </c>
      <c r="R11" s="63">
        <v>15524524</v>
      </c>
      <c r="S11" s="45">
        <v>7262571</v>
      </c>
      <c r="T11" s="45">
        <v>5066</v>
      </c>
      <c r="U11" s="45">
        <f>SUM(R11:T11)</f>
        <v>22792161</v>
      </c>
      <c r="V11" s="45">
        <f>+V10-S11</f>
        <v>628432602</v>
      </c>
      <c r="X11" s="55"/>
      <c r="AB11" s="55" t="s">
        <v>44</v>
      </c>
    </row>
    <row r="12" spans="1:28">
      <c r="A12" s="60">
        <f>IF(AND(A11&lt;$B$2)*(A11&lt;&gt;0),1+A11," ")</f>
        <v>9</v>
      </c>
      <c r="B12" s="61">
        <f>IF(A12=" "," ",+F11)</f>
        <v>628432602</v>
      </c>
      <c r="C12" s="61">
        <f>IF(A12=" "," ",+B12*I11)</f>
        <v>12116180.566560002</v>
      </c>
      <c r="D12" s="61">
        <v>23435628</v>
      </c>
      <c r="E12" s="61">
        <f>IF(A12=" "," ",+J11)</f>
        <v>22683733.332807805</v>
      </c>
      <c r="F12" s="61">
        <f>IF(A12=" "," ",+B12-D12)</f>
        <v>604996974</v>
      </c>
      <c r="G12" s="62">
        <v>0.11384</v>
      </c>
      <c r="H12" s="62">
        <f>IF(A12=" "," ",+H11)</f>
        <v>0.1125</v>
      </c>
      <c r="I12" s="8">
        <f>IF(A12=" "," ",((G12+H12)/12))</f>
        <v>1.8861666666666665E-2</v>
      </c>
      <c r="J12" s="2">
        <f>IF(A12=" "," ",PMT(I12,K12,-F12,0))</f>
        <v>22051152.834917057</v>
      </c>
      <c r="K12" s="7">
        <f>IF(A9=" "," ",+$B$2-A12)</f>
        <v>39</v>
      </c>
      <c r="L12">
        <f>IF(A12&lt;&gt;" ",+L11," ")</f>
        <v>4</v>
      </c>
      <c r="M12">
        <f>IF(AND(A12&lt;&gt;" ")*(M11=12),1,1+M11)</f>
        <v>5</v>
      </c>
      <c r="N12">
        <f>IF(AND(A12&lt;&gt;" ")*(M12=1),1+N11,N11)</f>
        <v>2024</v>
      </c>
      <c r="O12" s="20">
        <f>12056479/30</f>
        <v>401882.63333333336</v>
      </c>
      <c r="P12" s="54">
        <f>+O12*26</f>
        <v>10448948.466666667</v>
      </c>
      <c r="Q12" s="32">
        <v>45386</v>
      </c>
      <c r="R12" s="63">
        <v>12056479</v>
      </c>
      <c r="S12" s="63">
        <v>10735682</v>
      </c>
      <c r="T12" s="45"/>
      <c r="U12" s="45">
        <f>SUM(R12:T12)</f>
        <v>22792161</v>
      </c>
      <c r="V12" s="45">
        <f>+V11-S12</f>
        <v>617696920</v>
      </c>
      <c r="X12" s="55"/>
      <c r="AB12" s="55" t="s">
        <v>45</v>
      </c>
    </row>
    <row r="13" spans="1:28">
      <c r="A13" s="60">
        <f>IF(AND(A12&lt;$B$2)*(A12&lt;&gt;0),1+A12," ")</f>
        <v>10</v>
      </c>
      <c r="B13" s="61">
        <f>IF(A13=" "," ",+F12)</f>
        <v>604996974</v>
      </c>
      <c r="C13" s="61">
        <f>IF(A13=" "," ",+B13*I12)</f>
        <v>11411251.257929999</v>
      </c>
      <c r="D13" s="61">
        <v>13819249</v>
      </c>
      <c r="E13" s="61">
        <f>IF(A13=" "," ",+J12)</f>
        <v>22051152.834917057</v>
      </c>
      <c r="F13" s="61">
        <f>IF(A13=" "," ",+B13-D13)</f>
        <v>591177725</v>
      </c>
      <c r="G13" s="62">
        <v>0.10957</v>
      </c>
      <c r="H13" s="62">
        <f>IF(A13=" "," ",+H12)</f>
        <v>0.1125</v>
      </c>
      <c r="I13" s="8">
        <f>IF(A13=" "," ",((G13+H13)/12))</f>
        <v>1.8505833333333332E-2</v>
      </c>
      <c r="J13" s="2">
        <f>IF(A13=" "," ",PMT(I13,K13,-F13,0))</f>
        <v>21801113.105468173</v>
      </c>
      <c r="K13" s="7">
        <f>IF(A10=" "," ",+$B$2-A13)</f>
        <v>38</v>
      </c>
      <c r="L13">
        <f>IF(A13&lt;&gt;" ",+L12," ")</f>
        <v>4</v>
      </c>
      <c r="M13">
        <f>IF(AND(A13&lt;&gt;" ")*(M12=12),1,1+M12)</f>
        <v>6</v>
      </c>
      <c r="N13">
        <f>IF(AND(A13&lt;&gt;" ")*(M13=1),1+N12,N12)</f>
        <v>2024</v>
      </c>
      <c r="O13" s="20">
        <f>+C13/30</f>
        <v>380375.04193099996</v>
      </c>
      <c r="P13" s="20">
        <f>+O13*26</f>
        <v>9889751.0902059991</v>
      </c>
      <c r="Q13" s="32">
        <v>45386</v>
      </c>
      <c r="R13" s="45"/>
      <c r="S13" s="45">
        <v>5056</v>
      </c>
      <c r="T13" s="45"/>
      <c r="U13" s="45">
        <f>SUM(R13:T13)</f>
        <v>5056</v>
      </c>
      <c r="V13" s="45">
        <f>+V12-S13</f>
        <v>617691864</v>
      </c>
      <c r="X13" s="55"/>
      <c r="AB13" s="55" t="s">
        <v>46</v>
      </c>
    </row>
    <row r="14" spans="1:28">
      <c r="A14" s="60">
        <f>IF(AND(A13&lt;$B$2)*(A13&lt;&gt;0),1+A13," ")</f>
        <v>11</v>
      </c>
      <c r="B14" s="61">
        <f>IF(A14=" "," ",+F13)</f>
        <v>591177725</v>
      </c>
      <c r="C14" s="61">
        <f>IF(A14=" "," ",+B14*I13)</f>
        <v>10940236.449229166</v>
      </c>
      <c r="D14" s="61">
        <v>11122576</v>
      </c>
      <c r="E14" s="61">
        <f>IF(A14=" "," ",+J13)</f>
        <v>21801113.105468173</v>
      </c>
      <c r="F14" s="61">
        <f>IF(A14=" "," ",+B14-D14)</f>
        <v>580055149</v>
      </c>
      <c r="G14" s="62">
        <v>0.10440000000000001</v>
      </c>
      <c r="H14" s="62">
        <f>IF(A14=" "," ",+H13)</f>
        <v>0.1125</v>
      </c>
      <c r="I14" s="8">
        <f>IF(A14=" "," ",((G14+H14)/12))</f>
        <v>1.8075000000000001E-2</v>
      </c>
      <c r="J14" s="2">
        <f>IF(A14=" "," ",PMT(I14,K14,-F14,0))</f>
        <v>21635573.986032404</v>
      </c>
      <c r="K14" s="7">
        <f>IF(A11=" "," ",+$B$2-A14)</f>
        <v>37</v>
      </c>
      <c r="L14">
        <f>IF(A14&lt;&gt;" ",+L13," ")</f>
        <v>4</v>
      </c>
      <c r="M14">
        <f>IF(AND(A14&lt;&gt;" ")*(M13=12),1,1+M13)</f>
        <v>7</v>
      </c>
      <c r="N14">
        <f>IF(AND(A14&lt;&gt;" ")*(M14=1),1+N13,N13)</f>
        <v>2024</v>
      </c>
      <c r="O14" s="20">
        <f>14586982/40</f>
        <v>364674.55</v>
      </c>
      <c r="P14" s="20">
        <f>+O14*30</f>
        <v>10940236.5</v>
      </c>
      <c r="Q14" s="32">
        <v>45412</v>
      </c>
      <c r="R14" s="45">
        <v>10097271</v>
      </c>
      <c r="S14" s="45">
        <v>12694890</v>
      </c>
      <c r="T14" s="45"/>
      <c r="U14" s="45">
        <f>SUM(R14:T14)</f>
        <v>22792161</v>
      </c>
      <c r="V14" s="45">
        <f>+V13-S14</f>
        <v>604996974</v>
      </c>
      <c r="X14" s="55"/>
      <c r="AB14" s="55" t="s">
        <v>47</v>
      </c>
    </row>
    <row r="15" spans="1:28">
      <c r="A15" s="60">
        <f>IF(AND(A14&lt;$B$2)*(A14&lt;&gt;0),1+A14," ")</f>
        <v>12</v>
      </c>
      <c r="B15" s="61">
        <f>IF(A15=" "," ",+F14)</f>
        <v>580055149</v>
      </c>
      <c r="C15" s="61">
        <f>IF(A15=" "," ",+B15*I14)</f>
        <v>10484496.818175001</v>
      </c>
      <c r="D15" s="61">
        <f>+S17</f>
        <v>9450130</v>
      </c>
      <c r="E15" s="61">
        <f>IF(A15=" "," ",+J14)</f>
        <v>21635573.986032404</v>
      </c>
      <c r="F15" s="61">
        <f>IF(A15=" "," ",+B15-D15)</f>
        <v>570605019</v>
      </c>
      <c r="G15" s="62">
        <v>0.1009</v>
      </c>
      <c r="H15" s="62">
        <f>IF(A15=" "," ",+H14)</f>
        <v>0.1125</v>
      </c>
      <c r="I15" s="8">
        <f>IF(A15=" "," ",((G15+H15)/12))</f>
        <v>1.7783333333333335E-2</v>
      </c>
      <c r="J15" s="2">
        <f>IF(A15=" "," ",PMT(I15,K15,-F15,0))</f>
        <v>21597321.049018838</v>
      </c>
      <c r="K15" s="7">
        <f>IF(A12=" "," ",+$B$2-A15)</f>
        <v>36</v>
      </c>
      <c r="L15">
        <f>IF(A15&lt;&gt;" ",+L14," ")</f>
        <v>4</v>
      </c>
      <c r="M15">
        <f>IF(AND(A15&lt;&gt;" ")*(M14=12),1,1+M14)</f>
        <v>8</v>
      </c>
      <c r="N15">
        <f>IF(AND(A15&lt;&gt;" ")*(M15=1),1+N14,N14)</f>
        <v>2024</v>
      </c>
      <c r="O15" s="20">
        <f>13280362/38</f>
        <v>349483.21052631579</v>
      </c>
      <c r="P15" s="20">
        <f>+O15*30</f>
        <v>10484496.315789474</v>
      </c>
      <c r="Q15" s="32">
        <v>45436</v>
      </c>
      <c r="R15" s="45">
        <v>8972912</v>
      </c>
      <c r="S15" s="45">
        <v>13819249</v>
      </c>
      <c r="T15" s="45"/>
      <c r="U15" s="45">
        <f>SUM(R15:T15)</f>
        <v>22792161</v>
      </c>
      <c r="V15" s="45">
        <f>+V14-S15</f>
        <v>591177725</v>
      </c>
      <c r="X15" s="55"/>
      <c r="AB15" s="55" t="s">
        <v>48</v>
      </c>
    </row>
    <row r="16" spans="1:28">
      <c r="A16" s="60">
        <f>IF(AND(A15&lt;$B$2)*(A15&lt;&gt;0),1+A15," ")</f>
        <v>13</v>
      </c>
      <c r="B16" s="61">
        <f>IF(A16=" "," ",+F15)</f>
        <v>570605019</v>
      </c>
      <c r="C16" s="61">
        <f>IF(A16=" "," ",+B16*I15)</f>
        <v>10147259.254550001</v>
      </c>
      <c r="D16" s="61">
        <f>+S18</f>
        <v>12629763</v>
      </c>
      <c r="E16" s="61">
        <f>IF(A16=" "," ",+J15)</f>
        <v>21597321.049018838</v>
      </c>
      <c r="F16" s="61">
        <f>IF(A16=" "," ",+B16-D16)</f>
        <v>557975256</v>
      </c>
      <c r="G16" s="62">
        <v>0.10015</v>
      </c>
      <c r="H16" s="62">
        <f>IF(A16=" "," ",+H15)</f>
        <v>0.1125</v>
      </c>
      <c r="I16" s="8">
        <f>IF(A16=" "," ",((G16+H16)/12))</f>
        <v>1.7720833333333335E-2</v>
      </c>
      <c r="J16" s="2">
        <f>IF(A16=" "," ",PMT(I16,K16,-F16,0))</f>
        <v>21530303.57838681</v>
      </c>
      <c r="K16" s="7">
        <f>IF(A13=" "," ",+$B$2-A16)</f>
        <v>35</v>
      </c>
      <c r="L16">
        <f>IF(A16&lt;&gt;" ",+L15," ")</f>
        <v>4</v>
      </c>
      <c r="M16">
        <f>IF(AND(A16&lt;&gt;" ")*(M15=12),1,1+M15)</f>
        <v>9</v>
      </c>
      <c r="N16">
        <f>IF(AND(A16&lt;&gt;" ")*(M16=1),1+N15,N15)</f>
        <v>2024</v>
      </c>
      <c r="O16" s="20">
        <f>+C16/38</f>
        <v>267033.1382776316</v>
      </c>
      <c r="P16" s="20">
        <f>+O16*30</f>
        <v>8010994.1483289478</v>
      </c>
      <c r="Q16" s="32">
        <v>45469</v>
      </c>
      <c r="R16" s="45">
        <v>11669585</v>
      </c>
      <c r="S16" s="45">
        <v>11122576</v>
      </c>
      <c r="T16" s="45"/>
      <c r="U16" s="45">
        <f>SUM(R16:T16)</f>
        <v>22792161</v>
      </c>
      <c r="V16" s="45">
        <f>+V15-S16</f>
        <v>580055149</v>
      </c>
      <c r="X16" s="55"/>
      <c r="Z16">
        <f>+O16*15</f>
        <v>4005497.0741644739</v>
      </c>
      <c r="AB16" s="55" t="s">
        <v>49</v>
      </c>
    </row>
    <row r="17" spans="1:33" ht="13.5" customHeight="1">
      <c r="A17" s="60">
        <f>IF(AND(A16&lt;$B$2)*(A16&lt;&gt;0),1+A16," ")</f>
        <v>14</v>
      </c>
      <c r="B17" s="61">
        <f>IF(A17=" "," ",+F16)</f>
        <v>557975256</v>
      </c>
      <c r="C17" s="61">
        <f>IF(A17=" "," ",+B17*I16)</f>
        <v>9887786.5157000013</v>
      </c>
      <c r="D17" s="61">
        <f>+S19</f>
        <v>11642516</v>
      </c>
      <c r="E17" s="61">
        <f>IF(A17=" "," ",+J16)</f>
        <v>21530303.57838681</v>
      </c>
      <c r="F17" s="61">
        <f>IF(A17=" "," ",+B17-D17)</f>
        <v>546332740</v>
      </c>
      <c r="G17" s="62">
        <v>9.5399999999999999E-2</v>
      </c>
      <c r="H17" s="62">
        <f>IF(A17=" "," ",+H16)</f>
        <v>0.1125</v>
      </c>
      <c r="I17" s="8">
        <f>IF(A17=" "," ",((G17+H17)/12))</f>
        <v>1.7325E-2</v>
      </c>
      <c r="J17" s="2">
        <f>IF(A17=" "," ",PMT(I17,K17,-F17,0))</f>
        <v>21398060.635990985</v>
      </c>
      <c r="K17" s="7">
        <f>IF(A14=" "," ",+$B$2-A17)</f>
        <v>34</v>
      </c>
      <c r="L17">
        <f>IF(A17&lt;&gt;" ",+L16," ")</f>
        <v>4</v>
      </c>
      <c r="M17">
        <f>IF(AND(A17&lt;&gt;" ")*(M16=12),1,1+M16)</f>
        <v>10</v>
      </c>
      <c r="N17">
        <f>IF(AND(A17&lt;&gt;" ")*(M17=1),1+N16,N16)</f>
        <v>2024</v>
      </c>
      <c r="O17" s="20">
        <f>+C17/38</f>
        <v>260204.90830789477</v>
      </c>
      <c r="P17" s="20">
        <f>+O17*30</f>
        <v>7806147.2492368435</v>
      </c>
      <c r="Q17" s="32">
        <v>45519</v>
      </c>
      <c r="R17" s="45">
        <v>13280362</v>
      </c>
      <c r="S17" s="45">
        <v>9450130</v>
      </c>
      <c r="T17" s="84">
        <v>61669</v>
      </c>
      <c r="U17" s="45">
        <f>SUM(R17:T17)</f>
        <v>22792161</v>
      </c>
      <c r="V17" s="45">
        <f>+V16-S17</f>
        <v>570605019</v>
      </c>
      <c r="X17" s="55"/>
      <c r="AB17" s="55" t="s">
        <v>50</v>
      </c>
      <c r="AF17" s="37" t="s">
        <v>51</v>
      </c>
      <c r="AG17" s="37" t="s">
        <v>52</v>
      </c>
    </row>
    <row r="18" spans="1:33">
      <c r="A18" s="60">
        <f>IF(AND(A17&lt;$B$2)*(A17&lt;&gt;0),1+A17," ")</f>
        <v>15</v>
      </c>
      <c r="B18" s="61">
        <f>IF(A18=" "," ",+F17)</f>
        <v>546332740</v>
      </c>
      <c r="C18" s="61">
        <f>IF(A18=" "," ",+B18*I17)</f>
        <v>9465214.7204999998</v>
      </c>
      <c r="D18" s="61">
        <f>+S20</f>
        <v>14505509</v>
      </c>
      <c r="E18" s="61">
        <f>IF(A18=" "," ",+J17)</f>
        <v>21398060.635990985</v>
      </c>
      <c r="F18" s="61">
        <f>IF(A18=" "," ",+B18-D18)</f>
        <v>531827231</v>
      </c>
      <c r="G18" s="62">
        <v>9.2060000000000003E-2</v>
      </c>
      <c r="H18" s="62">
        <f>IF(A18=" "," ",+H17)</f>
        <v>0.1125</v>
      </c>
      <c r="I18" s="8">
        <f>IF(A18=" "," ",((G18+H18)/12))</f>
        <v>1.7046666666666668E-2</v>
      </c>
      <c r="J18" s="2">
        <f>IF(A18=" "," ",PMT(I18,K18,-F18,0))</f>
        <v>21205134.801790703</v>
      </c>
      <c r="K18" s="7">
        <f>IF(A15=" "," ",+$B$2-A18)</f>
        <v>33</v>
      </c>
      <c r="L18">
        <f>IF(A18&lt;&gt;" ",+L17," ")</f>
        <v>4</v>
      </c>
      <c r="M18">
        <f>IF(AND(A18&lt;&gt;" ")*(M17=12),1,1+M17)</f>
        <v>11</v>
      </c>
      <c r="N18">
        <f>IF(AND(A18&lt;&gt;" ")*(M18=1),1+N17,N17)</f>
        <v>2024</v>
      </c>
      <c r="O18" s="20">
        <f>+C18/38</f>
        <v>249084.59790789473</v>
      </c>
      <c r="P18" s="22">
        <f>+O18*26</f>
        <v>6476199.5456052627</v>
      </c>
      <c r="Q18" s="32">
        <v>45541</v>
      </c>
      <c r="R18" s="45">
        <f>10147259+61669</f>
        <v>10208928</v>
      </c>
      <c r="S18" s="45">
        <v>12629763</v>
      </c>
      <c r="T18" s="83">
        <v>15139</v>
      </c>
      <c r="U18" s="45">
        <f>SUM(R18:T18)</f>
        <v>22853830</v>
      </c>
      <c r="V18" s="45">
        <f>+V17-S18</f>
        <v>557975256</v>
      </c>
      <c r="X18" s="55"/>
      <c r="AB18" s="55" t="s">
        <v>53</v>
      </c>
      <c r="AC18" s="21"/>
      <c r="AD18" t="s">
        <v>54</v>
      </c>
      <c r="AF18" s="37"/>
    </row>
    <row r="19" spans="1:33">
      <c r="A19" s="60">
        <f>IF(AND(A18&lt;$B$2)*(A18&lt;&gt;0),1+A18," ")</f>
        <v>16</v>
      </c>
      <c r="B19" s="61">
        <f>IF(A19=" "," ",+F18)</f>
        <v>531827231</v>
      </c>
      <c r="C19" s="61">
        <f>IF(A19=" "," ",+B19*I18)</f>
        <v>9065881.531113334</v>
      </c>
      <c r="D19" s="61">
        <f>+S21</f>
        <v>13667261</v>
      </c>
      <c r="E19" s="61">
        <f>IF(A19=" "," ",+J18)</f>
        <v>21205134.801790703</v>
      </c>
      <c r="F19" s="61">
        <f>IF(A19=" "," ",+B19-D19)</f>
        <v>518159970</v>
      </c>
      <c r="G19" s="62">
        <v>9.0050000000000005E-2</v>
      </c>
      <c r="H19" s="62">
        <f>IF(A19=" "," ",+H18)</f>
        <v>0.1125</v>
      </c>
      <c r="I19" s="8">
        <f>IF(A19=" "," ",((G19+H19)/12))</f>
        <v>1.6879166666666667E-2</v>
      </c>
      <c r="J19" s="2">
        <f>IF(A19=" "," ",PMT(I19,K19,-F19,0))</f>
        <v>21090362.568438768</v>
      </c>
      <c r="K19" s="7">
        <f>IF(A16=" "," ",+$B$2-A19)</f>
        <v>32</v>
      </c>
      <c r="L19">
        <f>IF(A19&lt;&gt;" ",+L18," ")</f>
        <v>4</v>
      </c>
      <c r="M19">
        <f>IF(AND(A19&lt;&gt;" ")*(M18=12),1,1+M18)</f>
        <v>12</v>
      </c>
      <c r="N19">
        <f>IF(AND(A19&lt;&gt;" ")*(M19=1),1+N18,N18)</f>
        <v>2024</v>
      </c>
      <c r="O19" s="20">
        <f>+C19/30</f>
        <v>302196.05103711114</v>
      </c>
      <c r="P19" s="22">
        <f>+O19*26</f>
        <v>7857097.3269648897</v>
      </c>
      <c r="Q19" s="32">
        <v>45576</v>
      </c>
      <c r="R19" s="45">
        <f>15139+11096901</f>
        <v>11112040</v>
      </c>
      <c r="S19" s="45">
        <v>11642516</v>
      </c>
      <c r="T19" s="83">
        <v>52744</v>
      </c>
      <c r="U19" s="45">
        <f>SUM(R19:T19)</f>
        <v>22807300</v>
      </c>
      <c r="V19" s="45">
        <f>+V18-S19</f>
        <v>546332740</v>
      </c>
      <c r="W19" s="20"/>
      <c r="X19" s="55"/>
      <c r="AB19" s="55" t="s">
        <v>55</v>
      </c>
      <c r="AC19">
        <v>729341</v>
      </c>
      <c r="AD19">
        <f>10806994-10077519</f>
        <v>729475</v>
      </c>
      <c r="AF19" s="37">
        <v>114704</v>
      </c>
    </row>
    <row r="20" spans="1:33">
      <c r="A20" s="60">
        <f>IF(AND(A19&lt;$B$2)*(A19&lt;&gt;0),1+A19," ")</f>
        <v>17</v>
      </c>
      <c r="B20" s="61">
        <f>IF(A20=" "," ",+F19)</f>
        <v>518159970</v>
      </c>
      <c r="C20" s="61">
        <f>IF(A20=" "," ",+B20*I19)</f>
        <v>8746108.4936250001</v>
      </c>
      <c r="D20" s="61">
        <f>+S24</f>
        <v>13949411</v>
      </c>
      <c r="E20" s="61">
        <f>IF(A20=" "," ",+J19)</f>
        <v>21090362.568438768</v>
      </c>
      <c r="F20" s="61">
        <f>IF(A20=" "," ",+B20-D20)</f>
        <v>504210559</v>
      </c>
      <c r="G20" s="62">
        <v>8.9859999999999995E-2</v>
      </c>
      <c r="H20" s="62">
        <f>IF(A20=" "," ",+H19)</f>
        <v>0.1125</v>
      </c>
      <c r="I20" s="8">
        <f>IF(A20=" "," ",((G20+H20)/12))</f>
        <v>1.6863333333333331E-2</v>
      </c>
      <c r="J20" s="2">
        <f>IF(A20=" "," ",PMT(I20,K20,-F20,0))</f>
        <v>21018633.51474975</v>
      </c>
      <c r="K20" s="7">
        <f>IF(A17=" "," ",+$B$2-A20)</f>
        <v>31</v>
      </c>
      <c r="L20">
        <f>IF(A20&lt;&gt;" ",+L19," ")</f>
        <v>4</v>
      </c>
      <c r="M20">
        <f>IF(AND(A20&lt;&gt;" ")*(M19=12),1,1+M19)</f>
        <v>1</v>
      </c>
      <c r="N20">
        <f>IF(AND(A20&lt;&gt;" ")*(M20=1),1+N19,N19)</f>
        <v>2025</v>
      </c>
      <c r="O20" s="20">
        <f>+C20/30</f>
        <v>291536.94978750002</v>
      </c>
      <c r="P20" s="22">
        <f>+O20*26</f>
        <v>7579960.6944750007</v>
      </c>
      <c r="Q20" s="32">
        <v>45614</v>
      </c>
      <c r="R20" s="45">
        <v>8179292</v>
      </c>
      <c r="S20" s="45">
        <v>14505509</v>
      </c>
      <c r="T20" s="83">
        <v>107360</v>
      </c>
      <c r="U20" s="45">
        <f>SUM(R20:T20)</f>
        <v>22792161</v>
      </c>
      <c r="V20" s="45">
        <f>+V19-S20</f>
        <v>531827231</v>
      </c>
      <c r="W20" s="20"/>
      <c r="X20" s="55"/>
      <c r="AB20" s="55" t="s">
        <v>56</v>
      </c>
      <c r="AE20">
        <f>+AM42/6</f>
        <v>366322.30861184205</v>
      </c>
      <c r="AF20" s="37">
        <f>+AN42/10</f>
        <v>330589.27507631562</v>
      </c>
      <c r="AG20" s="21">
        <v>849013</v>
      </c>
    </row>
    <row r="21" spans="1:33">
      <c r="A21" s="60">
        <f>IF(AND(A20&lt;$B$2)*(A20&lt;&gt;0),1+A20," ")</f>
        <v>18</v>
      </c>
      <c r="B21" s="61">
        <f>IF(A21=" "," ",+F20)</f>
        <v>504210559</v>
      </c>
      <c r="C21" s="61">
        <f>IF(A21=" "," ",+B21*I20)</f>
        <v>8502670.7266033329</v>
      </c>
      <c r="D21" s="61">
        <f>+S25</f>
        <v>12515962</v>
      </c>
      <c r="E21" s="61">
        <f>IF(A21=" "," ",+J20)</f>
        <v>21018633.51474975</v>
      </c>
      <c r="F21" s="61">
        <f>IF(A21=" "," ",+B21-D21)</f>
        <v>491694597</v>
      </c>
      <c r="G21" s="62">
        <v>8.9899999999999994E-2</v>
      </c>
      <c r="H21" s="62">
        <f>IF(A21=" "," ",+H20)</f>
        <v>0.1125</v>
      </c>
      <c r="I21" s="8">
        <f>IF(A21=" "," ",((G21+H21)/12))</f>
        <v>1.6866666666666665E-2</v>
      </c>
      <c r="J21" s="2">
        <f>IF(A21=" "," ",PMT(I21,K21,-F21,0))</f>
        <v>21019615.556272767</v>
      </c>
      <c r="K21" s="7">
        <f>IF(A18=" "," ",+$B$2-A21)</f>
        <v>30</v>
      </c>
      <c r="L21">
        <f>IF(A21&lt;&gt;" ",+L20," ")</f>
        <v>4</v>
      </c>
      <c r="M21">
        <f>IF(AND(A21&lt;&gt;" ")*(M20=12),1,1+M20)</f>
        <v>2</v>
      </c>
      <c r="N21">
        <f>IF(AND(A21&lt;&gt;" ")*(M21=1),1+N20,N20)</f>
        <v>2025</v>
      </c>
      <c r="O21" s="20">
        <f>+Hoja2!C10/30</f>
        <v>249481.46666666667</v>
      </c>
      <c r="P21" s="22">
        <f>+O21*26</f>
        <v>6486518.1333333338</v>
      </c>
      <c r="Q21" s="32">
        <v>45638</v>
      </c>
      <c r="R21" s="45">
        <v>9065881</v>
      </c>
      <c r="S21" s="45">
        <v>13667261</v>
      </c>
      <c r="T21" s="83">
        <v>59019</v>
      </c>
      <c r="U21" s="45">
        <f>SUM(R21:T21)</f>
        <v>22792161</v>
      </c>
      <c r="V21" s="45">
        <f>+V20-S21</f>
        <v>518159970</v>
      </c>
      <c r="W21" s="20"/>
      <c r="X21" s="55"/>
      <c r="AB21" s="55" t="s">
        <v>57</v>
      </c>
      <c r="AD21" s="21">
        <f>+AL42/O15</f>
        <v>7.9999999999999982</v>
      </c>
      <c r="AE21">
        <f>+AM43/24</f>
        <v>325256.13538486848</v>
      </c>
      <c r="AF21">
        <f>+AN43/20</f>
        <v>323809.97728026315</v>
      </c>
    </row>
    <row r="22" spans="1:33">
      <c r="A22" s="60">
        <f>IF(AND(A21&lt;$B$2)*(A21&lt;&gt;0),1+A21," ")</f>
        <v>19</v>
      </c>
      <c r="B22" s="61">
        <f>IF(A22=" "," ",+F21)</f>
        <v>491694597</v>
      </c>
      <c r="C22" s="61">
        <f>IF(A22=" "," ",+B22*I21)</f>
        <v>8293248.8693999993</v>
      </c>
      <c r="D22" s="61">
        <f>+S28</f>
        <v>16119107</v>
      </c>
      <c r="E22" s="61">
        <f>IF(A22=" "," ",+J21)</f>
        <v>21019615.556272767</v>
      </c>
      <c r="F22" s="61">
        <f>IF(A22=" "," ",+B22-D22)</f>
        <v>475575490</v>
      </c>
      <c r="G22" s="62">
        <v>8.9700000000000002E-2</v>
      </c>
      <c r="H22" s="62">
        <f>IF(A22=" "," ",+H21)</f>
        <v>0.1125</v>
      </c>
      <c r="I22" s="8">
        <f>IF(A22=" "," ",((G22+H22)/12))</f>
        <v>1.685E-2</v>
      </c>
      <c r="J22" s="2">
        <f>IF(A22=" "," ",PMT(I22,K22,-F22,0))</f>
        <v>20865992.589724597</v>
      </c>
      <c r="K22" s="7">
        <f>IF(A19=" "," ",+$B$2-A22)</f>
        <v>29</v>
      </c>
      <c r="L22">
        <f>IF(A22&lt;&gt;" ",+L21," ")</f>
        <v>4</v>
      </c>
      <c r="M22">
        <f>IF(AND(A22&lt;&gt;" ")*(M21=12),1,1+M21)</f>
        <v>3</v>
      </c>
      <c r="N22">
        <f>IF(AND(A22&lt;&gt;" ")*(M22=1),1+N21,N21)</f>
        <v>2025</v>
      </c>
      <c r="O22" s="20">
        <f>+C22/30</f>
        <v>276441.62897999998</v>
      </c>
      <c r="P22" s="22">
        <f>+O22*26</f>
        <v>7187482.3534799991</v>
      </c>
      <c r="Q22" s="32">
        <v>45674</v>
      </c>
      <c r="R22" s="45">
        <v>15136</v>
      </c>
      <c r="S22" s="45"/>
      <c r="T22" s="83">
        <v>92224</v>
      </c>
      <c r="U22" s="45">
        <f>SUM(R22:T22)</f>
        <v>107360</v>
      </c>
      <c r="V22" s="45">
        <f>+V21-S22</f>
        <v>518159970</v>
      </c>
      <c r="W22" s="20"/>
      <c r="X22" s="55"/>
      <c r="AB22" s="55" t="s">
        <v>58</v>
      </c>
      <c r="AE22" s="21"/>
      <c r="AG22" s="21"/>
    </row>
    <row r="23" spans="1:33">
      <c r="A23" s="60">
        <f>IF(AND(A22&lt;$B$2)*(A22&lt;&gt;0),1+A22," ")</f>
        <v>20</v>
      </c>
      <c r="B23" s="61">
        <f>IF(A23=" "," ",+F22)</f>
        <v>475575490</v>
      </c>
      <c r="C23" s="61">
        <f>IF(A23=" "," ",+B23*I22)</f>
        <v>8013447.0065000001</v>
      </c>
      <c r="D23" s="61">
        <f>+S29</f>
        <v>12852545</v>
      </c>
      <c r="E23" s="61">
        <f>IF(A23=" "," ",+J22)</f>
        <v>20865992.589724597</v>
      </c>
      <c r="F23" s="61">
        <f>IF(A23=" "," ",+B23-D23)</f>
        <v>462722945</v>
      </c>
      <c r="G23" s="62">
        <v>8.9529999999999998E-2</v>
      </c>
      <c r="H23" s="62">
        <f>IF(A23=" "," ",+H22)</f>
        <v>0.1125</v>
      </c>
      <c r="I23" s="68">
        <f>IF(A23=" "," ",((G23+H23)/12))</f>
        <v>1.6835833333333331E-2</v>
      </c>
      <c r="J23" s="69">
        <f>IF(A23=" "," ",PMT(I23,K23,-F23,0))</f>
        <v>20862093.428476635</v>
      </c>
      <c r="K23" s="70">
        <f>IF(A20=" "," ",+$B$2-A23)</f>
        <v>28</v>
      </c>
      <c r="L23">
        <f>IF(A23&lt;&gt;" ",+L22," ")</f>
        <v>4</v>
      </c>
      <c r="M23">
        <f>IF(AND(A23&lt;&gt;" ")*(M22=12),1,1+M22)</f>
        <v>4</v>
      </c>
      <c r="N23">
        <f>IF(AND(A23&lt;&gt;" ")*(M23=1),1+N22,N22)</f>
        <v>2025</v>
      </c>
      <c r="O23" s="20">
        <f>C23/30</f>
        <v>267114.90021666669</v>
      </c>
      <c r="P23" s="22">
        <f>+O23*26</f>
        <v>6944987.4056333341</v>
      </c>
      <c r="Q23" s="32">
        <v>45674</v>
      </c>
      <c r="R23" s="45">
        <v>59019</v>
      </c>
      <c r="S23" s="45"/>
      <c r="T23" s="83"/>
      <c r="U23" s="45">
        <f>SUM(R23:T23)</f>
        <v>59019</v>
      </c>
      <c r="V23" s="45">
        <f>+V22-S23</f>
        <v>518159970</v>
      </c>
      <c r="X23" s="55"/>
    </row>
    <row r="24" spans="1:33">
      <c r="A24" s="60">
        <f>IF(AND(A23&lt;$B$2)*(A23&lt;&gt;0),1+A23," ")</f>
        <v>21</v>
      </c>
      <c r="B24" s="61">
        <f>IF(A24=" "," ",+F23)</f>
        <v>462722945</v>
      </c>
      <c r="C24" s="61">
        <f>IF(A24=" "," ",+B24*I23)</f>
        <v>7790326.3815291654</v>
      </c>
      <c r="D24" s="61">
        <v>13071767</v>
      </c>
      <c r="E24" s="61">
        <f>IF(A24=" "," ",+J23)</f>
        <v>20862093.428476635</v>
      </c>
      <c r="F24" s="61">
        <f>IF(A24=" "," ",+B24-D24)</f>
        <v>449651178</v>
      </c>
      <c r="G24" s="62">
        <v>8.7239999999999998E-2</v>
      </c>
      <c r="H24" s="62">
        <f>IF(A24=" "," ",+H23)</f>
        <v>0.1125</v>
      </c>
      <c r="I24" s="68">
        <f>IF(A24=" "," ",((G24+H24)/12))</f>
        <v>1.6645E-2</v>
      </c>
      <c r="J24" s="69">
        <f>IF(A24=" "," ",PMT(I24,K24,-F24,0))</f>
        <v>20811267.154048838</v>
      </c>
      <c r="K24" s="70">
        <f>IF(A21=" "," ",+$B$2-A24)</f>
        <v>27</v>
      </c>
      <c r="L24">
        <f>IF(A24&lt;&gt;" ",+L23," ")</f>
        <v>4</v>
      </c>
      <c r="M24">
        <f>IF(AND(A24&lt;&gt;" ")*(M23=12),1,1+M23)</f>
        <v>5</v>
      </c>
      <c r="N24">
        <f>IF(AND(A24&lt;&gt;" ")*(M24=1),1+N23,N23)</f>
        <v>2025</v>
      </c>
      <c r="O24" s="20">
        <f>+C24/30</f>
        <v>259677.54605097219</v>
      </c>
      <c r="P24" s="22">
        <f>+O24*26</f>
        <v>6751616.1973252771</v>
      </c>
      <c r="Q24" s="32">
        <v>45685</v>
      </c>
      <c r="R24" s="45">
        <v>8671953</v>
      </c>
      <c r="S24" s="45">
        <v>13949411</v>
      </c>
      <c r="T24" s="83">
        <v>170797</v>
      </c>
      <c r="U24" s="45">
        <f>SUM(R24:T24)</f>
        <v>22792161</v>
      </c>
      <c r="V24" s="45">
        <f>+V23-S24</f>
        <v>504210559</v>
      </c>
      <c r="X24" s="21"/>
    </row>
    <row r="25" spans="1:33">
      <c r="A25" s="60">
        <f>IF(AND(A24&lt;$B$2)*(A24&lt;&gt;0),1+A24," ")</f>
        <v>22</v>
      </c>
      <c r="B25" s="61">
        <f>IF(A25=" "," ",+F24)</f>
        <v>449651178</v>
      </c>
      <c r="C25" s="61">
        <f>IF(A25=" "," ",+B25*I24)</f>
        <v>7484443.85781</v>
      </c>
      <c r="D25" s="61">
        <v>13326823</v>
      </c>
      <c r="E25" s="61">
        <f>IF(A25=" "," ",+J24)</f>
        <v>20811267.154048838</v>
      </c>
      <c r="F25" s="61">
        <f>IF(A25=" "," ",+B25-D25)</f>
        <v>436324355</v>
      </c>
      <c r="G25" s="62">
        <v>8.7559999999999999E-2</v>
      </c>
      <c r="H25" s="62">
        <f>IF(A25=" "," ",+H24)</f>
        <v>0.1125</v>
      </c>
      <c r="I25" s="68">
        <f>IF(A25=" "," ",((G25+H25)/12))</f>
        <v>1.6671666666666668E-2</v>
      </c>
      <c r="J25" s="69">
        <f>IF(A25=" "," ",PMT(I25,K25,-F25,0))</f>
        <v>20818131.86444474</v>
      </c>
      <c r="K25" s="70">
        <f>IF(A22=" "," ",+$B$2-A25)</f>
        <v>26</v>
      </c>
      <c r="L25">
        <f>IF(A25&lt;&gt;" ",+L24," ")</f>
        <v>4</v>
      </c>
      <c r="M25">
        <f>IF(AND(A25&lt;&gt;" ")*(M24=12),1,1+M24)</f>
        <v>6</v>
      </c>
      <c r="N25">
        <f>IF(AND(A25&lt;&gt;" ")*(M25=1),1+N24,N24)</f>
        <v>2025</v>
      </c>
      <c r="O25" s="20">
        <f>+C25/30</f>
        <v>249481.461927</v>
      </c>
      <c r="P25" s="22">
        <f>+O25*26</f>
        <v>6486518.0101020001</v>
      </c>
      <c r="Q25" s="32">
        <v>45726</v>
      </c>
      <c r="R25" s="45">
        <v>9977104</v>
      </c>
      <c r="S25" s="45">
        <v>12515962</v>
      </c>
      <c r="T25" s="83">
        <v>299095</v>
      </c>
      <c r="U25" s="84">
        <f>SUM(R25:T25)</f>
        <v>22792161</v>
      </c>
      <c r="V25" s="45">
        <f>+V24-S25</f>
        <v>491694597</v>
      </c>
    </row>
    <row r="26" spans="1:33">
      <c r="A26" s="60">
        <f>IF(AND(A25&lt;$B$2)*(A25&lt;&gt;0),1+A25," ")</f>
        <v>23</v>
      </c>
      <c r="B26" s="61">
        <f>IF(A26=" "," ",+F25)</f>
        <v>436324355</v>
      </c>
      <c r="C26" s="61">
        <f>IF(A26=" "," ",+B26*I25)</f>
        <v>7274254.2051083343</v>
      </c>
      <c r="D26" s="61">
        <v>13543877</v>
      </c>
      <c r="E26" s="61">
        <f>IF(A26=" "," ",+J25)</f>
        <v>20818131.86444474</v>
      </c>
      <c r="F26" s="61">
        <f>IF(A26=" "," ",+B26-D26)</f>
        <v>422780478</v>
      </c>
      <c r="G26" s="62">
        <v>8.7389999999999995E-2</v>
      </c>
      <c r="H26" s="62">
        <f>IF(A26=" "," ",+H25)</f>
        <v>0.1125</v>
      </c>
      <c r="I26" s="68">
        <f>IF(A26=" "," ",((G26+H26)/12))</f>
        <v>1.6657500000000002E-2</v>
      </c>
      <c r="J26" s="69">
        <f>IF(A26=" "," ",PMT(I26,K26,-F26,0))</f>
        <v>20814609.633899823</v>
      </c>
      <c r="K26" s="70">
        <f>IF(A23=" "," ",+$B$2-A26)</f>
        <v>25</v>
      </c>
      <c r="L26">
        <f>IF(A26&lt;&gt;" ",+L25," ")</f>
        <v>4</v>
      </c>
      <c r="M26">
        <f>IF(AND(A26&lt;&gt;" ")*(M25=12),1,1+M25)</f>
        <v>7</v>
      </c>
      <c r="N26">
        <f>IF(AND(A26&lt;&gt;" ")*(M26=1),1+N25,N25)</f>
        <v>2025</v>
      </c>
      <c r="O26" s="20">
        <f>+C26/30</f>
        <v>242475.14017027782</v>
      </c>
      <c r="P26" s="22">
        <f>+O26*26</f>
        <v>6304353.6444272231</v>
      </c>
      <c r="Q26" s="32">
        <v>45726</v>
      </c>
      <c r="R26" s="45">
        <v>170797</v>
      </c>
      <c r="S26" s="45"/>
      <c r="T26" s="83"/>
      <c r="U26" s="84">
        <f>SUM(R26:T26)</f>
        <v>170797</v>
      </c>
      <c r="V26" s="45">
        <f>+V25-S26</f>
        <v>491694597</v>
      </c>
    </row>
    <row r="27" spans="1:33">
      <c r="A27" s="60">
        <f>IF(AND(A26&lt;$B$2)*(A26&lt;&gt;0),1+A26," ")</f>
        <v>24</v>
      </c>
      <c r="B27" s="61">
        <f>IF(A27=" "," ",+F26)</f>
        <v>422780478</v>
      </c>
      <c r="C27" s="61">
        <f>IF(A27=" "," ",+B27*I26)</f>
        <v>7042465.8122850005</v>
      </c>
      <c r="D27" s="61">
        <f>+S38-599597</f>
        <v>13772143</v>
      </c>
      <c r="E27" s="61">
        <f>IF(A27=" "," ",+J26)</f>
        <v>20814609.633899823</v>
      </c>
      <c r="F27" s="61">
        <f>IF(A27=" "," ",+B27-D27)</f>
        <v>409008335</v>
      </c>
      <c r="G27" s="62">
        <v>8.7559999999999999E-2</v>
      </c>
      <c r="H27" s="62">
        <f>IF(A27=" "," ",+H26)</f>
        <v>0.1125</v>
      </c>
      <c r="I27" s="68">
        <f>IF(A27=" "," ",((G27+H27)/12))</f>
        <v>1.6671666666666668E-2</v>
      </c>
      <c r="J27" s="69">
        <f>IF(A27=" "," ",PMT(I27,K27,-F27,0))</f>
        <v>20818006.36508508</v>
      </c>
      <c r="K27" s="70">
        <f>IF(A24=" "," ",+$B$2-A27)</f>
        <v>24</v>
      </c>
      <c r="L27">
        <f>IF(A27&lt;&gt;" ",+L26," ")</f>
        <v>4</v>
      </c>
      <c r="M27">
        <f>IF(AND(A27&lt;&gt;" ")*(M26=12),1,1+M26)</f>
        <v>8</v>
      </c>
      <c r="N27">
        <f>IF(AND(A27&lt;&gt;" ")*(M27=1),1+N26,N26)</f>
        <v>2025</v>
      </c>
      <c r="O27" s="20">
        <f>7042466/30</f>
        <v>234748.86666666667</v>
      </c>
      <c r="P27" s="22">
        <f>+O27*26</f>
        <v>6103470.5333333332</v>
      </c>
      <c r="Q27" s="32">
        <v>45726</v>
      </c>
      <c r="R27" s="45">
        <v>92224</v>
      </c>
      <c r="S27" s="45"/>
      <c r="T27" s="83"/>
      <c r="U27" s="84">
        <f>SUM(R27:T27)</f>
        <v>92224</v>
      </c>
      <c r="V27" s="45">
        <f>+V26-S27</f>
        <v>491694597</v>
      </c>
    </row>
    <row r="28" spans="1:33">
      <c r="A28" s="60">
        <f>IF(AND(A27&lt;$B$2)*(A27&lt;&gt;0),1+A27," ")</f>
        <v>25</v>
      </c>
      <c r="B28" s="61">
        <f>IF(A28=" "," ",+F27)</f>
        <v>409008335</v>
      </c>
      <c r="C28" s="61">
        <f>IF(A28=" "," ",+B28*I27)</f>
        <v>6818850.6250083335</v>
      </c>
      <c r="D28" s="61">
        <f>13399559+599597</f>
        <v>13999156</v>
      </c>
      <c r="E28" s="61">
        <f>IF(A28=" "," ",+J27)</f>
        <v>20818006.36508508</v>
      </c>
      <c r="F28" s="61">
        <f>IF(A28=" "," ",+B28-D28)</f>
        <v>395009179</v>
      </c>
      <c r="G28" s="62">
        <v>8.7499999999999994E-2</v>
      </c>
      <c r="H28" s="62">
        <f>IF(A28=" "," ",+H27)</f>
        <v>0.1125</v>
      </c>
      <c r="I28" s="68">
        <f>IF(A28=" "," ",((G28+H28)/12))</f>
        <v>1.6666666666666666E-2</v>
      </c>
      <c r="J28" s="69">
        <f>IF(A28=" "," ",PMT(I28,K28,-F28,0))</f>
        <v>20816852.076999635</v>
      </c>
      <c r="K28" s="70">
        <f>IF(A25=" "," ",+$B$2-A28)</f>
        <v>23</v>
      </c>
      <c r="L28">
        <f>IF(A28&lt;&gt;" ",+L27," ")</f>
        <v>4</v>
      </c>
      <c r="M28">
        <f>IF(AND(A28&lt;&gt;" ")*(M27=12),1,1+M27)</f>
        <v>9</v>
      </c>
      <c r="N28">
        <f>IF(AND(A28&lt;&gt;" ")*(M28=1),1+N27,N27)</f>
        <v>2025</v>
      </c>
      <c r="O28" s="20">
        <f>6818851/30</f>
        <v>227295.03333333333</v>
      </c>
      <c r="P28" s="22">
        <f>+O28*26</f>
        <v>5909670.8666666662</v>
      </c>
      <c r="Q28" s="32">
        <v>45736</v>
      </c>
      <c r="R28" s="45">
        <v>6555795</v>
      </c>
      <c r="S28" s="45">
        <v>16119107</v>
      </c>
      <c r="T28" s="83">
        <v>117259</v>
      </c>
      <c r="U28" s="45">
        <f>SUM(R28:T28)</f>
        <v>22792161</v>
      </c>
      <c r="V28" s="45">
        <f>+V27-S28</f>
        <v>475575490</v>
      </c>
      <c r="W28" s="42" t="s">
        <v>59</v>
      </c>
    </row>
    <row r="29" spans="1:33">
      <c r="A29" s="60">
        <f>IF(AND(A28&lt;$B$2)*(A28&lt;&gt;0),1+A28," ")</f>
        <v>26</v>
      </c>
      <c r="B29" s="61">
        <f>IF(A29=" "," ",+F28)</f>
        <v>395009179</v>
      </c>
      <c r="C29" s="61">
        <f>IF(A29=" "," ",+B29*I28)</f>
        <v>6583486.3166666664</v>
      </c>
      <c r="D29" s="61">
        <f>10712184+341952+712066+2467174</f>
        <v>14233376</v>
      </c>
      <c r="E29" s="61">
        <f>IF(A29=" "," ",+J28)</f>
        <v>20816852.076999635</v>
      </c>
      <c r="F29" s="61">
        <f>IF(A29=" "," ",+B29-D29)</f>
        <v>380775803</v>
      </c>
      <c r="G29" s="62">
        <v>8.7580000000000005E-2</v>
      </c>
      <c r="H29" s="62">
        <f>IF(A29=" "," ",+H28)</f>
        <v>0.1125</v>
      </c>
      <c r="I29" s="68">
        <f>IF(A29=" "," ",((G29+H29)/12))</f>
        <v>1.6673333333333335E-2</v>
      </c>
      <c r="J29" s="69">
        <f>IF(A29=" "," ",PMT(I29,K29,-F29,0))</f>
        <v>20818330.725634154</v>
      </c>
      <c r="K29" s="70">
        <f>IF(A26=" "," ",+$B$2-A29)</f>
        <v>22</v>
      </c>
      <c r="L29">
        <f>IF(A29&lt;&gt;" ",+L28," ")</f>
        <v>4</v>
      </c>
      <c r="M29">
        <f>IF(AND(A29&lt;&gt;" ")*(M28=12),1,1+M28)</f>
        <v>10</v>
      </c>
      <c r="N29">
        <f>IF(AND(A29&lt;&gt;" ")*(M29=1),1+N28,N28)</f>
        <v>2025</v>
      </c>
      <c r="O29" s="20">
        <f>6583486/30</f>
        <v>219449.53333333333</v>
      </c>
      <c r="P29" s="22">
        <f>+O29*26</f>
        <v>5705687.8666666662</v>
      </c>
      <c r="Q29" s="65">
        <v>45769</v>
      </c>
      <c r="R29" s="63">
        <v>9822357</v>
      </c>
      <c r="S29" s="63">
        <v>12852545</v>
      </c>
      <c r="T29" s="83">
        <v>117259</v>
      </c>
      <c r="U29" s="45">
        <f>SUM(R29:T29)</f>
        <v>22792161</v>
      </c>
      <c r="V29" s="45">
        <f>+V28-S29</f>
        <v>462722945</v>
      </c>
      <c r="W29" s="42" t="s">
        <v>60</v>
      </c>
      <c r="Z29" s="21">
        <f>+R25+R26+R27+R28</f>
        <v>16795920</v>
      </c>
      <c r="AA29" s="21">
        <f>+S25+S26+S27+S28</f>
        <v>28635069</v>
      </c>
      <c r="AB29" s="21">
        <f>+T25+T26+T27+T28</f>
        <v>416354</v>
      </c>
      <c r="AC29" s="21">
        <f>+U25+U26+U27+U28</f>
        <v>45847343</v>
      </c>
    </row>
    <row r="30" spans="1:33">
      <c r="A30" s="60">
        <f>IF(AND(A29&lt;$B$2)*(A29&lt;&gt;0),1+A29," ")</f>
        <v>27</v>
      </c>
      <c r="B30" s="61">
        <f>IF(A30=" "," ",+F29)</f>
        <v>380775803</v>
      </c>
      <c r="C30" s="61">
        <f>IF(A30=" "," ",+B30*I29)</f>
        <v>6348801.8886866672</v>
      </c>
      <c r="D30" s="61">
        <f>5619433+8850096</f>
        <v>14469529</v>
      </c>
      <c r="E30" s="61">
        <f>IF(A30=" "," ",+J29)</f>
        <v>20818330.725634154</v>
      </c>
      <c r="F30" s="61">
        <f>IF(A30=" "," ",+B30-D30)</f>
        <v>366306274</v>
      </c>
      <c r="G30" s="62">
        <v>8.7580000000000005E-2</v>
      </c>
      <c r="H30" s="62">
        <f>IF(A30=" "," ",+H29)</f>
        <v>0.1125</v>
      </c>
      <c r="I30" s="68">
        <f>IF(A30=" "," ",((G30+H30)/12))</f>
        <v>1.6673333333333335E-2</v>
      </c>
      <c r="J30" s="69">
        <f>IF(A30=" "," ",PMT(I30,K30,-F30,0))</f>
        <v>20818330.716367371</v>
      </c>
      <c r="K30" s="70">
        <f>IF(A27=" "," ",+$B$2-A30)</f>
        <v>21</v>
      </c>
      <c r="L30">
        <f>IF(A30&lt;&gt;" ",+L29," ")</f>
        <v>4</v>
      </c>
      <c r="M30">
        <f>IF(AND(A30&lt;&gt;" ")*(M29=12),1,1+M29)</f>
        <v>11</v>
      </c>
      <c r="N30">
        <f>IF(AND(A30&lt;&gt;" ")*(M30=1),1+N29,N29)</f>
        <v>2025</v>
      </c>
      <c r="O30" s="20">
        <f>6348802/30</f>
        <v>211626.73333333334</v>
      </c>
      <c r="P30" s="22">
        <f>+O30*26</f>
        <v>5502295.0666666664</v>
      </c>
      <c r="Q30" s="32">
        <v>45769</v>
      </c>
      <c r="R30" s="45"/>
      <c r="S30" s="45"/>
      <c r="T30" s="83">
        <v>117259</v>
      </c>
      <c r="U30" s="45">
        <f>SUM(R30:T30)</f>
        <v>117259</v>
      </c>
      <c r="V30" s="45">
        <f>+V29-S30</f>
        <v>462722945</v>
      </c>
      <c r="W30" s="42" t="s">
        <v>61</v>
      </c>
      <c r="Z30" s="4"/>
    </row>
    <row r="31" spans="1:33">
      <c r="A31" s="11">
        <f>IF(AND(A30&lt;$B$2)*(A30&lt;&gt;0),1+A30," ")</f>
        <v>28</v>
      </c>
      <c r="B31" s="69">
        <f>IF(A31=" "," ",+F30)</f>
        <v>366306274</v>
      </c>
      <c r="C31" s="69">
        <f>IF(A31=" "," ",+B31*I30)</f>
        <v>6107546.6084933337</v>
      </c>
      <c r="D31" s="69">
        <f>7572046+7138738</f>
        <v>14710784</v>
      </c>
      <c r="E31" s="69">
        <f>IF(A31=" "," ",+J30)</f>
        <v>20818330.716367371</v>
      </c>
      <c r="F31" s="69">
        <f>IF(A31=" "," ",+B31-D31)</f>
        <v>351595490</v>
      </c>
      <c r="G31" s="62">
        <v>8.7590000000000001E-2</v>
      </c>
      <c r="H31" s="85">
        <f>IF(A31=" "," ",+H30)</f>
        <v>0.1125</v>
      </c>
      <c r="I31" s="68">
        <f>IF(A31=" "," ",((G31+H31)/12))</f>
        <v>1.6674166666666667E-2</v>
      </c>
      <c r="J31" s="69">
        <f>IF(A31=" "," ",PMT(I31,K31,-F31,0))</f>
        <v>20818500.531095982</v>
      </c>
      <c r="K31" s="70">
        <f>IF(A28=" "," ",+$B$2-A31)</f>
        <v>20</v>
      </c>
      <c r="L31">
        <f>IF(A31&lt;&gt;" ",+L30," ")</f>
        <v>4</v>
      </c>
      <c r="M31">
        <f>IF(AND(A31&lt;&gt;" ")*(M30=12),1,1+M30)</f>
        <v>12</v>
      </c>
      <c r="N31">
        <f>IF(AND(A31&lt;&gt;" ")*(M31=1),1+N30,N30)</f>
        <v>2025</v>
      </c>
      <c r="O31" s="20">
        <f>6107547/30</f>
        <v>203584.9</v>
      </c>
      <c r="P31" s="22">
        <f>+O31*26</f>
        <v>5293207.3999999994</v>
      </c>
      <c r="Q31" s="32">
        <v>45769</v>
      </c>
      <c r="R31" s="45">
        <v>279365</v>
      </c>
      <c r="S31" s="45"/>
      <c r="T31" s="83">
        <v>19730</v>
      </c>
      <c r="U31" s="45">
        <f>SUM(R31:T31)</f>
        <v>299095</v>
      </c>
      <c r="V31" s="45">
        <f>+V30-S31</f>
        <v>462722945</v>
      </c>
      <c r="W31" s="4"/>
    </row>
    <row r="32" spans="1:33">
      <c r="A32" s="87">
        <f>IF(AND(A31&lt;$B$2)*(A31&lt;&gt;0),1+A31," ")</f>
        <v>29</v>
      </c>
      <c r="B32" s="88">
        <f>IF(A32=" "," ",+F31)</f>
        <v>351595490</v>
      </c>
      <c r="C32" s="88">
        <f>IF(A32=" "," ",+B32*I31)</f>
        <v>5862561.7995083332</v>
      </c>
      <c r="D32" s="88">
        <f>9367750+5588189</f>
        <v>14955939</v>
      </c>
      <c r="E32" s="88">
        <f>IF(A32=" "," ",+J31)</f>
        <v>20818500.531095982</v>
      </c>
      <c r="F32" s="88">
        <f>IF(A32=" "," ",+B32-D32)</f>
        <v>336639551</v>
      </c>
      <c r="G32" s="89">
        <v>8.8700000000000001E-2</v>
      </c>
      <c r="H32" s="90">
        <f>IF(A32=" "," ",+H31)</f>
        <v>0.1125</v>
      </c>
      <c r="I32" s="91">
        <f>IF(A32=" "," ",((G32+H32)/12))</f>
        <v>1.6766666666666666E-2</v>
      </c>
      <c r="J32" s="88">
        <f>IF(A32=" "," ",PMT(I32,K32,-F32,0))</f>
        <v>20836508.059010584</v>
      </c>
      <c r="K32" s="92">
        <f>IF(A29=" "," ",+$B$2-A32)</f>
        <v>19</v>
      </c>
      <c r="L32" s="5">
        <f>IF(A32&lt;&gt;" ",+L31," ")</f>
        <v>4</v>
      </c>
      <c r="M32" s="5">
        <f>IF(AND(A32&lt;&gt;" ")*(M31=12),1,1+M31)</f>
        <v>1</v>
      </c>
      <c r="N32" s="5">
        <f>IF(AND(A32&lt;&gt;" ")*(M32=1),1+N31,N31)</f>
        <v>2026</v>
      </c>
      <c r="O32" s="20">
        <f>5862562/30</f>
        <v>195418.73333333334</v>
      </c>
      <c r="P32" s="22">
        <f>+O32*26</f>
        <v>5080887.0666666664</v>
      </c>
      <c r="Q32" s="32">
        <v>45769</v>
      </c>
      <c r="R32" s="45">
        <v>142595</v>
      </c>
      <c r="S32" s="45"/>
      <c r="T32" s="45"/>
      <c r="U32" s="45">
        <f>SUM(R32:T32)</f>
        <v>142595</v>
      </c>
      <c r="V32" s="45">
        <f>+V31-S32</f>
        <v>462722945</v>
      </c>
      <c r="W32" s="4"/>
      <c r="X32">
        <v>7</v>
      </c>
    </row>
    <row r="33" spans="1:54">
      <c r="A33" s="11">
        <f>IF(AND(A32&lt;$B$2)*(A32&lt;&gt;0),1+A32," ")</f>
        <v>30</v>
      </c>
      <c r="B33" s="69">
        <f>IF(A33=" "," ",+F32)</f>
        <v>336639551</v>
      </c>
      <c r="C33" s="69">
        <f>IF(A33=" "," ",+B33*I32)</f>
        <v>5644323.1384333335</v>
      </c>
      <c r="D33" s="69">
        <f>11099730+4092455</f>
        <v>15192185</v>
      </c>
      <c r="E33" s="69">
        <f>IF(A33=" "," ",+J32)</f>
        <v>20836508.059010584</v>
      </c>
      <c r="F33" s="69">
        <f>IF(A33=" "," ",+B33-D33)</f>
        <v>321447366</v>
      </c>
      <c r="G33" s="85">
        <v>9.6640000000000004E-2</v>
      </c>
      <c r="H33" s="85">
        <f>IF(A33=" "," ",+H32)</f>
        <v>0.1125</v>
      </c>
      <c r="I33" s="68">
        <f>IF(A33=" "," ",((G33+H33)/12))</f>
        <v>1.7428333333333334E-2</v>
      </c>
      <c r="J33" s="69">
        <f>IF(A33=" "," ",PMT(I33,K33,-F33,0))</f>
        <v>20959466.766109347</v>
      </c>
      <c r="K33" s="70">
        <f>IF(A30=" "," ",+$B$2-A33)</f>
        <v>18</v>
      </c>
      <c r="L33">
        <f>IF(A33&lt;&gt;" ",+L32," ")</f>
        <v>4</v>
      </c>
      <c r="M33">
        <f>IF(AND(A33&lt;&gt;" ")*(M32=12),1,1+M32)</f>
        <v>2</v>
      </c>
      <c r="N33">
        <f>IF(AND(A33&lt;&gt;" ")*(M33=1),1+N32,N32)</f>
        <v>2026</v>
      </c>
      <c r="O33" s="20">
        <f>5644323/30</f>
        <v>188144.1</v>
      </c>
      <c r="P33" s="22">
        <f>+O33*26</f>
        <v>4891746.6000000006</v>
      </c>
      <c r="Q33" s="32">
        <v>45852</v>
      </c>
      <c r="R33" s="63">
        <v>8866921</v>
      </c>
      <c r="S33" s="63">
        <v>13071767</v>
      </c>
      <c r="T33" s="71">
        <v>853473</v>
      </c>
      <c r="U33" s="63">
        <f>SUM(R33:T33)</f>
        <v>22792161</v>
      </c>
      <c r="V33" s="63">
        <f>+V32-S33</f>
        <v>449651178</v>
      </c>
      <c r="W33" s="4"/>
    </row>
    <row r="34" spans="1:54">
      <c r="A34" s="11">
        <f>IF(AND(A33&lt;$B$2)*(A33&lt;&gt;0),1+A33," ")</f>
        <v>31</v>
      </c>
      <c r="B34" s="69">
        <f>IF(A34=" "," ",+F33)</f>
        <v>321447366</v>
      </c>
      <c r="C34" s="69">
        <f>IF(A34=" "," ",+B34*I33)</f>
        <v>5602291.8437700002</v>
      </c>
      <c r="D34" s="69">
        <f>12499686+2857489</f>
        <v>15357175</v>
      </c>
      <c r="E34" s="69">
        <f>IF(A34=" "," ",+J33)</f>
        <v>20959466.766109347</v>
      </c>
      <c r="F34" s="69">
        <f>IF(A34=" "," ",+B34-D34)</f>
        <v>306090191</v>
      </c>
      <c r="G34" s="85">
        <v>9.7790000000000002E-2</v>
      </c>
      <c r="H34" s="85">
        <f>IF(A34=" "," ",+H33)</f>
        <v>0.1125</v>
      </c>
      <c r="I34" s="68">
        <f>IF(A34=" "," ",((G34+H34)/12))</f>
        <v>1.7524166666666667E-2</v>
      </c>
      <c r="J34" s="69">
        <f>IF(A34=" "," ",PMT(I34,K34,-F34,0))</f>
        <v>20976420.990415867</v>
      </c>
      <c r="K34" s="70">
        <f>IF(A31=" "," ",+$B$2-A34)</f>
        <v>17</v>
      </c>
      <c r="L34">
        <f>IF(A34&lt;&gt;" ",+L33," ")</f>
        <v>4</v>
      </c>
      <c r="M34">
        <f>IF(AND(A34&lt;&gt;" ")*(M33=12),1,1+M33)</f>
        <v>3</v>
      </c>
      <c r="N34">
        <f>IF(AND(A34&lt;&gt;" ")*(M34=1),1+N33,N33)</f>
        <v>2026</v>
      </c>
      <c r="O34" s="20">
        <f>5602292/30</f>
        <v>186743.06666666668</v>
      </c>
      <c r="P34" s="22">
        <f>+O34*26</f>
        <v>4855319.7333333334</v>
      </c>
      <c r="Q34" s="32">
        <v>45852</v>
      </c>
      <c r="R34" s="63">
        <v>19730</v>
      </c>
      <c r="S34" s="45"/>
      <c r="T34" s="45"/>
      <c r="U34" s="45"/>
      <c r="V34" s="63">
        <f>+V33-S34</f>
        <v>449651178</v>
      </c>
      <c r="W34" s="4"/>
      <c r="AS34" s="37" t="s">
        <v>62</v>
      </c>
    </row>
    <row r="35" spans="1:54">
      <c r="A35" s="11">
        <f>IF(AND(A34&lt;$B$2)*(A34&lt;&gt;0),1+A34," ")</f>
        <v>32</v>
      </c>
      <c r="B35" s="69">
        <f>IF(A35=" "," ",+F34)</f>
        <v>306090191</v>
      </c>
      <c r="C35" s="69">
        <f>IF(A35=" "," ",+B35*I34)</f>
        <v>5363975.5221158331</v>
      </c>
      <c r="D35" s="69">
        <f>13916959+1695486</f>
        <v>15612445</v>
      </c>
      <c r="E35" s="69">
        <f>IF(A35=" "," ",+J34)</f>
        <v>20976420.990415867</v>
      </c>
      <c r="F35" s="69">
        <f>IF(A35=" "," ",+B35-D35)</f>
        <v>290477746</v>
      </c>
      <c r="G35" s="85">
        <v>0.10585</v>
      </c>
      <c r="H35" s="85">
        <f>IF(A35=" "," ",+H34)</f>
        <v>0.1125</v>
      </c>
      <c r="I35" s="68">
        <f>IF(A35=" "," ",((G35+H35)/12))</f>
        <v>1.8195833333333331E-2</v>
      </c>
      <c r="J35" s="69">
        <f>IF(A35=" "," ",PMT(I35,K35,-F35,0))</f>
        <v>21089179.541854441</v>
      </c>
      <c r="K35" s="70">
        <f>IF(A32=" "," ",+$B$2-A35)</f>
        <v>16</v>
      </c>
      <c r="L35">
        <f>IF(A35&lt;&gt;" ",+L34," ")</f>
        <v>4</v>
      </c>
      <c r="M35">
        <f>IF(AND(A35&lt;&gt;" ")*(M34=12),1,1+M34)</f>
        <v>4</v>
      </c>
      <c r="N35">
        <f>IF(AND(A35&lt;&gt;" ")*(M35=1),1+N34,N34)</f>
        <v>2026</v>
      </c>
      <c r="O35" s="20">
        <f>5363976/30</f>
        <v>178799.2</v>
      </c>
      <c r="P35" s="22">
        <f>+O35*26</f>
        <v>4648779.2</v>
      </c>
      <c r="Q35" s="32">
        <v>45852</v>
      </c>
      <c r="R35" s="63">
        <v>117259</v>
      </c>
      <c r="S35" s="4"/>
      <c r="T35" s="45"/>
      <c r="U35" s="45"/>
      <c r="V35" s="63">
        <f>+V34-S35</f>
        <v>449651178</v>
      </c>
      <c r="W35" s="4"/>
    </row>
    <row r="36" spans="1:54">
      <c r="A36" s="11">
        <f>IF(AND(A35&lt;$B$2)*(A35&lt;&gt;0),1+A35," ")</f>
        <v>33</v>
      </c>
      <c r="B36" s="69">
        <f>IF(A36=" "," ",+F35)</f>
        <v>290477746</v>
      </c>
      <c r="C36" s="69">
        <f>IF(A36=" "," ",+B36*I35)</f>
        <v>5285484.653258333</v>
      </c>
      <c r="D36" s="69">
        <f>608066+S49+S50+S51+S52+S53+S54+S55+1284824</f>
        <v>15803695</v>
      </c>
      <c r="E36" s="69">
        <f>IF(A36=" "," ",+J35)</f>
        <v>21089179.541854441</v>
      </c>
      <c r="F36" s="69">
        <f>IF(A36=" "," ",+B36-D36)</f>
        <v>274674051</v>
      </c>
      <c r="G36" s="85">
        <v>0.10577</v>
      </c>
      <c r="H36" s="85">
        <f>IF(A36=" "," ",+H35)</f>
        <v>0.1125</v>
      </c>
      <c r="I36" s="68">
        <f>IF(A36=" "," ",((G36+H36)/12))</f>
        <v>1.8189166666666669E-2</v>
      </c>
      <c r="J36" s="69">
        <f>IF(A36=" "," ",PMT(I36,K36,-F36,0))</f>
        <v>21088121.313783243</v>
      </c>
      <c r="K36" s="70">
        <f>IF(A33=" "," ",+$B$2-A36)</f>
        <v>15</v>
      </c>
      <c r="L36">
        <f>IF(A36&lt;&gt;" ",+L35," ")</f>
        <v>4</v>
      </c>
      <c r="M36">
        <f>IF(AND(A36&lt;&gt;" ")*(M35=12),1,1+M35)</f>
        <v>5</v>
      </c>
      <c r="N36">
        <f>IF(AND(A36&lt;&gt;" ")*(M36=1),1+N35,N35)</f>
        <v>2026</v>
      </c>
      <c r="O36" s="20">
        <f>5285485/30</f>
        <v>176182.83333333334</v>
      </c>
      <c r="P36" s="22">
        <f>+O36*26</f>
        <v>4580753.666666667</v>
      </c>
      <c r="Q36" s="32">
        <v>45882</v>
      </c>
      <c r="R36" s="63">
        <v>8830249</v>
      </c>
      <c r="S36" s="63">
        <v>13326823</v>
      </c>
      <c r="T36" s="71">
        <v>635089</v>
      </c>
      <c r="U36" s="63">
        <f>+R36+S36+T36</f>
        <v>22792161</v>
      </c>
      <c r="V36" s="63">
        <f>+V35-S36</f>
        <v>436324355</v>
      </c>
      <c r="W36" s="4"/>
      <c r="Z36" s="4">
        <f>+R23+R22</f>
        <v>74155</v>
      </c>
    </row>
    <row r="37" spans="1:54">
      <c r="A37" s="11">
        <f>IF(AND(A36&lt;$B$2)*(A36&lt;&gt;0),1+A36," ")</f>
        <v>34</v>
      </c>
      <c r="B37" s="69">
        <f>IF(A37=" "," ",+F36)</f>
        <v>274674051</v>
      </c>
      <c r="C37" s="69">
        <f>IF(A37=" "," ",+B37*I36)</f>
        <v>4996092.0926475003</v>
      </c>
      <c r="D37" s="69">
        <f>3378068</f>
        <v>3378068</v>
      </c>
      <c r="E37" s="69">
        <f>IF(A37=" "," ",+J36)</f>
        <v>21088121.313783243</v>
      </c>
      <c r="F37" s="69">
        <f>IF(A37=" "," ",+B37-D37)</f>
        <v>271295983</v>
      </c>
      <c r="G37" s="85">
        <v>0.10664999999999999</v>
      </c>
      <c r="H37" s="85">
        <f>IF(A37=" "," ",+H36)</f>
        <v>0.1125</v>
      </c>
      <c r="I37" s="68">
        <f>IF(A37=" "," ",((G37+H37)/12))</f>
        <v>1.8262500000000001E-2</v>
      </c>
      <c r="J37" s="69">
        <f>IF(A37=" "," ",PMT(I37,K37,-F37,0))</f>
        <v>22136468.81406185</v>
      </c>
      <c r="K37" s="70">
        <f>IF(A34=" "," ",+$B$2-A37)</f>
        <v>14</v>
      </c>
      <c r="L37">
        <f>IF(A37&lt;&gt;" ",+L36," ")</f>
        <v>4</v>
      </c>
      <c r="M37">
        <f>IF(AND(A37&lt;&gt;" ")*(M36=12),1,1+M36)</f>
        <v>6</v>
      </c>
      <c r="N37">
        <f>IF(AND(A37&lt;&gt;" ")*(M37=1),1+N36,N36)</f>
        <v>2026</v>
      </c>
      <c r="O37" s="20">
        <f>4996092/30</f>
        <v>166536.4</v>
      </c>
      <c r="P37" s="22">
        <f>+O37*26</f>
        <v>4329946.3999999994</v>
      </c>
      <c r="Q37" s="32">
        <v>45896</v>
      </c>
      <c r="R37" s="63">
        <v>8850345</v>
      </c>
      <c r="S37" s="63">
        <v>13543877</v>
      </c>
      <c r="T37" s="71">
        <v>397939</v>
      </c>
      <c r="U37" s="63">
        <f>+R37+S37+T37</f>
        <v>22792161</v>
      </c>
      <c r="V37" s="63">
        <f>+V36-S37</f>
        <v>422780478</v>
      </c>
      <c r="W37" s="4"/>
    </row>
    <row r="38" spans="1:54">
      <c r="A38" s="76">
        <f>IF(AND(A37&lt;$B$2)*(A37&lt;&gt;0),1+A37," ")</f>
        <v>35</v>
      </c>
      <c r="B38" s="77">
        <f>IF(A38=" "," ",+F37)</f>
        <v>271295983</v>
      </c>
      <c r="C38" s="77">
        <f>IF(A38=" "," ",+B38*I37)</f>
        <v>4954542.8895375002</v>
      </c>
      <c r="D38" s="77">
        <f>IF(A38=" "," ",+E38-C38)</f>
        <v>17181925.924524352</v>
      </c>
      <c r="E38" s="77">
        <f>IF(A38=" "," ",+J37)</f>
        <v>22136468.81406185</v>
      </c>
      <c r="F38" s="77">
        <f>IF(A38=" "," ",+B38-D38)</f>
        <v>254114057.07547563</v>
      </c>
      <c r="G38" s="78">
        <v>0</v>
      </c>
      <c r="H38" s="78">
        <f>IF(A38=" "," ",+H37)</f>
        <v>0.1125</v>
      </c>
      <c r="I38" s="79">
        <f>IF(A38=" "," ",((G38+H38)/12))</f>
        <v>9.3749999999999997E-3</v>
      </c>
      <c r="J38" s="77">
        <f>IF(A38=" "," ",PMT(I38,K38,-F38,0))</f>
        <v>20853956.779585224</v>
      </c>
      <c r="K38" s="80">
        <f>IF(A35=" "," ",+$B$2-A38)</f>
        <v>13</v>
      </c>
      <c r="L38" s="81">
        <f>IF(A38&lt;&gt;" ",+L37," ")</f>
        <v>4</v>
      </c>
      <c r="M38" s="81">
        <f>IF(AND(A38&lt;&gt;" ")*(M37=12),1,1+M37)</f>
        <v>7</v>
      </c>
      <c r="N38" s="81">
        <f>IF(AND(A38&lt;&gt;" ")*(M38=1),1+N37,N37)</f>
        <v>2026</v>
      </c>
      <c r="O38" s="20">
        <f>4722354/30</f>
        <v>157411.79999999999</v>
      </c>
      <c r="P38" s="22">
        <f>+O38*26</f>
        <v>4092706.8</v>
      </c>
      <c r="Q38" s="32">
        <v>45947</v>
      </c>
      <c r="R38" s="82">
        <v>7494966</v>
      </c>
      <c r="S38" s="63">
        <v>14371740</v>
      </c>
      <c r="T38" s="71">
        <v>925455</v>
      </c>
      <c r="U38" s="63">
        <f>+R38+S38+T38</f>
        <v>22792161</v>
      </c>
      <c r="V38" s="63">
        <f>+V37-S38</f>
        <v>408408738</v>
      </c>
      <c r="AQ38">
        <f>+O20*4</f>
        <v>1166147.7991500001</v>
      </c>
      <c r="AR38">
        <f>+O21*4</f>
        <v>997925.8666666667</v>
      </c>
      <c r="AS38">
        <f>+O22*4</f>
        <v>1105766.5159199999</v>
      </c>
      <c r="AW38">
        <v>-142582</v>
      </c>
    </row>
    <row r="39" spans="1:54">
      <c r="A39" s="76">
        <f>IF(AND(A38&lt;$B$2)*(A38&lt;&gt;0),1+A38," ")</f>
        <v>36</v>
      </c>
      <c r="B39" s="77">
        <f>IF(A39=" "," ",+F38)</f>
        <v>254114057.07547563</v>
      </c>
      <c r="C39" s="77">
        <f>IF(A39=" "," ",+B39*I38)</f>
        <v>2382319.2850825838</v>
      </c>
      <c r="D39" s="77">
        <f>IF(A39=" "," ",+E39-C39)</f>
        <v>18471637.494502641</v>
      </c>
      <c r="E39" s="77">
        <f>IF(A39=" "," ",+J38)</f>
        <v>20853956.779585224</v>
      </c>
      <c r="F39" s="77">
        <f>IF(A39=" "," ",+B39-D39)</f>
        <v>235642419.580973</v>
      </c>
      <c r="G39" s="78">
        <v>0</v>
      </c>
      <c r="H39" s="78">
        <f>IF(A39=" "," ",+H38)</f>
        <v>0.1125</v>
      </c>
      <c r="I39" s="79">
        <f>IF(A39=" "," ",((G39+H39)/12))</f>
        <v>9.3749999999999997E-3</v>
      </c>
      <c r="J39" s="77">
        <f>IF(A39=" "," ",PMT(I39,K39,-F39,0))</f>
        <v>20853956.779585224</v>
      </c>
      <c r="K39" s="80">
        <f>IF(A36=" "," ",+$B$2-A39)</f>
        <v>12</v>
      </c>
      <c r="L39" s="81">
        <f>IF(A39&lt;&gt;" ",+L38," ")</f>
        <v>4</v>
      </c>
      <c r="M39" s="81">
        <f>IF(AND(A39&lt;&gt;" ")*(M38=12),1,1+M38)</f>
        <v>8</v>
      </c>
      <c r="N39" s="81">
        <f>IF(AND(A39&lt;&gt;" ")*(M39=1),1+N38,N38)</f>
        <v>2026</v>
      </c>
      <c r="O39" s="20">
        <f>4541955/30</f>
        <v>151398.5</v>
      </c>
      <c r="P39" s="22">
        <f>+O39*26</f>
        <v>3936361</v>
      </c>
      <c r="Q39" s="32">
        <v>45954</v>
      </c>
      <c r="R39" s="45">
        <v>6583486</v>
      </c>
      <c r="S39" s="45">
        <v>15866723</v>
      </c>
      <c r="T39" s="83">
        <v>341952</v>
      </c>
      <c r="U39" s="63">
        <f>+R39+S39+T39</f>
        <v>22792161</v>
      </c>
      <c r="V39" s="63">
        <f>+V38-S39</f>
        <v>392542015</v>
      </c>
      <c r="AQ39">
        <f>+O21*26</f>
        <v>6486518.1333333338</v>
      </c>
      <c r="AR39">
        <f>+O22*26</f>
        <v>7187482.3534799991</v>
      </c>
      <c r="AS39">
        <f>+O23*26</f>
        <v>6944987.4056333341</v>
      </c>
      <c r="AW39">
        <v>5</v>
      </c>
    </row>
    <row r="40" spans="1:54" ht="15" customHeight="1">
      <c r="A40" s="76">
        <f>IF(AND(A39&lt;$B$2)*(A39&lt;&gt;0),1+A39," ")</f>
        <v>37</v>
      </c>
      <c r="B40" s="77">
        <f>IF(A40=" "," ",+F39)</f>
        <v>235642419.580973</v>
      </c>
      <c r="C40" s="77">
        <f>IF(A40=" "," ",+B40*I39)</f>
        <v>2209147.6835716218</v>
      </c>
      <c r="D40" s="77">
        <f>IF(A40=" "," ",+E40-C40)</f>
        <v>18644809.096013602</v>
      </c>
      <c r="E40" s="77">
        <f>IF(A40=" "," ",+J39)</f>
        <v>20853956.779585224</v>
      </c>
      <c r="F40" s="77">
        <f>IF(A40=" "," ",+B40-D40)</f>
        <v>216997610.48495939</v>
      </c>
      <c r="G40" s="78">
        <v>0</v>
      </c>
      <c r="H40" s="78">
        <f>IF(A40=" "," ",+H39)</f>
        <v>0.1125</v>
      </c>
      <c r="I40" s="79">
        <f>IF(A40=" "," ",((G40+H40)/12))</f>
        <v>9.3749999999999997E-3</v>
      </c>
      <c r="J40" s="77">
        <f>IF(A40=" "," ",PMT(I40,K40,-F40,0))</f>
        <v>20853956.779585224</v>
      </c>
      <c r="K40" s="80">
        <f>IF(A37=" "," ",+$B$2-A40)</f>
        <v>11</v>
      </c>
      <c r="L40" s="81">
        <f>IF(A40&lt;&gt;" ",+L39," ")</f>
        <v>4</v>
      </c>
      <c r="M40" s="81">
        <f>IF(AND(A40&lt;&gt;" ")*(M39=12),1,1+M39)</f>
        <v>9</v>
      </c>
      <c r="N40" s="81">
        <f>IF(AND(A40&lt;&gt;" ")*(M40=1),1+N39,N39)</f>
        <v>2026</v>
      </c>
      <c r="O40" s="20">
        <f>4226610/30</f>
        <v>140887</v>
      </c>
      <c r="P40" s="22">
        <f>+O40*26</f>
        <v>3663062</v>
      </c>
      <c r="Q40" s="32">
        <v>45967</v>
      </c>
      <c r="R40" s="45">
        <v>0</v>
      </c>
      <c r="S40" s="45">
        <v>712066</v>
      </c>
      <c r="T40" s="84">
        <v>213389</v>
      </c>
      <c r="U40" s="63">
        <f>+R40+S40+T40</f>
        <v>925455</v>
      </c>
      <c r="V40" s="63">
        <f>+V39-S40</f>
        <v>391829949</v>
      </c>
      <c r="Y40" s="95" t="s">
        <v>63</v>
      </c>
      <c r="Z40" s="99"/>
      <c r="AA40" s="99"/>
      <c r="AB40" s="99"/>
      <c r="AC40" s="99"/>
      <c r="AD40" s="99"/>
      <c r="AE40" s="99"/>
      <c r="AM40">
        <f>+O17*26</f>
        <v>6765327.6160052642</v>
      </c>
    </row>
    <row r="41" spans="1:54">
      <c r="A41" s="11">
        <f>IF(AND(A40&lt;$B$2)*(A40&lt;&gt;0),1+A40," ")</f>
        <v>38</v>
      </c>
      <c r="B41" s="2">
        <f>IF(A41=" "," ",+F40)</f>
        <v>216997610.48495939</v>
      </c>
      <c r="C41" s="2">
        <f>IF(A41=" "," ",+B41*I40)</f>
        <v>2034352.5982964942</v>
      </c>
      <c r="D41" s="2">
        <f>IF(A41=" "," ",+E41-C41)</f>
        <v>18819604.18128873</v>
      </c>
      <c r="E41" s="2">
        <f>IF(A41=" "," ",+J40)</f>
        <v>20853956.779585224</v>
      </c>
      <c r="F41" s="2">
        <f>IF(A41=" "," ",+B41-D41)</f>
        <v>198178006.30367067</v>
      </c>
      <c r="G41" s="23">
        <f>0.00005+G40</f>
        <v>5.0000000000000002E-5</v>
      </c>
      <c r="H41" s="23">
        <f>IF(A41=" "," ",+H40)</f>
        <v>0.1125</v>
      </c>
      <c r="I41" s="8">
        <f>IF(A41=" "," ",((G41+H41)/12))</f>
        <v>9.3791666666666659E-3</v>
      </c>
      <c r="J41" s="2">
        <f>IF(A41=" "," ",PMT(I41,K41,-F41,0))</f>
        <v>20854423.620722312</v>
      </c>
      <c r="K41" s="7">
        <f>IF(A38=" "," ",+$B$2-A41)</f>
        <v>10</v>
      </c>
      <c r="L41">
        <f>IF(A41&lt;&gt;" ",+L40," ")</f>
        <v>4</v>
      </c>
      <c r="M41">
        <f>IF(AND(A41&lt;&gt;" ")*(M40=12),1,1+M40)</f>
        <v>10</v>
      </c>
      <c r="N41">
        <f>IF(AND(A41&lt;&gt;" ")*(M41=1),1+N40,N40)</f>
        <v>2026</v>
      </c>
      <c r="O41" s="20"/>
      <c r="P41" s="22"/>
      <c r="Q41" s="32">
        <v>45967</v>
      </c>
      <c r="R41" s="45">
        <v>0</v>
      </c>
      <c r="S41" s="45">
        <v>341952</v>
      </c>
      <c r="T41" s="84">
        <v>0</v>
      </c>
      <c r="U41" s="63">
        <f>+R41+S41+T41</f>
        <v>341952</v>
      </c>
      <c r="V41" s="63">
        <f>+V40-S41</f>
        <v>391487997</v>
      </c>
      <c r="Y41" s="31">
        <v>45108</v>
      </c>
      <c r="Z41" s="31">
        <v>45139</v>
      </c>
      <c r="AA41" s="31">
        <v>45170</v>
      </c>
      <c r="AB41" s="35">
        <v>45200</v>
      </c>
      <c r="AC41" s="35">
        <v>45231</v>
      </c>
      <c r="AD41" s="35">
        <v>45261</v>
      </c>
      <c r="AE41" s="35">
        <v>45292</v>
      </c>
      <c r="AF41" s="35">
        <v>45323</v>
      </c>
      <c r="AG41" s="35">
        <v>45352</v>
      </c>
      <c r="AH41" s="35">
        <v>45383</v>
      </c>
      <c r="AI41" s="35">
        <v>45413</v>
      </c>
      <c r="AJ41" s="35">
        <v>45444</v>
      </c>
      <c r="AK41" s="35">
        <v>45474</v>
      </c>
      <c r="AL41" s="35">
        <v>45505</v>
      </c>
      <c r="AM41" s="35">
        <v>45536</v>
      </c>
      <c r="AN41" s="35">
        <v>45566</v>
      </c>
      <c r="AO41" s="35">
        <v>45597</v>
      </c>
      <c r="AP41" s="35">
        <v>45627</v>
      </c>
      <c r="AQ41" s="35">
        <v>45658</v>
      </c>
      <c r="AR41" s="35">
        <v>45689</v>
      </c>
      <c r="AS41" s="35">
        <v>45717</v>
      </c>
      <c r="AT41" s="35">
        <v>45748</v>
      </c>
      <c r="AU41" s="35">
        <v>45778</v>
      </c>
      <c r="AV41" s="35">
        <v>45809</v>
      </c>
      <c r="AW41" s="35">
        <v>45839</v>
      </c>
      <c r="AX41" s="35">
        <v>45870</v>
      </c>
      <c r="AY41" s="35">
        <v>45901</v>
      </c>
      <c r="AZ41" s="35">
        <v>45931</v>
      </c>
      <c r="BA41" s="35">
        <v>45962</v>
      </c>
      <c r="BB41" s="35">
        <v>45992</v>
      </c>
    </row>
    <row r="42" spans="1:54">
      <c r="A42" s="11">
        <f>IF(AND(A41&lt;$B$2)*(A41&lt;&gt;0),1+A41," ")</f>
        <v>39</v>
      </c>
      <c r="B42" s="2">
        <f>IF(A42=" "," ",+F41)</f>
        <v>198178006.30367067</v>
      </c>
      <c r="C42" s="2">
        <f>IF(A42=" "," ",+B42*I41)</f>
        <v>1858744.5507898445</v>
      </c>
      <c r="D42" s="2">
        <f>IF(A42=" "," ",+E42-C42)</f>
        <v>18995679.069932468</v>
      </c>
      <c r="E42" s="2">
        <f>IF(A42=" "," ",+J41)</f>
        <v>20854423.620722312</v>
      </c>
      <c r="F42" s="2">
        <f>IF(A42=" "," ",+B42-D42)</f>
        <v>179182327.23373821</v>
      </c>
      <c r="G42" s="23">
        <f>0.00005+G41</f>
        <v>1E-4</v>
      </c>
      <c r="H42" s="23">
        <f>IF(A42=" "," ",+H41)</f>
        <v>0.1125</v>
      </c>
      <c r="I42" s="8">
        <f>IF(A42=" "," ",((G42+H42)/12))</f>
        <v>9.3833333333333338E-3</v>
      </c>
      <c r="J42" s="2">
        <f>IF(A42=" "," ",PMT(I42,K42,-F42,0))</f>
        <v>20854848.696033154</v>
      </c>
      <c r="K42" s="7">
        <f>IF(A39=" "," ",+$B$2-A42)</f>
        <v>9</v>
      </c>
      <c r="L42">
        <f>IF(A42&lt;&gt;" ",+L41," ")</f>
        <v>4</v>
      </c>
      <c r="M42">
        <f>IF(AND(A42&lt;&gt;" ")*(M41=12),1,1+M41)</f>
        <v>11</v>
      </c>
      <c r="N42">
        <f>IF(AND(A42&lt;&gt;" ")*(M42=1),1+N41,N41)</f>
        <v>2026</v>
      </c>
      <c r="O42" s="20"/>
      <c r="P42" s="22"/>
      <c r="Q42" s="32">
        <v>45971</v>
      </c>
      <c r="R42" s="45">
        <v>6348802</v>
      </c>
      <c r="S42" s="45">
        <v>16331617</v>
      </c>
      <c r="T42" s="84">
        <v>111742</v>
      </c>
      <c r="U42" s="63">
        <f>+R42+S42+T42</f>
        <v>22792161</v>
      </c>
      <c r="V42" s="63">
        <f>+V41-S42</f>
        <v>375156380</v>
      </c>
      <c r="X42">
        <v>4</v>
      </c>
      <c r="Y42" s="29">
        <f>+P4</f>
        <v>12007168.333333334</v>
      </c>
      <c r="Z42" s="29">
        <f>+C4-Y42</f>
        <v>1847256.666666666</v>
      </c>
      <c r="AA42" s="29">
        <f>+R5-Z44+923618</f>
        <v>1808604.028917335</v>
      </c>
      <c r="AB42" s="21">
        <v>1657652</v>
      </c>
      <c r="AC42" s="20">
        <f>+R7-AB43+71103</f>
        <v>-1632282</v>
      </c>
      <c r="AD42" s="21">
        <v>3483168</v>
      </c>
      <c r="AE42" s="21">
        <f>+O10*8</f>
        <v>3341651.789473684</v>
      </c>
      <c r="AF42" s="21"/>
      <c r="AG42" s="21">
        <f>+R11-AF43-AF48</f>
        <v>3231655.157894738</v>
      </c>
      <c r="AH42" s="21">
        <f>+R12-AG43</f>
        <v>1607530.5333333332</v>
      </c>
      <c r="AI42" s="4">
        <f>+R15</f>
        <v>8972912</v>
      </c>
      <c r="AJ42" s="20">
        <v>2191299</v>
      </c>
      <c r="AK42" s="21"/>
      <c r="AL42" s="21">
        <f>+R17-AK43</f>
        <v>2795865.6842105258</v>
      </c>
      <c r="AM42" s="21">
        <f>+R18-P16</f>
        <v>2197933.8516710522</v>
      </c>
      <c r="AN42" s="21">
        <f>+R19-P17</f>
        <v>3305892.7507631565</v>
      </c>
      <c r="AO42" s="21">
        <f>+R20-AN43</f>
        <v>1703092.4543947373</v>
      </c>
      <c r="AP42" s="21">
        <f>+R21-AO43</f>
        <v>1208783.6730351103</v>
      </c>
      <c r="AQ42" s="21">
        <f>+C20-AP43</f>
        <v>1166147.7991499994</v>
      </c>
      <c r="AR42" s="21">
        <f>8529737-AQ43</f>
        <v>2043218.8666666662</v>
      </c>
      <c r="AS42" s="21">
        <f>+C22-AR43</f>
        <v>1105766.5159200002</v>
      </c>
      <c r="AT42" s="21"/>
      <c r="AU42" s="21">
        <f>7932921-AT43</f>
        <v>1181304.8026747229</v>
      </c>
      <c r="AV42" s="21">
        <f>7484444-AU43</f>
        <v>997925.98989799991</v>
      </c>
      <c r="AW42" s="21">
        <f>+O26*4+AW38+AW39</f>
        <v>827323.5606811113</v>
      </c>
      <c r="AX42" s="21">
        <f>+O27*4-76549</f>
        <v>862446.46666666667</v>
      </c>
      <c r="AY42" s="21">
        <f>+O28*4+33337</f>
        <v>942517.1333333333</v>
      </c>
      <c r="AZ42" s="21">
        <f>+O29*4+1</f>
        <v>877799.1333333333</v>
      </c>
      <c r="BA42" s="21">
        <f>+O30*4</f>
        <v>846506.93333333335</v>
      </c>
      <c r="BB42" s="21">
        <f>+O31*4</f>
        <v>814339.6</v>
      </c>
    </row>
    <row r="43" spans="1:54">
      <c r="A43" s="11">
        <f>IF(AND(A42&lt;$B$2)*(A42&lt;&gt;0),1+A42," ")</f>
        <v>40</v>
      </c>
      <c r="B43" s="2">
        <f>IF(A43=" "," ",+F42)</f>
        <v>179182327.23373821</v>
      </c>
      <c r="C43" s="2">
        <f>IF(A43=" "," ",+B43*I42)</f>
        <v>1681327.5038765769</v>
      </c>
      <c r="D43" s="2">
        <f>IF(A43=" "," ",+E43-C43)</f>
        <v>19173521.192156576</v>
      </c>
      <c r="E43" s="2">
        <f>IF(A43=" "," ",+J42)</f>
        <v>20854848.696033154</v>
      </c>
      <c r="F43" s="2">
        <f>IF(A43=" "," ",+B43-D43)</f>
        <v>160008806.04158163</v>
      </c>
      <c r="G43" s="23">
        <f>0.00005+G42</f>
        <v>1.5000000000000001E-4</v>
      </c>
      <c r="H43" s="23">
        <f>IF(A43=" "," ",+H42)</f>
        <v>0.1125</v>
      </c>
      <c r="I43" s="8">
        <f>IF(A43=" "," ",((G43+H43)/12))</f>
        <v>9.3875E-3</v>
      </c>
      <c r="J43" s="2">
        <f>IF(A43=" "," ",PMT(I43,K43,-F43,0))</f>
        <v>20855231.870492417</v>
      </c>
      <c r="K43" s="7">
        <f>IF(A40=" "," ",+$B$2-A43)</f>
        <v>8</v>
      </c>
      <c r="L43">
        <f>IF(A43&lt;&gt;" ",+L42," ")</f>
        <v>4</v>
      </c>
      <c r="M43">
        <f>IF(AND(A43&lt;&gt;" ")*(M42=12),1,1+M42)</f>
        <v>12</v>
      </c>
      <c r="N43">
        <f>IF(AND(A43&lt;&gt;" ")*(M43=1),1+N42,N42)</f>
        <v>2026</v>
      </c>
      <c r="O43" s="20"/>
      <c r="P43" s="22"/>
      <c r="Q43" s="32">
        <v>46003</v>
      </c>
      <c r="R43" s="63">
        <v>6107547</v>
      </c>
      <c r="S43" s="63">
        <v>16422142</v>
      </c>
      <c r="T43" s="86">
        <v>262472</v>
      </c>
      <c r="U43" s="63">
        <f>+R43+S43+T43</f>
        <v>22792161</v>
      </c>
      <c r="V43" s="63">
        <f>+V42-S43</f>
        <v>358734238</v>
      </c>
      <c r="X43">
        <v>26</v>
      </c>
      <c r="Y43" s="27"/>
      <c r="Z43" s="26">
        <f>+P5</f>
        <v>11839716.304415999</v>
      </c>
      <c r="AA43" s="27">
        <f>+P5</f>
        <v>11839716.304415999</v>
      </c>
      <c r="AB43" s="26">
        <v>11534796</v>
      </c>
      <c r="AC43" s="46">
        <f>+O8*30</f>
        <v>13061874.505386665</v>
      </c>
      <c r="AD43" s="46">
        <v>11205220</v>
      </c>
      <c r="AE43" s="27">
        <f>+O10*26</f>
        <v>10860368.315789472</v>
      </c>
      <c r="AF43" s="52">
        <f>+P11</f>
        <v>10622042.736842105</v>
      </c>
      <c r="AG43" s="53">
        <f>+P12</f>
        <v>10448948.466666667</v>
      </c>
      <c r="AH43" s="26">
        <v>10097282</v>
      </c>
      <c r="AI43" s="50"/>
      <c r="AJ43" s="26">
        <f>+O14*30</f>
        <v>10940236.5</v>
      </c>
      <c r="AK43" s="26">
        <f>+P15</f>
        <v>10484496.315789474</v>
      </c>
      <c r="AL43" s="26">
        <f>+P16</f>
        <v>8010994.1483289478</v>
      </c>
      <c r="AM43" s="26">
        <f>+P17</f>
        <v>7806147.2492368435</v>
      </c>
      <c r="AN43" s="26">
        <f>+P18</f>
        <v>6476199.5456052627</v>
      </c>
      <c r="AO43" s="26">
        <f>+P19</f>
        <v>7857097.3269648897</v>
      </c>
      <c r="AP43" s="26">
        <f>+P20</f>
        <v>7579960.6944750007</v>
      </c>
      <c r="AQ43" s="26">
        <f>+P21</f>
        <v>6486518.1333333338</v>
      </c>
      <c r="AR43" s="26">
        <f>+P22</f>
        <v>7187482.3534799991</v>
      </c>
      <c r="AS43" s="26">
        <f>+P23</f>
        <v>6944987.4056333341</v>
      </c>
      <c r="AT43" s="26">
        <f>+P24</f>
        <v>6751616.1973252771</v>
      </c>
      <c r="AU43" s="27">
        <f>+P25</f>
        <v>6486518.0101020001</v>
      </c>
      <c r="AV43" s="26">
        <f>+P26</f>
        <v>6304353.6444272231</v>
      </c>
      <c r="AW43" s="26">
        <f>+P27</f>
        <v>6103470.5333333332</v>
      </c>
      <c r="AX43" s="26">
        <f>+P28</f>
        <v>5909670.8666666662</v>
      </c>
      <c r="AY43" s="26">
        <f>+P29</f>
        <v>5705687.8666666662</v>
      </c>
      <c r="AZ43" s="26">
        <f>+P30</f>
        <v>5502295.0666666664</v>
      </c>
      <c r="BA43" s="26">
        <f>+P31</f>
        <v>5293207.3999999994</v>
      </c>
      <c r="BB43" s="26">
        <f>+P32</f>
        <v>5080887.0666666664</v>
      </c>
    </row>
    <row r="44" spans="1:54">
      <c r="A44" s="11">
        <f>IF(AND(A43&lt;$B$2)*(A43&lt;&gt;0),1+A43," ")</f>
        <v>41</v>
      </c>
      <c r="B44" s="2">
        <f>IF(A44=" "," ",+F43)</f>
        <v>160008806.04158163</v>
      </c>
      <c r="C44" s="2">
        <f>IF(A44=" "," ",+B44*I43)</f>
        <v>1502082.6667153477</v>
      </c>
      <c r="D44" s="2">
        <f>IF(A44=" "," ",+E44-C44)</f>
        <v>19353149.203777071</v>
      </c>
      <c r="E44" s="2">
        <f>IF(A44=" "," ",+J43)</f>
        <v>20855231.870492417</v>
      </c>
      <c r="F44" s="2">
        <f>IF(A44=" "," ",+B44-D44)</f>
        <v>140655656.83780456</v>
      </c>
      <c r="G44" s="23">
        <f>0.00005+G43</f>
        <v>2.0000000000000001E-4</v>
      </c>
      <c r="H44" s="23">
        <f>IF(A44=" "," ",+H43)</f>
        <v>0.1125</v>
      </c>
      <c r="I44" s="8">
        <f>IF(A44=" "," ",((G44+H44)/12))</f>
        <v>9.391666666666668E-3</v>
      </c>
      <c r="J44" s="2">
        <f>IF(A44=" "," ",PMT(I44,K44,-F44,0))</f>
        <v>20855573.009121522</v>
      </c>
      <c r="K44" s="7">
        <f>IF(A41=" "," ",+$B$2-A44)</f>
        <v>7</v>
      </c>
      <c r="L44">
        <f>IF(A44&lt;&gt;" ",+L43," ")</f>
        <v>4</v>
      </c>
      <c r="M44">
        <f>IF(AND(A44&lt;&gt;" ")*(M43=12),1,1+M43)</f>
        <v>1</v>
      </c>
      <c r="N44">
        <f>IF(AND(A44&lt;&gt;" ")*(M44=1),1+N43,N43)</f>
        <v>2027</v>
      </c>
      <c r="O44" s="20"/>
      <c r="P44" s="22"/>
      <c r="Q44" s="32">
        <v>46050</v>
      </c>
      <c r="R44" s="63">
        <v>5862562</v>
      </c>
      <c r="S44" s="63">
        <v>16506488</v>
      </c>
      <c r="T44" s="86">
        <v>423111</v>
      </c>
      <c r="U44" s="63">
        <f>+R44+S44+T44</f>
        <v>22792161</v>
      </c>
      <c r="V44" s="63">
        <f>+V43-S44</f>
        <v>342227750</v>
      </c>
      <c r="Y44" s="66">
        <f>+Y42</f>
        <v>12007168.333333334</v>
      </c>
      <c r="Z44" s="66">
        <f>SUM(Z42:Z43)</f>
        <v>13686972.971082665</v>
      </c>
      <c r="AA44" s="66">
        <f>SUM(AA42:AA43)</f>
        <v>13648320.333333334</v>
      </c>
      <c r="AB44" s="66">
        <f>SUM(AB42:AB43)</f>
        <v>13192448</v>
      </c>
      <c r="AC44" s="67">
        <f>+AC43</f>
        <v>13061874.505386665</v>
      </c>
      <c r="AD44" s="66">
        <f>SUM(AD42:AD43)</f>
        <v>14688388</v>
      </c>
      <c r="AE44" s="66">
        <f>SUM(AE42:AE43)</f>
        <v>14202020.105263157</v>
      </c>
      <c r="AF44" s="66">
        <f>SUM(AF42:AF43)</f>
        <v>10622042.736842105</v>
      </c>
      <c r="AG44" s="66">
        <f>SUM(AG42:AG43)</f>
        <v>13680603.624561405</v>
      </c>
      <c r="AH44" s="66">
        <f>SUM(AH42:AH43)</f>
        <v>11704812.533333333</v>
      </c>
      <c r="AI44" s="4">
        <f>SUM(AI42:AI43)</f>
        <v>8972912</v>
      </c>
      <c r="AJ44" s="66">
        <f>SUM(AJ42:AJ43)</f>
        <v>13131535.5</v>
      </c>
      <c r="AK44" s="21">
        <f>SUM(AK42:AK43)</f>
        <v>10484496.315789474</v>
      </c>
      <c r="AL44" s="21">
        <f>SUM(AL42:AL43)</f>
        <v>10806859.832539473</v>
      </c>
      <c r="AM44" s="66">
        <f>SUM(AM42:AM43)</f>
        <v>10004081.100907896</v>
      </c>
      <c r="AN44" s="66">
        <f>SUM(AN42:AN43)+AF19</f>
        <v>9896796.2963684201</v>
      </c>
      <c r="AO44" s="21">
        <f>+AO43+AO42</f>
        <v>9560189.7813596278</v>
      </c>
      <c r="AP44" s="66">
        <f>SUM(AP42:AP43)+AH19</f>
        <v>8788744.3675101101</v>
      </c>
      <c r="AQ44" s="66">
        <f>SUM(AQ42:AQ43)+AI19</f>
        <v>7652665.9324833332</v>
      </c>
      <c r="AR44" s="66">
        <f>+AR43+AR42</f>
        <v>9230701.2201466653</v>
      </c>
      <c r="AS44" s="66">
        <f>+AS43+AS42</f>
        <v>8050753.9215533342</v>
      </c>
      <c r="AT44" s="66">
        <f>+AT43+AT42</f>
        <v>6751616.1973252771</v>
      </c>
      <c r="AU44" s="66">
        <f>+AU43+AU42</f>
        <v>7667822.8127767229</v>
      </c>
      <c r="AV44" s="21">
        <f>SUM(AV42:AV43)</f>
        <v>7302279.634325223</v>
      </c>
      <c r="AW44" s="21">
        <f>SUM(AW42:AW43)</f>
        <v>6930794.0940144444</v>
      </c>
      <c r="AX44" s="21">
        <f>SUM(AX42:AX43)</f>
        <v>6772117.333333333</v>
      </c>
      <c r="AY44" s="21">
        <f>SUM(AY42:AY43)</f>
        <v>6648205</v>
      </c>
      <c r="AZ44" s="21">
        <f>SUM(AZ42:AZ43)</f>
        <v>6380094.1999999993</v>
      </c>
      <c r="BA44" s="21">
        <f>SUM(BA42:BA43)</f>
        <v>6139714.333333333</v>
      </c>
      <c r="BB44" s="21">
        <f>SUM(BB42:BB43)</f>
        <v>5895226.666666666</v>
      </c>
    </row>
    <row r="45" spans="1:54">
      <c r="A45" s="11">
        <f>IF(AND(A44&lt;$B$2)*(A44&lt;&gt;0),1+A44," ")</f>
        <v>42</v>
      </c>
      <c r="B45" s="2">
        <f>IF(A45=" "," ",+F44)</f>
        <v>140655656.83780456</v>
      </c>
      <c r="C45" s="2">
        <f>IF(A45=" "," ",+B45*I44)</f>
        <v>1320991.0438017147</v>
      </c>
      <c r="D45" s="2">
        <f>IF(A45=" "," ",+E45-C45)</f>
        <v>19534581.965319809</v>
      </c>
      <c r="E45" s="2">
        <f>IF(A45=" "," ",+J44)</f>
        <v>20855573.009121522</v>
      </c>
      <c r="F45" s="2">
        <f>IF(A45=" "," ",+B45-D45)</f>
        <v>121121074.87248474</v>
      </c>
      <c r="G45" s="23">
        <f>0.00005+G44</f>
        <v>2.5000000000000001E-4</v>
      </c>
      <c r="H45" s="23">
        <f>IF(A45=" "," ",+H44)</f>
        <v>0.1125</v>
      </c>
      <c r="I45" s="8">
        <f>IF(A45=" "," ",((G45+H45)/12))</f>
        <v>9.3958333333333342E-3</v>
      </c>
      <c r="J45" s="2">
        <f>IF(A45=" "," ",PMT(I45,K45,-F45,0))</f>
        <v>20855871.976993512</v>
      </c>
      <c r="K45" s="7">
        <f>IF(A42=" "," ",+$B$2-A45)</f>
        <v>6</v>
      </c>
      <c r="L45">
        <f>IF(A45&lt;&gt;" ",+L44," ")</f>
        <v>4</v>
      </c>
      <c r="M45">
        <f>IF(AND(A45&lt;&gt;" ")*(M44=12),1,1+M44)</f>
        <v>2</v>
      </c>
      <c r="N45">
        <f>IF(AND(A45&lt;&gt;" ")*(M45=1),1+N44,N44)</f>
        <v>2027</v>
      </c>
      <c r="O45" s="20"/>
      <c r="P45" s="22"/>
      <c r="Q45" s="32">
        <v>46085</v>
      </c>
      <c r="R45" s="63">
        <v>5644323</v>
      </c>
      <c r="S45" s="63">
        <v>16687919</v>
      </c>
      <c r="T45" s="86">
        <v>459919</v>
      </c>
      <c r="U45" s="63">
        <f>+R45+S45+T45</f>
        <v>22792161</v>
      </c>
      <c r="V45" s="63">
        <f>+V44-S45</f>
        <v>325539831</v>
      </c>
      <c r="Z45" s="20">
        <v>13674093</v>
      </c>
      <c r="AA45" s="20"/>
      <c r="AC45" s="21"/>
      <c r="AL45" s="66">
        <f>+AL44-AD19</f>
        <v>10077384.832539473</v>
      </c>
      <c r="AO45" s="66">
        <f>+AO44+AG20</f>
        <v>10409202.781359628</v>
      </c>
      <c r="AQ45" s="21"/>
      <c r="AR45" s="21"/>
      <c r="AS45" s="21"/>
      <c r="AT45" s="21"/>
      <c r="AU45" s="21"/>
    </row>
    <row r="46" spans="1:54">
      <c r="A46" s="11">
        <f>IF(AND(A45&lt;$B$2)*(A45&lt;&gt;0),1+A45," ")</f>
        <v>43</v>
      </c>
      <c r="B46" s="2">
        <f>IF(A46=" "," ",+F45)</f>
        <v>121121074.87248474</v>
      </c>
      <c r="C46" s="2">
        <f>IF(A46=" "," ",+B46*I45)</f>
        <v>1138033.4326560546</v>
      </c>
      <c r="D46" s="2">
        <f>IF(A46=" "," ",+E46-C46)</f>
        <v>19717838.544337459</v>
      </c>
      <c r="E46" s="2">
        <f>IF(A46=" "," ",+J45)</f>
        <v>20855871.976993512</v>
      </c>
      <c r="F46" s="2">
        <f>IF(A46=" "," ",+B46-D46)</f>
        <v>101403236.32814729</v>
      </c>
      <c r="G46" s="23">
        <f>0.00005+G45</f>
        <v>3.0000000000000003E-4</v>
      </c>
      <c r="H46" s="23">
        <f>IF(A46=" "," ",+H45)</f>
        <v>0.1125</v>
      </c>
      <c r="I46" s="8">
        <f>IF(A46=" "," ",((G46+H46)/12))</f>
        <v>9.4000000000000004E-3</v>
      </c>
      <c r="J46" s="2">
        <f>IF(A46=" "," ",PMT(I46,K46,-F46,0))</f>
        <v>20856128.639238004</v>
      </c>
      <c r="K46" s="7">
        <f>IF(A43=" "," ",+$B$2-A46)</f>
        <v>5</v>
      </c>
      <c r="L46">
        <f>IF(A46&lt;&gt;" ",+L45," ")</f>
        <v>4</v>
      </c>
      <c r="M46">
        <f>IF(AND(A46&lt;&gt;" ")*(M45=12),1,1+M45)</f>
        <v>3</v>
      </c>
      <c r="N46">
        <f>IF(AND(A46&lt;&gt;" ")*(M46=1),1+N45,N45)</f>
        <v>2027</v>
      </c>
      <c r="O46" s="20"/>
      <c r="P46" s="22"/>
      <c r="Q46" s="32">
        <v>46136</v>
      </c>
      <c r="R46" s="63">
        <v>5602292</v>
      </c>
      <c r="S46" s="63">
        <v>16592141</v>
      </c>
      <c r="T46" s="86">
        <v>597728</v>
      </c>
      <c r="U46" s="63">
        <f>+R46+S46+T46</f>
        <v>22792161</v>
      </c>
      <c r="V46" s="63">
        <f>+V45-S46</f>
        <v>308947690</v>
      </c>
      <c r="Z46" s="21">
        <f>+Z42+Y42-R4</f>
        <v>923638</v>
      </c>
      <c r="AD46" s="21">
        <f>+AD44-AD48</f>
        <v>12964406</v>
      </c>
      <c r="AE46" s="21">
        <f>+R9</f>
        <v>9481238</v>
      </c>
      <c r="AF46" s="20">
        <f>+AF43+AG42</f>
        <v>13853697.894736843</v>
      </c>
      <c r="AG46" s="21">
        <f>+AG43+AH42</f>
        <v>12056479</v>
      </c>
      <c r="AH46" s="4">
        <f>+AH43</f>
        <v>10097282</v>
      </c>
      <c r="AI46" s="4">
        <f>+AI42</f>
        <v>8972912</v>
      </c>
      <c r="AJ46" s="4">
        <f>+AJ42</f>
        <v>2191299</v>
      </c>
      <c r="AK46" s="21">
        <f>+AK43+AL42</f>
        <v>13280362</v>
      </c>
      <c r="AL46" s="21">
        <f>+AL43+AM42</f>
        <v>10208928</v>
      </c>
      <c r="AM46" s="21">
        <f>+AM43+AN42</f>
        <v>11112040</v>
      </c>
      <c r="AN46" s="21">
        <f>+AN43+AO42</f>
        <v>8179292</v>
      </c>
      <c r="AO46" s="21">
        <f>+AO43+AP42</f>
        <v>9065881</v>
      </c>
      <c r="AP46" s="21">
        <f>+AP43+AQ42</f>
        <v>8746108.4936250001</v>
      </c>
      <c r="AQ46" s="21">
        <f>+AQ43+AR42</f>
        <v>8529737</v>
      </c>
      <c r="AR46" s="21">
        <f>+AR43+AS42</f>
        <v>8293248.8693999993</v>
      </c>
      <c r="AS46" s="21">
        <f>+AS43+AT42</f>
        <v>6944987.4056333341</v>
      </c>
      <c r="AT46" s="21">
        <f>+AT43+AU42</f>
        <v>7932921</v>
      </c>
      <c r="AU46" s="21">
        <f>+AU43+AV42</f>
        <v>7484444</v>
      </c>
    </row>
    <row r="47" spans="1:54">
      <c r="A47" s="11">
        <f>IF(AND(A46&lt;$B$2)*(A46&lt;&gt;0),1+A46," ")</f>
        <v>44</v>
      </c>
      <c r="B47" s="2">
        <f>IF(A47=" "," ",+F46)</f>
        <v>101403236.32814729</v>
      </c>
      <c r="C47" s="2">
        <f>IF(A47=" "," ",+B47*I46)</f>
        <v>953190.42148458457</v>
      </c>
      <c r="D47" s="2">
        <f>IF(A47=" "," ",+E47-C47)</f>
        <v>19902938.217753418</v>
      </c>
      <c r="E47" s="2">
        <f>IF(A47=" "," ",+J46)</f>
        <v>20856128.639238004</v>
      </c>
      <c r="F47" s="2">
        <f>IF(A47=" "," ",+B47-D47)</f>
        <v>81500298.110393882</v>
      </c>
      <c r="G47" s="23">
        <f>0.00005+G46</f>
        <v>3.5000000000000005E-4</v>
      </c>
      <c r="H47" s="23">
        <f>IF(A47=" "," ",+H46)</f>
        <v>0.1125</v>
      </c>
      <c r="I47" s="8">
        <f>IF(A47=" "," ",((G47+H47)/12))</f>
        <v>9.4041666666666666E-3</v>
      </c>
      <c r="J47" s="2">
        <f>IF(A47=" "," ",PMT(I47,K47,-F47,0))</f>
        <v>20856342.861046162</v>
      </c>
      <c r="K47" s="7">
        <f>IF(A44=" "," ",+$B$2-A47)</f>
        <v>4</v>
      </c>
      <c r="L47">
        <f>IF(A47&lt;&gt;" ",+L46," ")</f>
        <v>4</v>
      </c>
      <c r="M47">
        <f>IF(AND(A47&lt;&gt;" ")*(M46=12),1,1+M46)</f>
        <v>4</v>
      </c>
      <c r="N47">
        <f>IF(AND(A47&lt;&gt;" ")*(M47=1),1+N46,N46)</f>
        <v>2027</v>
      </c>
      <c r="O47" s="20"/>
      <c r="P47" s="22"/>
      <c r="Q47" s="32">
        <v>46171</v>
      </c>
      <c r="R47" s="63">
        <v>5363976</v>
      </c>
      <c r="S47" s="63">
        <v>16774448</v>
      </c>
      <c r="T47" s="86">
        <v>653737</v>
      </c>
      <c r="U47" s="63">
        <f>+R47+S47+T47</f>
        <v>22792161</v>
      </c>
      <c r="V47" s="63">
        <f>+V46-S47</f>
        <v>292173242</v>
      </c>
      <c r="Y47" s="21">
        <f>+Y44+Z42</f>
        <v>13854425</v>
      </c>
      <c r="Z47" s="21">
        <f>+Z43+AA42</f>
        <v>13648320.333333334</v>
      </c>
      <c r="AA47" s="20">
        <f>+AA43+AB42</f>
        <v>13497368.304415999</v>
      </c>
      <c r="AB47" s="20">
        <f>+AB43+AC42</f>
        <v>9902514</v>
      </c>
      <c r="AC47" s="21">
        <f>+AC43+AD42</f>
        <v>16545042.505386665</v>
      </c>
      <c r="AD47" s="20">
        <f>+AD43+AE42</f>
        <v>14546871.789473685</v>
      </c>
      <c r="AE47" s="20">
        <f>+AE43</f>
        <v>10860368.315789472</v>
      </c>
      <c r="AF47" s="21">
        <f>+AF43+AG42</f>
        <v>13853697.894736843</v>
      </c>
    </row>
    <row r="48" spans="1:54">
      <c r="A48" s="11">
        <f>IF(AND(A47&lt;$B$2)*(A47&lt;&gt;0),1+A47," ")</f>
        <v>45</v>
      </c>
      <c r="B48" s="2">
        <f>IF(A48=" "," ",+F47)</f>
        <v>81500298.110393882</v>
      </c>
      <c r="C48" s="2">
        <f>IF(A48=" "," ",+B48*I47)</f>
        <v>766442.38681316248</v>
      </c>
      <c r="D48" s="2">
        <f>IF(A48=" "," ",+E48-C48)</f>
        <v>20089900.474232998</v>
      </c>
      <c r="E48" s="2">
        <f>IF(A48=" "," ",+J47)</f>
        <v>20856342.861046162</v>
      </c>
      <c r="F48" s="2">
        <f>IF(A48=" "," ",+B48-D48)</f>
        <v>61410397.63616088</v>
      </c>
      <c r="G48" s="23">
        <f>0.00005+G47</f>
        <v>4.0000000000000007E-4</v>
      </c>
      <c r="H48" s="23">
        <f>IF(A48=" "," ",+H47)</f>
        <v>0.1125</v>
      </c>
      <c r="I48" s="8">
        <f>IF(A48=" "," ",((G48+H48)/12))</f>
        <v>9.4083333333333328E-3</v>
      </c>
      <c r="J48" s="2">
        <f>IF(A48=" "," ",PMT(I48,K48,-F48,0))</f>
        <v>20856514.50767573</v>
      </c>
      <c r="K48" s="7">
        <f>IF(A45=" "," ",+$B$2-A48)</f>
        <v>3</v>
      </c>
      <c r="L48">
        <f>IF(A48&lt;&gt;" ",+L47," ")</f>
        <v>4</v>
      </c>
      <c r="M48">
        <f>IF(AND(A48&lt;&gt;" ")*(M47=12),1,1+M47)</f>
        <v>5</v>
      </c>
      <c r="N48">
        <f>IF(AND(A48&lt;&gt;" ")*(M48=1),1+N47,N47)</f>
        <v>2027</v>
      </c>
      <c r="O48" s="20"/>
      <c r="P48" s="22"/>
      <c r="Q48" s="32">
        <v>46174</v>
      </c>
      <c r="R48" s="63">
        <v>5285485</v>
      </c>
      <c r="S48" s="63">
        <v>2303552</v>
      </c>
      <c r="T48" s="86">
        <v>312270</v>
      </c>
      <c r="U48" s="63">
        <f>+R48+S48+T48</f>
        <v>7901307</v>
      </c>
      <c r="V48" s="63">
        <f>+V47-S48</f>
        <v>289869690</v>
      </c>
      <c r="Y48" s="21"/>
      <c r="Z48" s="21"/>
      <c r="AA48" s="21"/>
      <c r="AC48" s="49" t="s">
        <v>64</v>
      </c>
      <c r="AD48" s="34">
        <f>+AD43-R9</f>
        <v>1723982</v>
      </c>
      <c r="AE48" s="21" t="s">
        <v>64</v>
      </c>
      <c r="AF48" s="49">
        <f>+AE44-R10</f>
        <v>1670826.1052631568</v>
      </c>
      <c r="AG48">
        <v>44</v>
      </c>
      <c r="AZ48" s="21"/>
    </row>
    <row r="49" spans="1:54">
      <c r="A49" s="11">
        <f>IF(AND(A48&lt;$B$2)*(A48&lt;&gt;0),1+A48," ")</f>
        <v>46</v>
      </c>
      <c r="B49" s="2">
        <f>IF(A49=" "," ",+F48)</f>
        <v>61410397.63616088</v>
      </c>
      <c r="C49" s="2">
        <f>IF(A49=" "," ",+B49*I48)</f>
        <v>577769.49109354697</v>
      </c>
      <c r="D49" s="2">
        <f>IF(A49=" "," ",+E49-C49)</f>
        <v>20278745.016582184</v>
      </c>
      <c r="E49" s="2">
        <f>IF(A49=" "," ",+J48)</f>
        <v>20856514.50767573</v>
      </c>
      <c r="F49" s="2">
        <f>IF(A49=" "," ",+B49-D49)</f>
        <v>41131652.619578697</v>
      </c>
      <c r="G49" s="23">
        <f>0.00005+G48</f>
        <v>4.500000000000001E-4</v>
      </c>
      <c r="H49" s="23">
        <f>IF(A49=" "," ",+H48)</f>
        <v>0.1125</v>
      </c>
      <c r="I49" s="8">
        <f>IF(A49=" "," ",((G49+H49)/12))</f>
        <v>9.4125000000000007E-3</v>
      </c>
      <c r="J49" s="2">
        <f>IF(A49=" "," ",PMT(I49,K49,-F49,0))</f>
        <v>20856643.444455989</v>
      </c>
      <c r="K49" s="7">
        <f>IF(A46=" "," ",+$B$2-A49)</f>
        <v>2</v>
      </c>
      <c r="L49">
        <f>IF(A49&lt;&gt;" ",+L48," ")</f>
        <v>4</v>
      </c>
      <c r="M49">
        <f>IF(AND(A49&lt;&gt;" ")*(M48=12),1,1+M48)</f>
        <v>6</v>
      </c>
      <c r="N49">
        <f>IF(AND(A49&lt;&gt;" ")*(M49=1),1+N48,N48)</f>
        <v>2027</v>
      </c>
      <c r="O49" s="20"/>
      <c r="P49" s="22"/>
      <c r="Q49" s="32">
        <v>46175</v>
      </c>
      <c r="R49" s="63"/>
      <c r="S49" s="63">
        <v>3307449</v>
      </c>
      <c r="T49" s="86">
        <v>20051</v>
      </c>
      <c r="U49" s="63">
        <f>+R49+S49+T49</f>
        <v>3327500</v>
      </c>
      <c r="V49" s="63">
        <f>+V48-S49</f>
        <v>286562241</v>
      </c>
      <c r="Y49" s="21">
        <f>+R4</f>
        <v>12930787</v>
      </c>
      <c r="Z49" s="21">
        <f>+R5</f>
        <v>14571959</v>
      </c>
      <c r="AA49" s="21">
        <f>+R6</f>
        <v>13568472</v>
      </c>
      <c r="AB49" s="21">
        <v>9831411</v>
      </c>
      <c r="AC49" s="21">
        <v>16545041</v>
      </c>
      <c r="AE49" s="21"/>
      <c r="AY49" s="21"/>
      <c r="BA49" s="21"/>
    </row>
    <row r="50" spans="1:54">
      <c r="A50" s="11">
        <f>IF(AND(A49&lt;$B$2)*(A49&lt;&gt;0),1+A49," ")</f>
        <v>47</v>
      </c>
      <c r="B50" s="2">
        <f>IF(A50=" "," ",+F49)</f>
        <v>41131652.619578697</v>
      </c>
      <c r="C50" s="2">
        <f>IF(A50=" "," ",+B50*I49)</f>
        <v>387151.6802817845</v>
      </c>
      <c r="D50" s="2">
        <f>IF(A50=" "," ",+E50-C50)</f>
        <v>20469491.764174204</v>
      </c>
      <c r="E50" s="2">
        <f>IF(A50=" "," ",+J49)</f>
        <v>20856643.444455989</v>
      </c>
      <c r="F50" s="2">
        <f>IF(A50=" "," ",+B50-D50)</f>
        <v>20662160.855404492</v>
      </c>
      <c r="G50" s="23">
        <f>0.00005+G49</f>
        <v>5.0000000000000012E-4</v>
      </c>
      <c r="H50" s="23">
        <f>IF(A50=" "," ",+H49)</f>
        <v>0.1125</v>
      </c>
      <c r="I50" s="8">
        <f>IF(A50=" "," ",((G50+H50)/12))</f>
        <v>9.4166666666666669E-3</v>
      </c>
      <c r="J50" s="2">
        <f>IF(A50=" "," ",PMT(I50,K50,-F50,0))</f>
        <v>20856729.536792886</v>
      </c>
      <c r="K50" s="7">
        <f>IF(A47=" "," ",+$B$2-A50)</f>
        <v>1</v>
      </c>
      <c r="L50">
        <f>IF(A50&lt;&gt;" ",+L49," ")</f>
        <v>4</v>
      </c>
      <c r="M50">
        <f>IF(AND(A50&lt;&gt;" ")*(M49=12),1,1+M49)</f>
        <v>7</v>
      </c>
      <c r="N50">
        <f>IF(AND(A50&lt;&gt;" ")*(M50=1),1+N49,N49)</f>
        <v>2027</v>
      </c>
      <c r="O50" s="20"/>
      <c r="P50" s="22"/>
      <c r="Q50" s="32">
        <v>46177</v>
      </c>
      <c r="R50" s="63"/>
      <c r="S50" s="63">
        <v>2288592</v>
      </c>
      <c r="T50" s="86">
        <v>278908</v>
      </c>
      <c r="U50" s="63">
        <f>+R50+S50+T50</f>
        <v>2567500</v>
      </c>
      <c r="V50" s="63">
        <f>+V49-S50</f>
        <v>284273649</v>
      </c>
      <c r="Y50" s="21">
        <f>+Y47-Y49</f>
        <v>923638</v>
      </c>
      <c r="Z50" s="20">
        <f>+Z44-Z45</f>
        <v>12879.971082665026</v>
      </c>
      <c r="AA50" s="28">
        <f>+AA47-AA49</f>
        <v>-71103.69558400102</v>
      </c>
      <c r="AB50" s="28">
        <f>+AB47-AB49</f>
        <v>71103</v>
      </c>
      <c r="AC50" s="21">
        <f>+AC47-AC49</f>
        <v>1.5053866654634476</v>
      </c>
      <c r="AD50" s="21">
        <f>+AD43-AD47</f>
        <v>-3341651.7894736845</v>
      </c>
      <c r="AE50" t="s">
        <v>65</v>
      </c>
      <c r="AV50" s="20"/>
      <c r="AW50" s="20"/>
      <c r="AX50" s="21"/>
      <c r="BB50" s="21"/>
    </row>
    <row r="51" spans="1:54">
      <c r="A51" s="11">
        <f>IF(AND(A50&lt;$B$2)*(A50&lt;&gt;0),1+A50," ")</f>
        <v>48</v>
      </c>
      <c r="B51" s="2">
        <f>IF(A51=" "," ",+F50)</f>
        <v>20662160.855404492</v>
      </c>
      <c r="C51" s="2">
        <f>IF(A51=" "," ",+B51*I50)</f>
        <v>194568.68138839232</v>
      </c>
      <c r="D51" s="2">
        <f>IF(A51=" "," ",+E51-C51)</f>
        <v>20662160.855404492</v>
      </c>
      <c r="E51" s="2">
        <f>IF(A51=" "," ",+J50)</f>
        <v>20856729.536792886</v>
      </c>
      <c r="F51" s="2">
        <f>IF(A51=" "," ",+B51-D51)</f>
        <v>0</v>
      </c>
      <c r="G51" s="23">
        <f>0.00005+G50</f>
        <v>5.5000000000000014E-4</v>
      </c>
      <c r="H51" s="23">
        <f>IF(A51=" "," ",+H50)</f>
        <v>0.1125</v>
      </c>
      <c r="I51" s="8">
        <f>IF(A51=" "," ",((G51+H51)/12))</f>
        <v>9.4208333333333331E-3</v>
      </c>
      <c r="J51" s="2" t="e">
        <f>IF(A51=" "," ",PMT(I51,K51,-F51,0))</f>
        <v>#NUM!</v>
      </c>
      <c r="K51" s="7">
        <f>IF(A48=" "," ",+$B$2-A51)</f>
        <v>0</v>
      </c>
      <c r="L51">
        <f>IF(A51&lt;&gt;" ",+L50," ")</f>
        <v>4</v>
      </c>
      <c r="M51">
        <f>IF(AND(A51&lt;&gt;" ")*(M50=12),1,1+M50)</f>
        <v>8</v>
      </c>
      <c r="N51">
        <f>IF(AND(A51&lt;&gt;" ")*(M51=1),1+N50,N50)</f>
        <v>2027</v>
      </c>
      <c r="O51" s="20"/>
      <c r="P51" s="22"/>
      <c r="Q51" s="32">
        <v>46182</v>
      </c>
      <c r="R51" s="63"/>
      <c r="S51" s="63">
        <v>372866</v>
      </c>
      <c r="T51" s="86">
        <v>57134</v>
      </c>
      <c r="U51" s="63">
        <f>+R51+S51+T51</f>
        <v>430000</v>
      </c>
      <c r="V51" s="63">
        <f>+V50-S51</f>
        <v>283900783</v>
      </c>
      <c r="AC51" t="s">
        <v>66</v>
      </c>
      <c r="AD51" s="20">
        <f>+AD50+AD42</f>
        <v>141516.2105263155</v>
      </c>
      <c r="AE51" s="21">
        <v>11090327</v>
      </c>
      <c r="AF51" s="21">
        <f>+AD51-AE51</f>
        <v>-10948810.789473685</v>
      </c>
      <c r="AV51" s="20"/>
      <c r="AW51" s="20"/>
      <c r="AX51" s="21"/>
    </row>
    <row r="52" spans="1:54">
      <c r="A52" s="11"/>
      <c r="B52" s="2"/>
      <c r="C52" s="2"/>
      <c r="D52" s="2"/>
      <c r="E52" s="2"/>
      <c r="F52" s="2"/>
      <c r="G52" s="23"/>
      <c r="H52" s="23"/>
      <c r="I52" s="8"/>
      <c r="J52" s="2"/>
      <c r="K52" s="7"/>
      <c r="Q52" s="32">
        <v>46183</v>
      </c>
      <c r="R52" s="63"/>
      <c r="S52" s="63">
        <v>978534</v>
      </c>
      <c r="T52" s="86">
        <v>271466</v>
      </c>
      <c r="U52" s="63">
        <f>+R52+S52+T52</f>
        <v>1250000</v>
      </c>
      <c r="V52" s="63">
        <f>+V51-S52</f>
        <v>282922249</v>
      </c>
      <c r="AD52" s="20"/>
      <c r="AV52" s="20"/>
      <c r="AW52" s="20"/>
      <c r="AX52" s="21"/>
    </row>
    <row r="53" spans="1:54">
      <c r="A53" s="11"/>
      <c r="B53" s="2"/>
      <c r="C53" s="2"/>
      <c r="D53" s="2"/>
      <c r="E53" s="2"/>
      <c r="F53" s="2"/>
      <c r="G53" s="23"/>
      <c r="H53" s="23"/>
      <c r="I53" s="8"/>
      <c r="J53" s="2"/>
      <c r="K53" s="7"/>
      <c r="Q53" s="32">
        <v>46184</v>
      </c>
      <c r="R53" s="63"/>
      <c r="S53" s="63">
        <v>2860461</v>
      </c>
      <c r="T53" s="86">
        <v>60039</v>
      </c>
      <c r="U53" s="63">
        <f>+R53+S53+T53</f>
        <v>2920500</v>
      </c>
      <c r="V53" s="63">
        <f>+V52-S53</f>
        <v>280061788</v>
      </c>
      <c r="Z53" s="4"/>
      <c r="AB53" s="21">
        <f>70861-AB50</f>
        <v>-242</v>
      </c>
      <c r="AD53" s="47">
        <f>+AD51-12893647</f>
        <v>-12752130.789473685</v>
      </c>
      <c r="AE53" s="48" t="s">
        <v>67</v>
      </c>
      <c r="AF53" s="48"/>
      <c r="AV53" s="20"/>
      <c r="AW53" s="20"/>
      <c r="AX53" s="21"/>
    </row>
    <row r="54" spans="1:54">
      <c r="A54" s="11"/>
      <c r="B54" s="2"/>
      <c r="C54" s="2"/>
      <c r="D54" s="2"/>
      <c r="E54" s="2"/>
      <c r="F54" s="2"/>
      <c r="G54" s="23"/>
      <c r="H54" s="23"/>
      <c r="I54" s="8"/>
      <c r="J54" s="2"/>
      <c r="K54" s="7"/>
      <c r="Q54" s="32">
        <v>46189</v>
      </c>
      <c r="R54" s="63"/>
      <c r="S54" s="63">
        <v>3692837</v>
      </c>
      <c r="T54" s="86">
        <v>264663</v>
      </c>
      <c r="U54" s="63">
        <f>+R54+S54+T54</f>
        <v>3957500</v>
      </c>
      <c r="V54" s="63">
        <f>+V53-S54</f>
        <v>276368951</v>
      </c>
      <c r="Z54" s="21"/>
      <c r="AV54" s="20"/>
      <c r="AW54" s="20"/>
      <c r="AX54" s="21"/>
    </row>
    <row r="55" spans="1:54">
      <c r="A55" s="11"/>
      <c r="B55" s="2"/>
      <c r="C55" s="2"/>
      <c r="D55" s="2"/>
      <c r="E55" s="2"/>
      <c r="F55" s="2"/>
      <c r="G55" s="23"/>
      <c r="H55" s="23"/>
      <c r="I55" s="8"/>
      <c r="J55" s="2"/>
      <c r="K55" s="7"/>
      <c r="Q55" s="32">
        <v>46197</v>
      </c>
      <c r="R55" s="63"/>
      <c r="S55" s="63">
        <v>410066</v>
      </c>
      <c r="T55" s="86">
        <v>29934</v>
      </c>
      <c r="U55" s="63">
        <f>+R55+S55+T55</f>
        <v>440000</v>
      </c>
      <c r="V55" s="63">
        <f>+V54-S55</f>
        <v>275958885</v>
      </c>
      <c r="Z55">
        <f>11839724+1847256-13674093</f>
        <v>12887</v>
      </c>
      <c r="AA55" s="20">
        <f>13519213-AA44</f>
        <v>-129107.33333333395</v>
      </c>
      <c r="AB55" s="21">
        <f>+AB44-12421837</f>
        <v>770611</v>
      </c>
      <c r="AC55" s="21">
        <f>+AC44-14012681</f>
        <v>-950806.49461333454</v>
      </c>
      <c r="AD55" s="21">
        <f>+AD44-12893647</f>
        <v>1794741</v>
      </c>
      <c r="AJ55">
        <f>+R16/26</f>
        <v>448830.19230769231</v>
      </c>
      <c r="AV55" s="20"/>
      <c r="AW55" s="20"/>
      <c r="AX55" s="21"/>
    </row>
    <row r="56" spans="1:54">
      <c r="A56" s="11"/>
      <c r="B56" s="2"/>
      <c r="C56" s="2"/>
      <c r="D56" s="2"/>
      <c r="E56" s="2"/>
      <c r="F56" s="2"/>
      <c r="G56" s="23"/>
      <c r="H56" s="23"/>
      <c r="I56" s="8"/>
      <c r="J56" s="2"/>
      <c r="K56" s="7"/>
      <c r="Q56" s="32">
        <v>46233</v>
      </c>
      <c r="R56" s="63">
        <v>4996092</v>
      </c>
      <c r="S56" s="63">
        <v>4662892</v>
      </c>
      <c r="T56" s="86">
        <v>888677</v>
      </c>
      <c r="U56" s="63">
        <f>+R56+S56+T56</f>
        <v>10547661</v>
      </c>
      <c r="V56" s="63">
        <f>+V55-S56</f>
        <v>271295993</v>
      </c>
      <c r="AA56" s="21">
        <f>+AA55-Z55</f>
        <v>-141994.33333333395</v>
      </c>
      <c r="AB56" s="21">
        <f>+AB55-AA56</f>
        <v>912605.33333333395</v>
      </c>
      <c r="AV56" s="20"/>
      <c r="AW56" s="20"/>
      <c r="AX56" s="21"/>
    </row>
    <row r="57" spans="1:54">
      <c r="A57" s="11"/>
      <c r="B57" s="2"/>
      <c r="C57" s="2"/>
      <c r="D57" s="2"/>
      <c r="E57" s="2"/>
      <c r="F57" s="2"/>
      <c r="G57" s="23"/>
      <c r="H57" s="23"/>
      <c r="I57" s="8"/>
      <c r="J57" s="2"/>
      <c r="K57" s="7"/>
      <c r="Q57" s="32"/>
      <c r="R57" s="63"/>
      <c r="S57" s="63"/>
      <c r="T57" s="86"/>
      <c r="U57" s="63"/>
      <c r="V57" s="63"/>
      <c r="AA57" t="s">
        <v>64</v>
      </c>
      <c r="AB57" s="20">
        <v>1632280</v>
      </c>
      <c r="AV57" s="20"/>
      <c r="AW57" s="20"/>
      <c r="AX57" s="21"/>
    </row>
    <row r="58" spans="1:54">
      <c r="A58" s="11"/>
      <c r="B58" s="2"/>
      <c r="C58" s="2"/>
      <c r="D58" s="2"/>
      <c r="E58" s="2"/>
      <c r="F58" s="2"/>
      <c r="G58" s="23"/>
      <c r="H58" s="23"/>
      <c r="I58" s="8"/>
      <c r="J58" s="2"/>
      <c r="K58" s="7"/>
      <c r="Q58" s="32"/>
      <c r="R58" s="63"/>
      <c r="S58" s="63"/>
      <c r="T58" s="86"/>
      <c r="U58" s="63"/>
      <c r="V58" s="63"/>
      <c r="AB58" s="21">
        <f>+AB57-AB56</f>
        <v>719674.66666666605</v>
      </c>
    </row>
    <row r="59" spans="1:54">
      <c r="A59" s="11"/>
      <c r="B59" s="2"/>
      <c r="C59" s="2"/>
      <c r="D59" s="2"/>
      <c r="E59" s="2"/>
      <c r="F59" s="2"/>
      <c r="G59" s="23"/>
      <c r="H59" s="23"/>
      <c r="I59" s="8"/>
      <c r="J59" s="2"/>
      <c r="K59" s="7"/>
      <c r="Q59" s="32"/>
      <c r="R59" s="63"/>
      <c r="S59" s="63"/>
      <c r="T59" s="86"/>
      <c r="U59" s="63"/>
      <c r="V59" s="63"/>
    </row>
    <row r="60" spans="1:54">
      <c r="A60" s="11"/>
      <c r="B60" s="2"/>
      <c r="C60" s="2"/>
      <c r="D60" s="2"/>
      <c r="E60" s="2"/>
      <c r="F60" s="2"/>
      <c r="G60" s="23"/>
      <c r="H60" s="23"/>
      <c r="I60" s="8"/>
      <c r="J60" s="2"/>
      <c r="K60" s="7"/>
      <c r="Q60" s="32"/>
      <c r="R60" s="63"/>
      <c r="S60" s="63"/>
      <c r="T60" s="86"/>
      <c r="U60" s="63"/>
      <c r="V60" s="63"/>
    </row>
    <row r="61" spans="1:54">
      <c r="A61" s="11"/>
      <c r="B61" s="2"/>
      <c r="C61" s="2"/>
      <c r="D61" s="2"/>
      <c r="E61" s="2"/>
      <c r="F61" s="2"/>
      <c r="G61" s="23"/>
      <c r="H61" s="23"/>
      <c r="I61" s="8"/>
      <c r="J61" s="2"/>
      <c r="K61" s="7"/>
      <c r="Q61" s="32"/>
      <c r="R61" s="63"/>
      <c r="S61" s="63"/>
      <c r="T61" s="86"/>
      <c r="U61" s="63"/>
      <c r="V61" s="63"/>
      <c r="AC61" s="20">
        <f>12531194-12494528</f>
        <v>36666</v>
      </c>
    </row>
    <row r="62" spans="1:54">
      <c r="A62" s="11"/>
      <c r="B62" s="2"/>
      <c r="C62" s="2"/>
      <c r="D62" s="2"/>
      <c r="E62" s="2"/>
      <c r="F62" s="2"/>
      <c r="G62" s="23"/>
      <c r="H62" s="23"/>
      <c r="I62" s="8"/>
      <c r="J62" s="2"/>
      <c r="K62" s="7"/>
      <c r="Q62" s="32"/>
      <c r="R62" s="63"/>
      <c r="S62" s="63"/>
      <c r="T62" s="86"/>
      <c r="U62" s="63"/>
      <c r="V62" s="63"/>
      <c r="AC62" s="20">
        <f>1634160-1670826</f>
        <v>-36666</v>
      </c>
    </row>
    <row r="63" spans="1:54">
      <c r="A63" s="11"/>
      <c r="B63" s="2"/>
      <c r="C63" s="2"/>
      <c r="D63" s="2"/>
      <c r="E63" s="2"/>
      <c r="F63" s="2"/>
      <c r="G63" s="23"/>
      <c r="H63" s="23"/>
      <c r="I63" s="8"/>
      <c r="J63" s="2"/>
      <c r="K63" s="7"/>
    </row>
    <row r="64" spans="1:54">
      <c r="A64" s="11"/>
      <c r="B64" s="2"/>
      <c r="C64" s="2"/>
      <c r="D64" s="2"/>
      <c r="E64" s="2"/>
      <c r="F64" s="2"/>
      <c r="G64" s="23"/>
      <c r="H64" s="23"/>
      <c r="I64" s="8"/>
      <c r="J64" s="2"/>
      <c r="K64" s="24"/>
    </row>
    <row r="65" spans="1:32" ht="15" customHeight="1">
      <c r="A65" s="11"/>
      <c r="B65" s="2"/>
      <c r="C65" s="2"/>
      <c r="D65" s="2"/>
      <c r="E65" s="2"/>
      <c r="F65" s="2"/>
      <c r="G65" s="23"/>
      <c r="H65" s="23"/>
      <c r="I65" s="8"/>
      <c r="J65" s="2"/>
      <c r="K65" s="24"/>
      <c r="Y65" s="35">
        <v>46023</v>
      </c>
      <c r="Z65" s="35">
        <v>46054</v>
      </c>
      <c r="AA65" s="35">
        <v>46082</v>
      </c>
      <c r="AB65" s="35">
        <v>46113</v>
      </c>
      <c r="AC65" s="35">
        <v>46143</v>
      </c>
      <c r="AD65" s="35">
        <v>46174</v>
      </c>
      <c r="AE65" s="35">
        <v>46204</v>
      </c>
      <c r="AF65" s="35">
        <v>46235</v>
      </c>
    </row>
    <row r="66" spans="1:32">
      <c r="A66" s="11"/>
      <c r="B66" s="2"/>
      <c r="C66" s="2"/>
      <c r="D66" s="2"/>
      <c r="E66" s="2"/>
      <c r="F66" s="2"/>
      <c r="G66" s="23"/>
      <c r="H66" s="23"/>
      <c r="I66" s="8"/>
      <c r="J66" s="2"/>
      <c r="K66" s="24"/>
      <c r="Y66" s="21">
        <f>+O32*4</f>
        <v>781674.93333333335</v>
      </c>
      <c r="Z66" s="21">
        <f>+O33*4+2</f>
        <v>752578.4</v>
      </c>
      <c r="AA66" s="21">
        <f>+O34*4</f>
        <v>746972.26666666672</v>
      </c>
      <c r="AB66" s="21">
        <f>+O35*4+2</f>
        <v>715198.8</v>
      </c>
      <c r="AC66" s="21">
        <f>+O36*4-3</f>
        <v>704728.33333333337</v>
      </c>
      <c r="AD66" s="21">
        <f>+O37*4</f>
        <v>666145.6</v>
      </c>
      <c r="AE66" s="21">
        <f>+O38*4</f>
        <v>629647.19999999995</v>
      </c>
      <c r="AF66" s="21">
        <f>+O39*4</f>
        <v>605594</v>
      </c>
    </row>
    <row r="67" spans="1:32">
      <c r="A67" s="11"/>
      <c r="B67" s="2"/>
      <c r="C67" s="2"/>
      <c r="D67" s="2"/>
      <c r="E67" s="2"/>
      <c r="F67" s="2"/>
      <c r="G67" s="23"/>
      <c r="H67" s="23"/>
      <c r="I67" s="8"/>
      <c r="J67" s="2"/>
      <c r="K67" s="24"/>
      <c r="Y67" s="26">
        <f>+P33</f>
        <v>4891746.6000000006</v>
      </c>
      <c r="Z67" s="26">
        <f>+P34</f>
        <v>4855319.7333333334</v>
      </c>
      <c r="AA67" s="26">
        <f>+P35</f>
        <v>4648779.2</v>
      </c>
      <c r="AB67" s="26">
        <f>+P36</f>
        <v>4580753.666666667</v>
      </c>
      <c r="AC67" s="26">
        <f>+P37</f>
        <v>4329946.3999999994</v>
      </c>
      <c r="AD67" s="26">
        <f>+P38</f>
        <v>4092706.8</v>
      </c>
      <c r="AE67" s="26">
        <f>+P39</f>
        <v>3936361</v>
      </c>
      <c r="AF67" s="26">
        <f>+P40</f>
        <v>3663062</v>
      </c>
    </row>
    <row r="68" spans="1:32">
      <c r="A68" s="11"/>
      <c r="B68" s="2"/>
      <c r="C68" s="2"/>
      <c r="D68" s="2"/>
      <c r="E68" s="2"/>
      <c r="F68" s="2"/>
      <c r="G68" s="23"/>
      <c r="H68" s="23"/>
      <c r="I68" s="8"/>
      <c r="J68" s="2"/>
      <c r="K68" s="24"/>
      <c r="Y68" s="21">
        <f>SUM(Y66:Y67)</f>
        <v>5673421.5333333341</v>
      </c>
      <c r="Z68" s="21">
        <f>SUM(Z66:Z67)</f>
        <v>5607898.1333333338</v>
      </c>
      <c r="AA68" s="21">
        <f>SUM(AA66:AA67)</f>
        <v>5395751.4666666668</v>
      </c>
      <c r="AB68" s="21">
        <f>SUM(AB66:AB67)</f>
        <v>5295952.4666666668</v>
      </c>
      <c r="AC68" s="21">
        <f>SUM(AC66:AC67)</f>
        <v>5034674.7333333325</v>
      </c>
      <c r="AD68" s="21">
        <f>SUM(AD66:AD67)</f>
        <v>4758852.3999999994</v>
      </c>
      <c r="AE68" s="21">
        <f>SUM(AE66:AE67)</f>
        <v>4566008.2</v>
      </c>
      <c r="AF68" s="21">
        <f>SUM(AF66:AF67)</f>
        <v>4268656</v>
      </c>
    </row>
    <row r="69" spans="1:32">
      <c r="A69" s="11"/>
      <c r="B69" s="2"/>
      <c r="C69" s="2"/>
      <c r="D69" s="2"/>
      <c r="E69" s="2"/>
      <c r="F69" s="2"/>
      <c r="G69" s="23"/>
      <c r="H69" s="23"/>
      <c r="I69" s="8"/>
      <c r="J69" s="2"/>
      <c r="K69" s="24"/>
    </row>
    <row r="70" spans="1:32">
      <c r="A70" s="11"/>
      <c r="B70" s="2"/>
      <c r="C70" s="2"/>
      <c r="D70" s="2"/>
      <c r="E70" s="2"/>
      <c r="F70" s="2"/>
      <c r="G70" s="23"/>
      <c r="H70" s="23"/>
      <c r="I70" s="8"/>
      <c r="J70" s="2"/>
      <c r="K70" s="24"/>
    </row>
    <row r="71" spans="1:32">
      <c r="A71" s="11"/>
      <c r="B71" s="2"/>
      <c r="C71" s="2"/>
      <c r="D71" s="2"/>
      <c r="E71" s="2"/>
      <c r="F71" s="2"/>
      <c r="G71" s="23"/>
      <c r="H71" s="23"/>
      <c r="I71" s="8"/>
      <c r="J71" s="2"/>
      <c r="K71" s="24"/>
      <c r="Y71" s="21"/>
      <c r="Z71" s="21"/>
      <c r="AA71" s="21"/>
      <c r="AB71" s="21"/>
      <c r="AD71" s="21"/>
      <c r="AE71" s="21"/>
    </row>
    <row r="72" spans="1:32">
      <c r="A72" s="11"/>
      <c r="B72" s="2"/>
      <c r="C72" s="2"/>
      <c r="D72" s="2"/>
      <c r="E72" s="2"/>
      <c r="F72" s="2"/>
      <c r="G72" s="23"/>
      <c r="H72" s="23"/>
      <c r="I72" s="8"/>
      <c r="J72" s="2"/>
      <c r="K72" s="24"/>
    </row>
    <row r="73" spans="1:32">
      <c r="A73" s="11"/>
      <c r="B73" s="2"/>
      <c r="C73" s="2"/>
      <c r="D73" s="2"/>
      <c r="E73" s="2"/>
      <c r="F73" s="2"/>
      <c r="G73" s="23"/>
      <c r="H73" s="23"/>
      <c r="I73" s="8"/>
      <c r="J73" s="2"/>
      <c r="K73" s="24"/>
      <c r="AC73" s="21"/>
    </row>
    <row r="74" spans="1:32">
      <c r="A74" s="11"/>
      <c r="B74" s="2"/>
      <c r="C74" s="2"/>
      <c r="D74" s="2"/>
      <c r="E74" s="2"/>
      <c r="F74" s="2"/>
      <c r="G74" s="23"/>
      <c r="H74" s="23"/>
      <c r="I74" s="8"/>
      <c r="J74" s="2"/>
      <c r="K74" s="24"/>
    </row>
    <row r="75" spans="1:32">
      <c r="A75" s="11"/>
      <c r="B75" s="2"/>
      <c r="C75" s="2"/>
      <c r="D75" s="2"/>
      <c r="E75" s="2"/>
      <c r="F75" s="2"/>
      <c r="G75" s="23"/>
      <c r="H75" s="23"/>
      <c r="I75" s="8"/>
      <c r="J75" s="2"/>
      <c r="K75" s="24"/>
    </row>
    <row r="76" spans="1:32">
      <c r="A76" s="11"/>
      <c r="B76" s="2"/>
      <c r="C76" s="2"/>
      <c r="D76" s="2"/>
      <c r="E76" s="2"/>
      <c r="F76" s="2"/>
      <c r="G76" s="23"/>
      <c r="H76" s="23"/>
      <c r="I76" s="8"/>
      <c r="J76" s="2"/>
      <c r="K76" s="24"/>
    </row>
    <row r="77" spans="1:32">
      <c r="A77" s="11"/>
      <c r="B77" s="2"/>
      <c r="C77" s="2"/>
      <c r="D77" s="2"/>
      <c r="E77" s="2"/>
      <c r="F77" s="2"/>
      <c r="G77" s="23"/>
      <c r="H77" s="23"/>
      <c r="I77" s="8"/>
      <c r="J77" s="2"/>
      <c r="K77" s="24"/>
    </row>
    <row r="78" spans="1:32">
      <c r="A78" s="11"/>
      <c r="B78" s="2"/>
      <c r="C78" s="2"/>
      <c r="D78" s="2"/>
      <c r="E78" s="2"/>
      <c r="F78" s="2"/>
      <c r="G78" s="23"/>
      <c r="H78" s="23"/>
      <c r="I78" s="8"/>
      <c r="J78" s="2"/>
      <c r="K78" s="24"/>
    </row>
    <row r="79" spans="1:32">
      <c r="A79" s="11"/>
      <c r="B79" s="2"/>
      <c r="C79" s="2"/>
      <c r="D79" s="2"/>
      <c r="E79" s="2"/>
      <c r="F79" s="2"/>
      <c r="G79" s="23"/>
      <c r="H79" s="23"/>
      <c r="I79" s="8"/>
      <c r="J79" s="2"/>
      <c r="K79" s="24"/>
    </row>
    <row r="80" spans="1:32">
      <c r="A80" s="11"/>
      <c r="B80" s="2"/>
      <c r="C80" s="2"/>
      <c r="D80" s="2"/>
      <c r="E80" s="2"/>
      <c r="F80" s="2"/>
      <c r="G80" s="23"/>
      <c r="H80" s="23"/>
      <c r="I80" s="8"/>
      <c r="J80" s="2"/>
      <c r="K80" s="24"/>
    </row>
    <row r="81" spans="1:11">
      <c r="A81" s="11"/>
      <c r="B81" s="2"/>
      <c r="C81" s="2"/>
      <c r="D81" s="2"/>
      <c r="E81" s="2"/>
      <c r="F81" s="2"/>
      <c r="G81" s="23"/>
      <c r="H81" s="23"/>
      <c r="I81" s="8"/>
      <c r="J81" s="2"/>
      <c r="K81" s="24"/>
    </row>
    <row r="82" spans="1:11">
      <c r="A82" s="11"/>
      <c r="B82" s="2"/>
      <c r="C82" s="2"/>
      <c r="D82" s="2"/>
      <c r="E82" s="2"/>
      <c r="F82" s="2"/>
      <c r="G82" s="23"/>
      <c r="H82" s="23"/>
      <c r="I82" s="8"/>
      <c r="J82" s="2"/>
      <c r="K82" s="24"/>
    </row>
    <row r="83" spans="1:11">
      <c r="A83" s="11"/>
      <c r="B83" s="2"/>
      <c r="C83" s="2"/>
      <c r="D83" s="2"/>
      <c r="E83" s="2"/>
      <c r="F83" s="2"/>
      <c r="G83" s="23"/>
      <c r="H83" s="23"/>
      <c r="I83" s="8"/>
      <c r="J83" s="2"/>
      <c r="K83" s="24"/>
    </row>
    <row r="84" spans="1:11">
      <c r="A84" s="11"/>
      <c r="B84" s="2"/>
      <c r="C84" s="2"/>
      <c r="D84" s="2"/>
      <c r="E84" s="2"/>
      <c r="F84" s="2"/>
      <c r="G84" s="23"/>
      <c r="H84" s="23"/>
      <c r="I84" s="8"/>
      <c r="J84" s="2"/>
      <c r="K84" s="24"/>
    </row>
    <row r="85" spans="1:11">
      <c r="A85" s="11"/>
      <c r="B85" s="2"/>
      <c r="C85" s="2"/>
      <c r="D85" s="2"/>
      <c r="E85" s="2"/>
      <c r="F85" s="2"/>
      <c r="G85" s="23"/>
      <c r="H85" s="23"/>
      <c r="I85" s="8"/>
      <c r="J85" s="2"/>
      <c r="K85" s="24"/>
    </row>
    <row r="86" spans="1:11">
      <c r="A86" s="11"/>
      <c r="B86" s="2"/>
      <c r="C86" s="2"/>
      <c r="D86" s="2"/>
      <c r="E86" s="2"/>
      <c r="F86" s="2"/>
      <c r="G86" s="23"/>
      <c r="H86" s="23"/>
      <c r="I86" s="8"/>
      <c r="J86" s="2"/>
      <c r="K86" s="24"/>
    </row>
    <row r="87" spans="1:11">
      <c r="A87" s="11"/>
      <c r="B87" s="2"/>
      <c r="C87" s="2"/>
      <c r="D87" s="2"/>
      <c r="E87" s="2"/>
      <c r="F87" s="2"/>
      <c r="G87" s="23"/>
      <c r="H87" s="23"/>
      <c r="I87" s="8"/>
      <c r="J87" s="2"/>
      <c r="K87" s="24"/>
    </row>
    <row r="88" spans="1:11">
      <c r="A88" s="11"/>
      <c r="B88" s="2"/>
      <c r="C88" s="2"/>
      <c r="D88" s="2"/>
      <c r="E88" s="2"/>
      <c r="F88" s="2"/>
      <c r="G88" s="23"/>
      <c r="H88" s="23"/>
      <c r="I88" s="8"/>
      <c r="J88" s="2"/>
      <c r="K88" s="24"/>
    </row>
    <row r="89" spans="1:11">
      <c r="A89" s="11"/>
      <c r="B89" s="2"/>
      <c r="C89" s="2"/>
      <c r="D89" s="2"/>
      <c r="E89" s="2"/>
      <c r="F89" s="2"/>
      <c r="G89" s="23"/>
      <c r="H89" s="23"/>
      <c r="I89" s="8"/>
      <c r="J89" s="2"/>
      <c r="K89" s="24"/>
    </row>
    <row r="90" spans="1:11">
      <c r="A90" s="11"/>
      <c r="B90" s="2"/>
      <c r="C90" s="2"/>
      <c r="D90" s="2"/>
      <c r="E90" s="2"/>
      <c r="F90" s="2"/>
      <c r="G90" s="23"/>
      <c r="H90" s="23"/>
      <c r="I90" s="8"/>
      <c r="J90" s="2"/>
      <c r="K90" s="24"/>
    </row>
    <row r="91" spans="1:11">
      <c r="A91" s="11"/>
      <c r="B91" s="2"/>
      <c r="C91" s="2"/>
      <c r="D91" s="2"/>
      <c r="E91" s="2"/>
      <c r="F91" s="2"/>
      <c r="G91" s="23"/>
      <c r="H91" s="23"/>
      <c r="I91" s="8"/>
      <c r="J91" s="2"/>
      <c r="K91" s="24"/>
    </row>
    <row r="92" spans="1:11">
      <c r="A92" s="11"/>
      <c r="B92" s="2"/>
      <c r="C92" s="2"/>
      <c r="D92" s="2"/>
      <c r="E92" s="2"/>
      <c r="F92" s="2"/>
      <c r="G92" s="23"/>
      <c r="H92" s="23"/>
      <c r="I92" s="8"/>
      <c r="J92" s="2"/>
      <c r="K92" s="24"/>
    </row>
    <row r="93" spans="1:11">
      <c r="A93" s="11"/>
      <c r="B93" s="2"/>
      <c r="C93" s="2"/>
      <c r="D93" s="2"/>
      <c r="E93" s="2"/>
      <c r="F93" s="2"/>
      <c r="G93" s="23"/>
      <c r="H93" s="23"/>
      <c r="I93" s="8"/>
      <c r="J93" s="2"/>
      <c r="K93" s="24"/>
    </row>
    <row r="94" spans="1:11">
      <c r="A94" s="11"/>
      <c r="B94" s="2"/>
      <c r="C94" s="2"/>
      <c r="D94" s="2"/>
      <c r="E94" s="2"/>
      <c r="F94" s="2"/>
      <c r="G94" s="23"/>
      <c r="H94" s="23"/>
      <c r="I94" s="8"/>
      <c r="J94" s="2"/>
      <c r="K94" s="24"/>
    </row>
    <row r="95" spans="1:11">
      <c r="A95" s="11"/>
      <c r="B95" s="2"/>
      <c r="C95" s="2"/>
      <c r="D95" s="2"/>
      <c r="E95" s="2"/>
      <c r="F95" s="2"/>
      <c r="G95" s="23"/>
      <c r="H95" s="23"/>
      <c r="I95" s="8"/>
      <c r="J95" s="2"/>
      <c r="K95" s="24"/>
    </row>
    <row r="96" spans="1:11">
      <c r="A96" s="11"/>
      <c r="B96" s="2"/>
      <c r="C96" s="2"/>
      <c r="D96" s="2"/>
      <c r="E96" s="2"/>
      <c r="F96" s="2"/>
      <c r="G96" s="23"/>
      <c r="H96" s="23"/>
      <c r="I96" s="8"/>
      <c r="J96" s="2"/>
      <c r="K96" s="24"/>
    </row>
    <row r="97" spans="1:11">
      <c r="A97" s="11"/>
      <c r="B97" s="2"/>
      <c r="C97" s="2"/>
      <c r="D97" s="2"/>
      <c r="E97" s="2"/>
      <c r="F97" s="2"/>
      <c r="G97" s="23"/>
      <c r="H97" s="23"/>
      <c r="I97" s="8"/>
      <c r="J97" s="2"/>
      <c r="K97" s="24"/>
    </row>
    <row r="98" spans="1:11">
      <c r="A98" s="11"/>
      <c r="B98" s="2"/>
      <c r="C98" s="2"/>
      <c r="D98" s="2"/>
      <c r="E98" s="2"/>
      <c r="F98" s="2"/>
      <c r="G98" s="23"/>
      <c r="H98" s="23"/>
      <c r="I98" s="8"/>
      <c r="J98" s="2"/>
      <c r="K98" s="24"/>
    </row>
    <row r="99" spans="1:11">
      <c r="A99" s="11"/>
      <c r="B99" s="2"/>
      <c r="C99" s="2"/>
      <c r="D99" s="2"/>
      <c r="E99" s="2"/>
      <c r="F99" s="2"/>
      <c r="G99" s="23"/>
      <c r="H99" s="23"/>
      <c r="I99" s="8"/>
      <c r="J99" s="2"/>
      <c r="K99" s="24"/>
    </row>
    <row r="100" spans="1:11">
      <c r="A100" s="11"/>
      <c r="B100" s="2"/>
      <c r="C100" s="2"/>
      <c r="D100" s="2"/>
      <c r="E100" s="2"/>
      <c r="F100" s="2"/>
      <c r="G100" s="23"/>
      <c r="H100" s="23"/>
      <c r="I100" s="8"/>
      <c r="J100" s="2"/>
      <c r="K100" s="24"/>
    </row>
    <row r="101" spans="1:11">
      <c r="A101" s="11"/>
      <c r="B101" s="2"/>
      <c r="C101" s="2"/>
      <c r="D101" s="2"/>
      <c r="E101" s="2"/>
      <c r="F101" s="2"/>
      <c r="G101" s="23"/>
      <c r="H101" s="23"/>
      <c r="I101" s="8"/>
      <c r="J101" s="2"/>
      <c r="K101" s="24"/>
    </row>
    <row r="102" spans="1:11">
      <c r="A102" s="11"/>
      <c r="B102" s="2"/>
      <c r="C102" s="2"/>
      <c r="D102" s="2"/>
      <c r="E102" s="2"/>
      <c r="F102" s="2"/>
      <c r="G102" s="23"/>
      <c r="H102" s="23"/>
      <c r="I102" s="8"/>
      <c r="J102" s="2"/>
      <c r="K102" s="24"/>
    </row>
    <row r="103" spans="1:11">
      <c r="A103" s="11"/>
      <c r="B103" s="2"/>
      <c r="C103" s="2"/>
      <c r="D103" s="2"/>
      <c r="E103" s="2"/>
      <c r="F103" s="2"/>
      <c r="G103" s="23"/>
      <c r="H103" s="23"/>
      <c r="I103" s="8"/>
      <c r="J103" s="2"/>
      <c r="K103" s="24"/>
    </row>
    <row r="104" spans="1:11">
      <c r="A104" s="11"/>
      <c r="B104" s="2"/>
      <c r="C104" s="2"/>
      <c r="D104" s="2"/>
      <c r="E104" s="2"/>
      <c r="F104" s="2"/>
      <c r="G104" s="23"/>
      <c r="H104" s="23"/>
      <c r="I104" s="8"/>
      <c r="J104" s="2"/>
      <c r="K104" s="24"/>
    </row>
    <row r="105" spans="1:11">
      <c r="A105" s="11"/>
      <c r="B105" s="2"/>
      <c r="C105" s="2"/>
      <c r="D105" s="2"/>
      <c r="E105" s="2"/>
      <c r="F105" s="2"/>
      <c r="G105" s="23"/>
      <c r="H105" s="23"/>
      <c r="I105" s="8"/>
      <c r="J105" s="2"/>
      <c r="K105" s="24"/>
    </row>
    <row r="106" spans="1:11">
      <c r="A106" s="11"/>
      <c r="B106" s="2"/>
      <c r="C106" s="2"/>
      <c r="D106" s="2"/>
      <c r="E106" s="2"/>
      <c r="F106" s="2"/>
      <c r="G106" s="23"/>
      <c r="H106" s="23"/>
      <c r="I106" s="8"/>
      <c r="J106" s="2"/>
      <c r="K106" s="24"/>
    </row>
    <row r="107" spans="1:11">
      <c r="A107" s="11"/>
      <c r="B107" s="2"/>
      <c r="C107" s="2"/>
      <c r="D107" s="2"/>
      <c r="E107" s="2"/>
      <c r="F107" s="2"/>
      <c r="G107" s="23"/>
      <c r="H107" s="23"/>
      <c r="I107" s="8"/>
      <c r="J107" s="2"/>
      <c r="K107" s="24"/>
    </row>
    <row r="108" spans="1:11">
      <c r="A108" s="11"/>
      <c r="B108" s="2"/>
      <c r="C108" s="2"/>
      <c r="D108" s="2"/>
      <c r="E108" s="2"/>
      <c r="F108" s="2"/>
      <c r="G108" s="23"/>
      <c r="H108" s="23"/>
      <c r="I108" s="8"/>
      <c r="J108" s="2"/>
      <c r="K108" s="24"/>
    </row>
    <row r="109" spans="1:11">
      <c r="A109" s="11"/>
      <c r="B109" s="2"/>
      <c r="C109" s="2"/>
      <c r="D109" s="2"/>
      <c r="E109" s="2"/>
      <c r="F109" s="2"/>
      <c r="G109" s="23"/>
      <c r="H109" s="23"/>
      <c r="I109" s="8"/>
      <c r="J109" s="2"/>
      <c r="K109" s="24"/>
    </row>
    <row r="110" spans="1:11">
      <c r="A110" s="11"/>
      <c r="B110" s="2"/>
      <c r="C110" s="2"/>
      <c r="D110" s="2"/>
      <c r="E110" s="2"/>
      <c r="F110" s="2"/>
      <c r="G110" s="23"/>
      <c r="H110" s="23"/>
      <c r="I110" s="8"/>
      <c r="J110" s="2"/>
      <c r="K110" s="24"/>
    </row>
    <row r="111" spans="1:11">
      <c r="A111" s="11"/>
      <c r="B111" s="2"/>
      <c r="C111" s="2"/>
      <c r="D111" s="2"/>
      <c r="E111" s="2"/>
      <c r="F111" s="2"/>
      <c r="G111" s="23"/>
      <c r="H111" s="23"/>
      <c r="I111" s="8"/>
      <c r="J111" s="2"/>
      <c r="K111" s="24"/>
    </row>
    <row r="112" spans="1:11">
      <c r="A112" s="11"/>
      <c r="B112" s="2"/>
      <c r="C112" s="2"/>
      <c r="D112" s="2"/>
      <c r="E112" s="2"/>
      <c r="F112" s="2"/>
      <c r="G112" s="23"/>
      <c r="H112" s="23"/>
      <c r="I112" s="8"/>
      <c r="J112" s="2"/>
      <c r="K112" s="24"/>
    </row>
    <row r="113" spans="1:11">
      <c r="A113" s="11"/>
      <c r="B113" s="2"/>
      <c r="C113" s="2"/>
      <c r="D113" s="2"/>
      <c r="E113" s="2"/>
      <c r="F113" s="2"/>
      <c r="G113" s="23"/>
      <c r="H113" s="23"/>
      <c r="I113" s="8"/>
      <c r="J113" s="2"/>
      <c r="K113" s="24"/>
    </row>
    <row r="114" spans="1:11">
      <c r="A114" s="11"/>
      <c r="B114" s="2"/>
      <c r="C114" s="2"/>
      <c r="D114" s="2"/>
      <c r="E114" s="2"/>
      <c r="F114" s="2"/>
      <c r="G114" s="23"/>
      <c r="H114" s="23"/>
      <c r="I114" s="8"/>
      <c r="J114" s="2"/>
      <c r="K114" s="24"/>
    </row>
    <row r="115" spans="1:11">
      <c r="A115" s="11"/>
      <c r="B115" s="2"/>
      <c r="C115" s="2"/>
      <c r="D115" s="2"/>
      <c r="E115" s="2"/>
      <c r="F115" s="2"/>
      <c r="G115" s="23"/>
      <c r="H115" s="23"/>
      <c r="I115" s="8"/>
      <c r="J115" s="2"/>
      <c r="K115" s="24"/>
    </row>
    <row r="116" spans="1:11">
      <c r="A116" s="11"/>
      <c r="B116" s="2"/>
      <c r="C116" s="2"/>
      <c r="D116" s="2"/>
      <c r="E116" s="2"/>
      <c r="F116" s="2"/>
      <c r="G116" s="23"/>
      <c r="H116" s="23"/>
      <c r="I116" s="8"/>
      <c r="J116" s="2"/>
      <c r="K116" s="24"/>
    </row>
    <row r="117" spans="1:11">
      <c r="A117" s="11"/>
      <c r="B117" s="2"/>
      <c r="C117" s="2"/>
      <c r="D117" s="2"/>
      <c r="E117" s="2"/>
      <c r="F117" s="2"/>
      <c r="G117" s="23"/>
      <c r="H117" s="23"/>
      <c r="I117" s="8"/>
      <c r="J117" s="2"/>
      <c r="K117" s="24"/>
    </row>
    <row r="118" spans="1:11">
      <c r="A118" s="11"/>
      <c r="B118" s="2"/>
      <c r="C118" s="2"/>
      <c r="D118" s="2"/>
      <c r="E118" s="2"/>
      <c r="F118" s="2"/>
      <c r="G118" s="23"/>
      <c r="H118" s="23"/>
      <c r="I118" s="8"/>
      <c r="J118" s="2"/>
      <c r="K118" s="24"/>
    </row>
    <row r="119" spans="1:11">
      <c r="A119" s="11"/>
      <c r="B119" s="2"/>
      <c r="C119" s="2"/>
      <c r="D119" s="2"/>
      <c r="E119" s="2"/>
      <c r="F119" s="2"/>
      <c r="G119" s="23"/>
      <c r="H119" s="23"/>
      <c r="I119" s="8"/>
      <c r="J119" s="2"/>
      <c r="K119" s="24"/>
    </row>
    <row r="120" spans="1:11">
      <c r="A120" s="11"/>
      <c r="B120" s="2"/>
      <c r="C120" s="2"/>
      <c r="D120" s="2"/>
      <c r="E120" s="2"/>
      <c r="F120" s="2"/>
      <c r="G120" s="23"/>
      <c r="H120" s="23"/>
      <c r="I120" s="8"/>
      <c r="J120" s="2"/>
      <c r="K120" s="24"/>
    </row>
    <row r="121" spans="1:11">
      <c r="A121" s="11"/>
      <c r="B121" s="2"/>
      <c r="C121" s="2"/>
      <c r="D121" s="2"/>
      <c r="E121" s="2"/>
      <c r="F121" s="2"/>
      <c r="G121" s="23"/>
      <c r="H121" s="23"/>
      <c r="I121" s="8"/>
      <c r="J121" s="2"/>
      <c r="K121" s="24"/>
    </row>
    <row r="122" spans="1:11">
      <c r="A122" s="11"/>
      <c r="B122" s="2"/>
      <c r="C122" s="2"/>
      <c r="D122" s="2"/>
      <c r="E122" s="2"/>
      <c r="F122" s="2"/>
      <c r="G122" s="23"/>
      <c r="H122" s="23"/>
      <c r="I122" s="8"/>
      <c r="J122" s="2"/>
      <c r="K122" s="24"/>
    </row>
    <row r="123" spans="1:11">
      <c r="A123" s="11"/>
      <c r="B123" s="2"/>
      <c r="C123" s="2"/>
      <c r="D123" s="2"/>
      <c r="E123" s="2"/>
      <c r="F123" s="2"/>
      <c r="G123" s="23"/>
      <c r="H123" s="23"/>
      <c r="I123" s="8"/>
      <c r="J123" s="2"/>
      <c r="K123" s="24"/>
    </row>
    <row r="124" spans="1:11">
      <c r="A124" s="11"/>
    </row>
  </sheetData>
  <mergeCells count="2">
    <mergeCell ref="Q2:V2"/>
    <mergeCell ref="Y40:AE40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B24" sqref="B23:B24"/>
    </sheetView>
  </sheetViews>
  <sheetFormatPr defaultColWidth="11.42578125" defaultRowHeight="14.45"/>
  <cols>
    <col min="2" max="2" width="17.140625" customWidth="1"/>
    <col min="3" max="3" width="15.85546875" customWidth="1"/>
    <col min="4" max="4" width="11.85546875" bestFit="1" customWidth="1"/>
    <col min="5" max="5" width="17.42578125" customWidth="1"/>
  </cols>
  <sheetData>
    <row r="1" spans="1:6">
      <c r="B1" t="s">
        <v>68</v>
      </c>
      <c r="C1" t="s">
        <v>69</v>
      </c>
      <c r="D1" t="s">
        <v>70</v>
      </c>
      <c r="E1" t="s">
        <v>71</v>
      </c>
    </row>
    <row r="2" spans="1:6">
      <c r="B2" s="20"/>
      <c r="C2" s="20"/>
      <c r="D2" s="20"/>
      <c r="E2" s="20"/>
      <c r="F2" s="20"/>
    </row>
    <row r="3" spans="1:6">
      <c r="B3" s="20"/>
      <c r="C3" s="20"/>
      <c r="D3" s="20"/>
      <c r="E3" s="20"/>
      <c r="F3" s="20"/>
    </row>
    <row r="4" spans="1:6">
      <c r="B4" s="20"/>
      <c r="C4" s="20"/>
      <c r="D4" s="20"/>
      <c r="E4" s="20"/>
      <c r="F4" s="20"/>
    </row>
    <row r="5" spans="1:6">
      <c r="B5" s="20"/>
      <c r="C5" s="20"/>
      <c r="D5" s="20"/>
      <c r="E5" s="20"/>
      <c r="F5" s="20"/>
    </row>
    <row r="6" spans="1:6">
      <c r="B6" s="20"/>
      <c r="C6" s="20"/>
      <c r="D6" s="20"/>
      <c r="E6" s="20"/>
      <c r="F6" s="20"/>
    </row>
    <row r="7" spans="1:6">
      <c r="B7" s="20"/>
      <c r="C7" s="20"/>
      <c r="D7" s="20"/>
      <c r="E7" s="20"/>
      <c r="F7" s="20"/>
    </row>
    <row r="8" spans="1:6">
      <c r="B8" t="s">
        <v>68</v>
      </c>
      <c r="C8" t="s">
        <v>69</v>
      </c>
      <c r="D8" t="s">
        <v>70</v>
      </c>
      <c r="E8" t="s">
        <v>71</v>
      </c>
      <c r="F8" s="20"/>
    </row>
    <row r="9" spans="1:6">
      <c r="A9" t="s">
        <v>72</v>
      </c>
      <c r="B9" s="20">
        <v>13071767</v>
      </c>
      <c r="C9" s="20">
        <f>5559456</f>
        <v>5559456</v>
      </c>
      <c r="D9" s="20">
        <v>281448</v>
      </c>
      <c r="E9" s="20">
        <f>SUM(B9:D9)</f>
        <v>18912671</v>
      </c>
      <c r="F9" s="20"/>
    </row>
    <row r="10" spans="1:6">
      <c r="A10" t="s">
        <v>73</v>
      </c>
      <c r="B10" s="20">
        <f>26398590-B9</f>
        <v>13326823</v>
      </c>
      <c r="C10" s="20">
        <f>13043900-C9</f>
        <v>7484444</v>
      </c>
      <c r="D10" s="20">
        <f>235185-D9</f>
        <v>-46263</v>
      </c>
      <c r="E10" s="20">
        <f>SUM(B10:D10)</f>
        <v>20765004</v>
      </c>
    </row>
    <row r="11" spans="1:6">
      <c r="A11" t="s">
        <v>74</v>
      </c>
      <c r="B11" s="21">
        <f>39942467-B10-B9</f>
        <v>13543877</v>
      </c>
      <c r="C11" s="21">
        <f>20318154-C10-C9</f>
        <v>7274254</v>
      </c>
    </row>
    <row r="12" spans="1:6">
      <c r="B12" s="21">
        <f>SUM(B9:B11)</f>
        <v>39942467</v>
      </c>
      <c r="C12" s="21">
        <f>SUM(C9:C11)</f>
        <v>20318154</v>
      </c>
      <c r="D12" s="21">
        <f>SUM(D9:D11)</f>
        <v>235185</v>
      </c>
      <c r="E12" s="21">
        <f>SUM(E9:E11)</f>
        <v>39677675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9"/>
  <sheetViews>
    <sheetView showGridLines="0" workbookViewId="0">
      <selection activeCell="L12" sqref="L12"/>
    </sheetView>
  </sheetViews>
  <sheetFormatPr defaultColWidth="11.42578125" defaultRowHeight="14.45"/>
  <cols>
    <col min="2" max="2" width="19.7109375" customWidth="1"/>
    <col min="3" max="3" width="16.140625" bestFit="1" customWidth="1"/>
    <col min="5" max="5" width="13.5703125" bestFit="1" customWidth="1"/>
    <col min="6" max="6" width="14.5703125" bestFit="1" customWidth="1"/>
  </cols>
  <sheetData>
    <row r="2" spans="1:6">
      <c r="A2" s="42" t="s">
        <v>75</v>
      </c>
      <c r="B2" s="42"/>
      <c r="C2" s="43">
        <v>45111</v>
      </c>
    </row>
    <row r="3" spans="1:6">
      <c r="A3" s="42" t="s">
        <v>76</v>
      </c>
      <c r="B3" s="42"/>
      <c r="C3" s="44">
        <v>705000000</v>
      </c>
    </row>
    <row r="4" spans="1:6" ht="29.45" customHeight="1">
      <c r="A4" s="96" t="s">
        <v>23</v>
      </c>
      <c r="B4" s="97"/>
      <c r="C4" s="97"/>
      <c r="D4" s="97"/>
      <c r="E4" s="97"/>
      <c r="F4" s="98"/>
    </row>
    <row r="5" spans="1:6" ht="27.6" customHeight="1">
      <c r="A5" s="15" t="s">
        <v>36</v>
      </c>
      <c r="B5" s="16" t="s">
        <v>37</v>
      </c>
      <c r="C5" s="18" t="s">
        <v>38</v>
      </c>
      <c r="D5" s="16" t="s">
        <v>39</v>
      </c>
      <c r="E5" s="17" t="s">
        <v>40</v>
      </c>
      <c r="F5" s="17" t="s">
        <v>41</v>
      </c>
    </row>
    <row r="6" spans="1:6">
      <c r="A6" s="38">
        <v>45140</v>
      </c>
      <c r="B6" s="39">
        <v>12930787</v>
      </c>
      <c r="C6" s="39">
        <v>9890886</v>
      </c>
      <c r="D6" s="39"/>
      <c r="E6" s="39">
        <f>SUM(B6:D6)</f>
        <v>22821673</v>
      </c>
      <c r="F6" s="41">
        <f>+C3-C6</f>
        <v>695109114</v>
      </c>
    </row>
    <row r="7" spans="1:6">
      <c r="A7" s="32">
        <v>45182</v>
      </c>
      <c r="B7" s="33">
        <v>14571959</v>
      </c>
      <c r="C7" s="33">
        <v>8149097</v>
      </c>
      <c r="D7" s="40">
        <v>71105</v>
      </c>
      <c r="E7" s="39">
        <f>SUM(B7:D7)</f>
        <v>22792161</v>
      </c>
      <c r="F7" s="41">
        <f>+F6-C7</f>
        <v>686960017</v>
      </c>
    </row>
    <row r="8" spans="1:6">
      <c r="A8" s="32">
        <v>45204</v>
      </c>
      <c r="B8" s="33">
        <f>13497367+71105</f>
        <v>13568472</v>
      </c>
      <c r="C8" s="33">
        <f>9215381+71105</f>
        <v>9286486</v>
      </c>
      <c r="D8" s="33">
        <v>8308</v>
      </c>
      <c r="E8" s="39">
        <f>SUM(B8:D8)</f>
        <v>22863266</v>
      </c>
      <c r="F8" s="41">
        <f>+F7-C8</f>
        <v>677673531</v>
      </c>
    </row>
    <row r="9" spans="1:6">
      <c r="A9" s="32">
        <v>45225</v>
      </c>
      <c r="B9" s="36">
        <f>71105+9760306</f>
        <v>9831411</v>
      </c>
      <c r="C9" s="33">
        <v>13059835</v>
      </c>
      <c r="D9" s="36"/>
      <c r="E9" s="39">
        <f>SUM(B9:D9)</f>
        <v>22891246</v>
      </c>
      <c r="F9" s="41">
        <f>+F8-C9</f>
        <v>664613696</v>
      </c>
    </row>
  </sheetData>
  <mergeCells count="1">
    <mergeCell ref="A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7"/>
  <sheetViews>
    <sheetView topLeftCell="A8" workbookViewId="0">
      <selection activeCell="O9" sqref="O9"/>
    </sheetView>
  </sheetViews>
  <sheetFormatPr defaultColWidth="8.7109375" defaultRowHeight="14.45"/>
  <cols>
    <col min="3" max="3" width="18.42578125" customWidth="1"/>
    <col min="4" max="4" width="14.140625" customWidth="1"/>
    <col min="5" max="5" width="21" style="56" customWidth="1"/>
    <col min="6" max="6" width="13.5703125" customWidth="1"/>
    <col min="11" max="11" width="12.85546875" bestFit="1" customWidth="1"/>
    <col min="12" max="12" width="12.5703125" customWidth="1"/>
    <col min="13" max="13" width="21.5703125" customWidth="1"/>
  </cols>
  <sheetData>
    <row r="1" spans="2:12">
      <c r="C1" t="s">
        <v>77</v>
      </c>
      <c r="D1" t="s">
        <v>78</v>
      </c>
      <c r="E1" s="56" t="s">
        <v>79</v>
      </c>
      <c r="F1" t="s">
        <v>80</v>
      </c>
      <c r="K1" s="59" t="s">
        <v>77</v>
      </c>
      <c r="L1" s="59" t="s">
        <v>79</v>
      </c>
    </row>
    <row r="2" spans="2:12">
      <c r="B2">
        <v>1</v>
      </c>
      <c r="C2" t="s">
        <v>81</v>
      </c>
      <c r="D2" t="s">
        <v>82</v>
      </c>
      <c r="E2" s="56" t="s">
        <v>83</v>
      </c>
      <c r="F2" t="s">
        <v>84</v>
      </c>
      <c r="K2" t="s">
        <v>81</v>
      </c>
      <c r="L2" s="56">
        <v>5066</v>
      </c>
    </row>
    <row r="3" spans="2:12">
      <c r="B3">
        <v>2</v>
      </c>
      <c r="C3" t="s">
        <v>85</v>
      </c>
      <c r="D3" t="s">
        <v>82</v>
      </c>
      <c r="E3" s="56" t="s">
        <v>42</v>
      </c>
      <c r="F3" t="s">
        <v>86</v>
      </c>
      <c r="L3" s="56">
        <v>7262571</v>
      </c>
    </row>
    <row r="4" spans="2:12">
      <c r="B4">
        <v>1</v>
      </c>
      <c r="C4" t="s">
        <v>81</v>
      </c>
      <c r="D4" s="19">
        <v>45415</v>
      </c>
      <c r="E4" s="56" t="s">
        <v>87</v>
      </c>
      <c r="F4" t="s">
        <v>88</v>
      </c>
      <c r="L4" s="56">
        <v>9450130</v>
      </c>
    </row>
    <row r="5" spans="2:12">
      <c r="B5">
        <v>2</v>
      </c>
      <c r="C5" t="s">
        <v>85</v>
      </c>
      <c r="D5" s="19">
        <v>45415</v>
      </c>
      <c r="E5" s="56" t="s">
        <v>43</v>
      </c>
      <c r="F5" t="s">
        <v>86</v>
      </c>
      <c r="L5" s="56">
        <v>9743616</v>
      </c>
    </row>
    <row r="6" spans="2:12">
      <c r="B6">
        <v>3</v>
      </c>
      <c r="C6" t="s">
        <v>89</v>
      </c>
      <c r="D6" s="19">
        <v>45415</v>
      </c>
      <c r="E6" s="56" t="s">
        <v>90</v>
      </c>
      <c r="F6" t="s">
        <v>86</v>
      </c>
      <c r="L6" s="56">
        <v>10735682</v>
      </c>
    </row>
    <row r="7" spans="2:12">
      <c r="B7">
        <v>1</v>
      </c>
      <c r="C7" t="s">
        <v>81</v>
      </c>
      <c r="D7" s="19">
        <v>45386</v>
      </c>
      <c r="E7" s="56" t="s">
        <v>91</v>
      </c>
      <c r="F7" t="s">
        <v>92</v>
      </c>
      <c r="L7" s="56">
        <v>11122576</v>
      </c>
    </row>
    <row r="8" spans="2:12">
      <c r="B8">
        <v>2</v>
      </c>
      <c r="C8" t="s">
        <v>85</v>
      </c>
      <c r="D8" s="19">
        <v>45386</v>
      </c>
      <c r="E8" s="56" t="s">
        <v>44</v>
      </c>
      <c r="F8" t="s">
        <v>86</v>
      </c>
      <c r="L8" s="56">
        <v>11642516</v>
      </c>
    </row>
    <row r="9" spans="2:12">
      <c r="B9">
        <v>1</v>
      </c>
      <c r="C9" t="s">
        <v>81</v>
      </c>
      <c r="D9" s="19">
        <v>45386</v>
      </c>
      <c r="E9" s="56" t="s">
        <v>90</v>
      </c>
      <c r="F9" t="s">
        <v>93</v>
      </c>
      <c r="L9" s="56">
        <v>12629763</v>
      </c>
    </row>
    <row r="10" spans="2:12">
      <c r="B10">
        <v>1</v>
      </c>
      <c r="C10" t="s">
        <v>81</v>
      </c>
      <c r="D10" t="s">
        <v>94</v>
      </c>
      <c r="E10" s="56" t="s">
        <v>95</v>
      </c>
      <c r="F10" t="s">
        <v>96</v>
      </c>
      <c r="L10" s="56">
        <v>12694890</v>
      </c>
    </row>
    <row r="11" spans="2:12">
      <c r="B11">
        <v>2</v>
      </c>
      <c r="C11" t="s">
        <v>85</v>
      </c>
      <c r="D11" t="s">
        <v>94</v>
      </c>
      <c r="E11" s="56" t="s">
        <v>45</v>
      </c>
      <c r="F11" t="s">
        <v>86</v>
      </c>
      <c r="L11" s="56">
        <v>13667261</v>
      </c>
    </row>
    <row r="12" spans="2:12">
      <c r="B12">
        <v>1</v>
      </c>
      <c r="C12" t="s">
        <v>81</v>
      </c>
      <c r="D12" t="s">
        <v>97</v>
      </c>
      <c r="E12" s="56" t="s">
        <v>98</v>
      </c>
      <c r="F12" t="s">
        <v>99</v>
      </c>
      <c r="L12" s="56">
        <v>13819249</v>
      </c>
    </row>
    <row r="13" spans="2:12">
      <c r="B13">
        <v>2</v>
      </c>
      <c r="C13" t="s">
        <v>85</v>
      </c>
      <c r="D13" t="s">
        <v>97</v>
      </c>
      <c r="E13" s="56" t="s">
        <v>46</v>
      </c>
      <c r="F13" t="s">
        <v>86</v>
      </c>
      <c r="L13" s="56">
        <v>14505509</v>
      </c>
    </row>
    <row r="14" spans="2:12">
      <c r="B14">
        <v>1</v>
      </c>
      <c r="C14" t="s">
        <v>81</v>
      </c>
      <c r="D14" t="s">
        <v>100</v>
      </c>
      <c r="E14" s="56" t="s">
        <v>101</v>
      </c>
      <c r="F14" t="s">
        <v>102</v>
      </c>
      <c r="K14" t="s">
        <v>103</v>
      </c>
    </row>
    <row r="15" spans="2:12">
      <c r="B15">
        <v>2</v>
      </c>
      <c r="C15" t="s">
        <v>85</v>
      </c>
      <c r="D15" t="s">
        <v>100</v>
      </c>
      <c r="E15" s="56" t="s">
        <v>47</v>
      </c>
      <c r="F15" t="s">
        <v>86</v>
      </c>
      <c r="K15" t="s">
        <v>85</v>
      </c>
      <c r="L15" s="56">
        <v>15139</v>
      </c>
    </row>
    <row r="16" spans="2:12">
      <c r="B16">
        <v>1</v>
      </c>
      <c r="C16" t="s">
        <v>81</v>
      </c>
      <c r="D16" t="s">
        <v>104</v>
      </c>
      <c r="E16" s="56" t="s">
        <v>105</v>
      </c>
      <c r="F16" t="s">
        <v>106</v>
      </c>
      <c r="L16" s="56">
        <v>61669</v>
      </c>
    </row>
    <row r="17" spans="2:13">
      <c r="B17">
        <v>2</v>
      </c>
      <c r="C17" t="s">
        <v>85</v>
      </c>
      <c r="D17" t="s">
        <v>104</v>
      </c>
      <c r="E17" s="56" t="s">
        <v>48</v>
      </c>
      <c r="F17" t="s">
        <v>86</v>
      </c>
      <c r="L17" s="56">
        <v>1270783</v>
      </c>
    </row>
    <row r="18" spans="2:13">
      <c r="B18">
        <v>3</v>
      </c>
      <c r="C18" t="s">
        <v>89</v>
      </c>
      <c r="D18" t="s">
        <v>104</v>
      </c>
      <c r="E18" s="56" t="s">
        <v>50</v>
      </c>
      <c r="F18" t="s">
        <v>86</v>
      </c>
      <c r="L18" s="56">
        <v>8179292</v>
      </c>
    </row>
    <row r="19" spans="2:13">
      <c r="B19">
        <v>1</v>
      </c>
      <c r="C19" t="s">
        <v>81</v>
      </c>
      <c r="D19" s="19">
        <v>45452</v>
      </c>
      <c r="E19" s="56" t="s">
        <v>107</v>
      </c>
      <c r="F19" t="s">
        <v>108</v>
      </c>
      <c r="L19" s="56">
        <v>8972912</v>
      </c>
    </row>
    <row r="20" spans="2:13">
      <c r="B20">
        <v>2</v>
      </c>
      <c r="C20" t="s">
        <v>85</v>
      </c>
      <c r="D20" s="19">
        <v>45452</v>
      </c>
      <c r="E20" s="56" t="s">
        <v>49</v>
      </c>
      <c r="F20" t="s">
        <v>86</v>
      </c>
      <c r="L20" s="56">
        <v>9065881</v>
      </c>
    </row>
    <row r="21" spans="2:13">
      <c r="B21">
        <v>3</v>
      </c>
      <c r="C21" t="s">
        <v>89</v>
      </c>
      <c r="D21" s="19">
        <v>45452</v>
      </c>
      <c r="E21" s="56" t="s">
        <v>56</v>
      </c>
      <c r="F21" t="s">
        <v>86</v>
      </c>
      <c r="L21" s="56">
        <v>9826118</v>
      </c>
    </row>
    <row r="22" spans="2:13">
      <c r="B22">
        <v>2</v>
      </c>
      <c r="C22" t="s">
        <v>85</v>
      </c>
      <c r="D22" s="19">
        <v>45452</v>
      </c>
      <c r="E22" s="56" t="s">
        <v>50</v>
      </c>
      <c r="F22" t="s">
        <v>86</v>
      </c>
      <c r="L22" s="56">
        <v>10097271</v>
      </c>
    </row>
    <row r="23" spans="2:13">
      <c r="B23">
        <v>1</v>
      </c>
      <c r="C23" t="s">
        <v>81</v>
      </c>
      <c r="D23" s="19">
        <v>45606</v>
      </c>
      <c r="E23" s="56" t="s">
        <v>109</v>
      </c>
      <c r="F23" t="s">
        <v>110</v>
      </c>
      <c r="L23" s="56">
        <v>10147259</v>
      </c>
    </row>
    <row r="24" spans="2:13">
      <c r="B24">
        <v>2</v>
      </c>
      <c r="C24" t="s">
        <v>85</v>
      </c>
      <c r="D24" s="19">
        <v>45606</v>
      </c>
      <c r="E24" s="56" t="s">
        <v>53</v>
      </c>
      <c r="F24" t="s">
        <v>86</v>
      </c>
      <c r="L24" s="56">
        <v>11669585</v>
      </c>
    </row>
    <row r="25" spans="2:13">
      <c r="B25">
        <v>3</v>
      </c>
      <c r="C25" t="s">
        <v>89</v>
      </c>
      <c r="D25" s="19">
        <v>45606</v>
      </c>
      <c r="E25" s="56" t="s">
        <v>111</v>
      </c>
      <c r="F25" t="s">
        <v>86</v>
      </c>
      <c r="L25" s="56">
        <v>12056479</v>
      </c>
    </row>
    <row r="26" spans="2:13">
      <c r="B26">
        <v>2</v>
      </c>
      <c r="C26" t="s">
        <v>85</v>
      </c>
      <c r="D26" s="19">
        <v>45606</v>
      </c>
      <c r="E26" s="56" t="s">
        <v>55</v>
      </c>
      <c r="F26" t="s">
        <v>86</v>
      </c>
      <c r="L26" s="56">
        <v>12531194</v>
      </c>
    </row>
    <row r="27" spans="2:13">
      <c r="B27">
        <v>2</v>
      </c>
      <c r="C27" t="s">
        <v>85</v>
      </c>
      <c r="D27" s="19">
        <v>45606</v>
      </c>
      <c r="E27" s="56" t="s">
        <v>56</v>
      </c>
      <c r="F27" t="s">
        <v>86</v>
      </c>
      <c r="L27" s="56">
        <v>13280362</v>
      </c>
    </row>
    <row r="28" spans="2:13">
      <c r="B28">
        <v>1</v>
      </c>
      <c r="C28" t="s">
        <v>81</v>
      </c>
      <c r="D28" t="s">
        <v>112</v>
      </c>
      <c r="E28" s="56" t="s">
        <v>113</v>
      </c>
      <c r="F28" t="s">
        <v>114</v>
      </c>
      <c r="L28" s="56">
        <v>15524524</v>
      </c>
      <c r="M28" s="21">
        <f>SUM(L15:L28)</f>
        <v>122698468</v>
      </c>
    </row>
    <row r="29" spans="2:13">
      <c r="B29">
        <v>2</v>
      </c>
      <c r="C29" t="s">
        <v>85</v>
      </c>
      <c r="D29" t="s">
        <v>112</v>
      </c>
      <c r="E29" s="56" t="s">
        <v>57</v>
      </c>
      <c r="F29" t="s">
        <v>86</v>
      </c>
      <c r="K29" t="s">
        <v>115</v>
      </c>
    </row>
    <row r="30" spans="2:13">
      <c r="B30">
        <v>3</v>
      </c>
      <c r="C30" t="s">
        <v>89</v>
      </c>
      <c r="D30" t="s">
        <v>112</v>
      </c>
      <c r="E30" s="56" t="s">
        <v>116</v>
      </c>
      <c r="F30" t="s">
        <v>86</v>
      </c>
      <c r="K30" t="s">
        <v>89</v>
      </c>
      <c r="L30" s="56">
        <v>5066</v>
      </c>
    </row>
    <row r="31" spans="2:13">
      <c r="B31">
        <v>1</v>
      </c>
      <c r="C31" t="s">
        <v>81</v>
      </c>
      <c r="D31" s="19">
        <v>45638</v>
      </c>
      <c r="E31" s="56" t="s">
        <v>117</v>
      </c>
      <c r="F31" t="s">
        <v>118</v>
      </c>
      <c r="L31" s="56">
        <v>15139</v>
      </c>
    </row>
    <row r="32" spans="2:13">
      <c r="B32">
        <v>2</v>
      </c>
      <c r="C32" t="s">
        <v>85</v>
      </c>
      <c r="D32" s="19">
        <v>45638</v>
      </c>
      <c r="E32" s="56" t="s">
        <v>58</v>
      </c>
      <c r="F32" t="s">
        <v>86</v>
      </c>
      <c r="L32" s="56">
        <v>52744</v>
      </c>
    </row>
    <row r="33" spans="2:12">
      <c r="B33">
        <v>3</v>
      </c>
      <c r="C33" t="s">
        <v>89</v>
      </c>
      <c r="D33" s="19">
        <v>45638</v>
      </c>
      <c r="E33" s="56" t="s">
        <v>119</v>
      </c>
      <c r="F33" t="s">
        <v>86</v>
      </c>
      <c r="L33" s="56">
        <v>59019</v>
      </c>
    </row>
    <row r="34" spans="2:12">
      <c r="L34" s="56">
        <v>61669</v>
      </c>
    </row>
    <row r="35" spans="2:12">
      <c r="L35" s="56">
        <v>107360</v>
      </c>
    </row>
    <row r="36" spans="2:12">
      <c r="K36" t="s">
        <v>120</v>
      </c>
    </row>
    <row r="37" spans="2:12">
      <c r="K37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8"/>
  <sheetViews>
    <sheetView workbookViewId="0"/>
  </sheetViews>
  <sheetFormatPr defaultColWidth="8.7109375" defaultRowHeight="14.45"/>
  <cols>
    <col min="5" max="5" width="11.42578125" bestFit="1" customWidth="1"/>
    <col min="6" max="6" width="13.7109375" bestFit="1" customWidth="1"/>
    <col min="7" max="7" width="14.85546875" bestFit="1" customWidth="1"/>
  </cols>
  <sheetData>
    <row r="2" spans="2:7">
      <c r="B2" s="57" t="s">
        <v>122</v>
      </c>
    </row>
    <row r="3" spans="2:7">
      <c r="B3" s="58" t="s">
        <v>123</v>
      </c>
    </row>
    <row r="4" spans="2:7">
      <c r="B4" s="58"/>
    </row>
    <row r="6" spans="2:7">
      <c r="C6" t="s">
        <v>124</v>
      </c>
      <c r="D6" t="s">
        <v>77</v>
      </c>
      <c r="E6" t="s">
        <v>78</v>
      </c>
      <c r="F6" t="s">
        <v>79</v>
      </c>
      <c r="G6" t="s">
        <v>125</v>
      </c>
    </row>
    <row r="7" spans="2:7">
      <c r="C7">
        <v>1</v>
      </c>
      <c r="D7" t="s">
        <v>81</v>
      </c>
      <c r="E7">
        <v>45317</v>
      </c>
      <c r="F7" s="56">
        <v>9743616</v>
      </c>
      <c r="G7">
        <v>635695173</v>
      </c>
    </row>
    <row r="8" spans="2:7">
      <c r="C8">
        <v>2</v>
      </c>
      <c r="D8" t="s">
        <v>85</v>
      </c>
      <c r="E8">
        <v>45317</v>
      </c>
      <c r="F8" s="56">
        <v>12531194</v>
      </c>
      <c r="G8">
        <v>0</v>
      </c>
    </row>
    <row r="9" spans="2:7">
      <c r="C9">
        <v>1</v>
      </c>
      <c r="D9" t="s">
        <v>81</v>
      </c>
      <c r="E9" s="19">
        <v>45415</v>
      </c>
      <c r="F9" s="56">
        <v>7262571</v>
      </c>
      <c r="G9">
        <v>628432602</v>
      </c>
    </row>
    <row r="10" spans="2:7">
      <c r="C10">
        <v>2</v>
      </c>
      <c r="D10" t="s">
        <v>85</v>
      </c>
      <c r="E10" s="19">
        <v>45415</v>
      </c>
      <c r="F10" s="56">
        <v>15524524</v>
      </c>
      <c r="G10">
        <v>0</v>
      </c>
    </row>
    <row r="11" spans="2:7">
      <c r="C11">
        <v>3</v>
      </c>
      <c r="D11" t="s">
        <v>89</v>
      </c>
      <c r="E11" s="19">
        <v>45415</v>
      </c>
      <c r="F11" s="56">
        <v>5066</v>
      </c>
      <c r="G11">
        <v>0</v>
      </c>
    </row>
    <row r="12" spans="2:7">
      <c r="C12">
        <v>1</v>
      </c>
      <c r="D12" t="s">
        <v>81</v>
      </c>
      <c r="E12" s="19">
        <v>45386</v>
      </c>
      <c r="F12" s="56">
        <v>10735682</v>
      </c>
      <c r="G12">
        <v>617696920</v>
      </c>
    </row>
    <row r="13" spans="2:7">
      <c r="C13">
        <v>2</v>
      </c>
      <c r="D13" t="s">
        <v>85</v>
      </c>
      <c r="E13" s="19">
        <v>45386</v>
      </c>
      <c r="F13" s="56">
        <v>12056479</v>
      </c>
      <c r="G13">
        <v>0</v>
      </c>
    </row>
    <row r="14" spans="2:7">
      <c r="C14">
        <v>1</v>
      </c>
      <c r="D14" t="s">
        <v>81</v>
      </c>
      <c r="E14" s="19">
        <v>45386</v>
      </c>
      <c r="F14" s="56">
        <v>5066</v>
      </c>
      <c r="G14">
        <v>617691854</v>
      </c>
    </row>
    <row r="15" spans="2:7">
      <c r="C15">
        <v>1</v>
      </c>
      <c r="D15" t="s">
        <v>81</v>
      </c>
      <c r="E15">
        <v>45412</v>
      </c>
      <c r="F15" s="56">
        <v>12694890</v>
      </c>
      <c r="G15">
        <v>604996964</v>
      </c>
    </row>
    <row r="16" spans="2:7">
      <c r="C16">
        <v>2</v>
      </c>
      <c r="D16" t="s">
        <v>85</v>
      </c>
      <c r="E16">
        <v>45412</v>
      </c>
      <c r="F16" s="56">
        <v>10097271</v>
      </c>
      <c r="G16">
        <v>0</v>
      </c>
    </row>
    <row r="17" spans="3:7">
      <c r="C17">
        <v>1</v>
      </c>
      <c r="D17" t="s">
        <v>81</v>
      </c>
      <c r="E17">
        <v>45436</v>
      </c>
      <c r="F17" s="56">
        <v>13819249</v>
      </c>
      <c r="G17">
        <v>591177715</v>
      </c>
    </row>
    <row r="18" spans="3:7">
      <c r="C18">
        <v>2</v>
      </c>
      <c r="D18" t="s">
        <v>85</v>
      </c>
      <c r="E18">
        <v>45436</v>
      </c>
      <c r="F18" s="56">
        <v>8972912</v>
      </c>
      <c r="G18">
        <v>0</v>
      </c>
    </row>
    <row r="19" spans="3:7">
      <c r="C19">
        <v>1</v>
      </c>
      <c r="D19" t="s">
        <v>81</v>
      </c>
      <c r="E19">
        <v>45469</v>
      </c>
      <c r="F19" s="56">
        <v>11122576</v>
      </c>
      <c r="G19">
        <v>580055139</v>
      </c>
    </row>
    <row r="20" spans="3:7">
      <c r="C20">
        <v>2</v>
      </c>
      <c r="D20" t="s">
        <v>85</v>
      </c>
      <c r="E20">
        <v>45469</v>
      </c>
      <c r="F20" s="56">
        <v>11669585</v>
      </c>
      <c r="G20">
        <v>0</v>
      </c>
    </row>
    <row r="21" spans="3:7">
      <c r="C21">
        <v>1</v>
      </c>
      <c r="D21" t="s">
        <v>81</v>
      </c>
      <c r="E21">
        <v>45519</v>
      </c>
      <c r="F21" s="56">
        <v>9450130</v>
      </c>
      <c r="G21">
        <v>570605009</v>
      </c>
    </row>
    <row r="22" spans="3:7">
      <c r="C22">
        <v>2</v>
      </c>
      <c r="D22" t="s">
        <v>85</v>
      </c>
      <c r="E22">
        <v>45519</v>
      </c>
      <c r="F22" s="56">
        <v>13280362</v>
      </c>
      <c r="G22">
        <v>0</v>
      </c>
    </row>
    <row r="23" spans="3:7">
      <c r="C23">
        <v>3</v>
      </c>
      <c r="D23" t="s">
        <v>89</v>
      </c>
      <c r="E23">
        <v>45519</v>
      </c>
      <c r="F23" s="56">
        <v>61669</v>
      </c>
      <c r="G23">
        <v>0</v>
      </c>
    </row>
    <row r="24" spans="3:7">
      <c r="C24">
        <v>1</v>
      </c>
      <c r="D24" t="s">
        <v>81</v>
      </c>
      <c r="E24" s="19">
        <v>45452</v>
      </c>
      <c r="F24" s="56">
        <v>12629763</v>
      </c>
      <c r="G24">
        <v>557975246</v>
      </c>
    </row>
    <row r="25" spans="3:7">
      <c r="C25">
        <v>2</v>
      </c>
      <c r="D25" t="s">
        <v>85</v>
      </c>
      <c r="E25" s="19">
        <v>45452</v>
      </c>
      <c r="F25" s="56">
        <v>10147259</v>
      </c>
      <c r="G25">
        <v>0</v>
      </c>
    </row>
    <row r="26" spans="3:7">
      <c r="C26">
        <v>3</v>
      </c>
      <c r="D26" t="s">
        <v>89</v>
      </c>
      <c r="E26" s="19">
        <v>45452</v>
      </c>
      <c r="F26" s="56">
        <v>15139</v>
      </c>
      <c r="G26">
        <v>0</v>
      </c>
    </row>
    <row r="27" spans="3:7">
      <c r="C27">
        <v>2</v>
      </c>
      <c r="D27" t="s">
        <v>85</v>
      </c>
      <c r="E27" s="19">
        <v>45452</v>
      </c>
      <c r="F27" s="56">
        <v>61669</v>
      </c>
      <c r="G27">
        <v>0</v>
      </c>
    </row>
    <row r="28" spans="3:7">
      <c r="C28">
        <v>1</v>
      </c>
      <c r="D28" t="s">
        <v>81</v>
      </c>
      <c r="E28" s="19">
        <v>45606</v>
      </c>
      <c r="F28" s="56">
        <v>11642516</v>
      </c>
      <c r="G28">
        <v>546332730</v>
      </c>
    </row>
    <row r="29" spans="3:7">
      <c r="C29">
        <v>2</v>
      </c>
      <c r="D29" t="s">
        <v>85</v>
      </c>
      <c r="E29" s="19">
        <v>45606</v>
      </c>
      <c r="F29" s="56">
        <v>9826118</v>
      </c>
      <c r="G29">
        <v>0</v>
      </c>
    </row>
    <row r="30" spans="3:7">
      <c r="C30">
        <v>3</v>
      </c>
      <c r="D30" t="s">
        <v>89</v>
      </c>
      <c r="E30" s="19">
        <v>45606</v>
      </c>
      <c r="F30" s="56">
        <v>52744</v>
      </c>
      <c r="G30">
        <v>0</v>
      </c>
    </row>
    <row r="31" spans="3:7">
      <c r="C31">
        <v>2</v>
      </c>
      <c r="D31" t="s">
        <v>85</v>
      </c>
      <c r="E31" s="19">
        <v>45606</v>
      </c>
      <c r="F31" s="56">
        <v>1270783</v>
      </c>
      <c r="G31">
        <v>0</v>
      </c>
    </row>
    <row r="32" spans="3:7">
      <c r="C32">
        <v>2</v>
      </c>
      <c r="D32" t="s">
        <v>85</v>
      </c>
      <c r="E32" s="19">
        <v>45606</v>
      </c>
      <c r="F32" s="56">
        <v>15139</v>
      </c>
      <c r="G32">
        <v>0</v>
      </c>
    </row>
    <row r="33" spans="3:7">
      <c r="C33">
        <v>1</v>
      </c>
      <c r="D33" t="s">
        <v>81</v>
      </c>
      <c r="E33">
        <v>45614</v>
      </c>
      <c r="F33" s="56">
        <v>14505509</v>
      </c>
      <c r="G33">
        <v>531827221</v>
      </c>
    </row>
    <row r="34" spans="3:7">
      <c r="C34">
        <v>2</v>
      </c>
      <c r="D34" t="s">
        <v>85</v>
      </c>
      <c r="E34">
        <v>45614</v>
      </c>
      <c r="F34" s="56">
        <v>8179292</v>
      </c>
      <c r="G34">
        <v>0</v>
      </c>
    </row>
    <row r="35" spans="3:7">
      <c r="C35">
        <v>3</v>
      </c>
      <c r="D35" t="s">
        <v>89</v>
      </c>
      <c r="E35">
        <v>45614</v>
      </c>
      <c r="F35" s="56">
        <v>107360</v>
      </c>
      <c r="G35">
        <v>0</v>
      </c>
    </row>
    <row r="36" spans="3:7">
      <c r="C36">
        <v>1</v>
      </c>
      <c r="D36" t="s">
        <v>81</v>
      </c>
      <c r="E36" s="19">
        <v>45638</v>
      </c>
      <c r="F36" s="56">
        <v>13667261</v>
      </c>
      <c r="G36">
        <v>518159960</v>
      </c>
    </row>
    <row r="37" spans="3:7">
      <c r="C37">
        <v>2</v>
      </c>
      <c r="D37" t="s">
        <v>85</v>
      </c>
      <c r="E37" s="19">
        <v>45638</v>
      </c>
      <c r="F37" s="56">
        <v>9065881</v>
      </c>
      <c r="G37">
        <v>0</v>
      </c>
    </row>
    <row r="38" spans="3:7">
      <c r="C38">
        <v>3</v>
      </c>
      <c r="D38" t="s">
        <v>89</v>
      </c>
      <c r="E38" s="19">
        <v>45638</v>
      </c>
      <c r="F38" s="56">
        <v>59019</v>
      </c>
      <c r="G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"/>
  <sheetViews>
    <sheetView workbookViewId="0"/>
  </sheetViews>
  <sheetFormatPr defaultRowHeight="15"/>
  <sheetData>
    <row r="1" spans="1:2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</row>
    <row r="2" spans="1:21">
      <c r="A2" t="s">
        <v>147</v>
      </c>
      <c r="B2" t="s">
        <v>148</v>
      </c>
      <c r="C2" t="s">
        <v>149</v>
      </c>
      <c r="D2" t="s">
        <v>150</v>
      </c>
      <c r="E2">
        <v>56</v>
      </c>
      <c r="F2" t="s">
        <v>151</v>
      </c>
      <c r="G2" t="s">
        <v>152</v>
      </c>
      <c r="H2" t="s">
        <v>153</v>
      </c>
      <c r="I2" t="s">
        <v>154</v>
      </c>
      <c r="J2">
        <v>56</v>
      </c>
      <c r="K2">
        <v>39</v>
      </c>
      <c r="L2" t="s">
        <v>155</v>
      </c>
      <c r="M2" t="s">
        <v>156</v>
      </c>
      <c r="N2" t="s">
        <v>151</v>
      </c>
      <c r="O2" t="s">
        <v>157</v>
      </c>
      <c r="Q2" t="s">
        <v>158</v>
      </c>
      <c r="R2" t="s">
        <v>157</v>
      </c>
      <c r="S2" t="s">
        <v>159</v>
      </c>
      <c r="T2" t="s">
        <v>160</v>
      </c>
      <c r="U2" t="s">
        <v>161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CA0E101B-EEB3-47D3-95EA-36D31C27149E}"/>
</file>

<file path=customXml/itemProps2.xml><?xml version="1.0" encoding="utf-8"?>
<ds:datastoreItem xmlns:ds="http://schemas.openxmlformats.org/officeDocument/2006/customXml" ds:itemID="{E7962949-C25F-46E6-A469-D37E082DF2A0}"/>
</file>

<file path=customXml/itemProps3.xml><?xml version="1.0" encoding="utf-8"?>
<ds:datastoreItem xmlns:ds="http://schemas.openxmlformats.org/officeDocument/2006/customXml" ds:itemID="{D16BABBB-2AD2-4CB5-8A22-940C40A24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