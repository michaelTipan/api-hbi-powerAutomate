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A040460D-C7FB-4A06-96F0-B08ACE296E2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saImplicita" sheetId="1" state="hidden" r:id="rId1"/>
    <sheet name="A&amp;M" sheetId="2" r:id="rId2"/>
    <sheet name="Hoja1" sheetId="3" state="hidden" r:id="rId3"/>
    <sheet name="Hoja2" sheetId="4" state="hidden" r:id="rId4"/>
    <sheet name="_AUTOMATION_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C16" i="4"/>
  <c r="B16" i="4"/>
  <c r="A16" i="4"/>
  <c r="A18" i="4" s="1"/>
  <c r="J7" i="4"/>
  <c r="D7" i="4"/>
  <c r="J6" i="4"/>
  <c r="D6" i="4"/>
  <c r="J5" i="4"/>
  <c r="D5" i="4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V20" i="2"/>
  <c r="V19" i="2"/>
  <c r="O19" i="2"/>
  <c r="P19" i="2" s="1"/>
  <c r="V18" i="2"/>
  <c r="O18" i="2"/>
  <c r="P18" i="2" s="1"/>
  <c r="D18" i="2"/>
  <c r="V17" i="2"/>
  <c r="O17" i="2"/>
  <c r="P17" i="2" s="1"/>
  <c r="D17" i="2"/>
  <c r="V16" i="2"/>
  <c r="O16" i="2"/>
  <c r="P16" i="2" s="1"/>
  <c r="D16" i="2"/>
  <c r="V15" i="2"/>
  <c r="O15" i="2"/>
  <c r="P15" i="2" s="1"/>
  <c r="D15" i="2"/>
  <c r="V14" i="2"/>
  <c r="D14" i="2"/>
  <c r="V13" i="2"/>
  <c r="O13" i="2"/>
  <c r="P13" i="2" s="1"/>
  <c r="D13" i="2"/>
  <c r="V12" i="2"/>
  <c r="O12" i="2"/>
  <c r="P12" i="2" s="1"/>
  <c r="D12" i="2"/>
  <c r="V11" i="2"/>
  <c r="O11" i="2"/>
  <c r="P11" i="2" s="1"/>
  <c r="AM10" i="2"/>
  <c r="AL10" i="2"/>
  <c r="AK10" i="2"/>
  <c r="AJ10" i="2"/>
  <c r="AI10" i="2"/>
  <c r="AG10" i="2"/>
  <c r="AF10" i="2"/>
  <c r="AE10" i="2"/>
  <c r="V10" i="2"/>
  <c r="O10" i="2"/>
  <c r="P10" i="2" s="1"/>
  <c r="AD10" i="2" s="1"/>
  <c r="D10" i="2"/>
  <c r="AN9" i="2"/>
  <c r="AM9" i="2"/>
  <c r="AL9" i="2"/>
  <c r="AK9" i="2"/>
  <c r="AJ9" i="2"/>
  <c r="AI13" i="2" s="1"/>
  <c r="AH9" i="2"/>
  <c r="AG13" i="2" s="1"/>
  <c r="AG9" i="2"/>
  <c r="AG11" i="2" s="1"/>
  <c r="AF9" i="2"/>
  <c r="AF11" i="2" s="1"/>
  <c r="AE9" i="2"/>
  <c r="AE11" i="2" s="1"/>
  <c r="V9" i="2"/>
  <c r="D9" i="2"/>
  <c r="V8" i="2"/>
  <c r="O8" i="2"/>
  <c r="D8" i="2"/>
  <c r="V7" i="2"/>
  <c r="O7" i="2"/>
  <c r="AG6" i="2"/>
  <c r="AF6" i="2"/>
  <c r="AE6" i="2"/>
  <c r="AD6" i="2"/>
  <c r="AB6" i="2"/>
  <c r="V6" i="2"/>
  <c r="O6" i="2"/>
  <c r="AH5" i="2"/>
  <c r="AG5" i="2"/>
  <c r="AF5" i="2"/>
  <c r="AE5" i="2"/>
  <c r="AC5" i="2"/>
  <c r="AB5" i="2"/>
  <c r="AA5" i="2"/>
  <c r="V5" i="2"/>
  <c r="D5" i="2"/>
  <c r="V4" i="2"/>
  <c r="H4" i="2"/>
  <c r="I4" i="2" s="1"/>
  <c r="D4" i="2"/>
  <c r="B4" i="2"/>
  <c r="A4" i="2"/>
  <c r="F1" i="2"/>
  <c r="F2" i="2" s="1"/>
  <c r="E4" i="2" s="1"/>
  <c r="A5" i="2" l="1"/>
  <c r="K4" i="2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F4" i="2"/>
  <c r="C4" i="2"/>
  <c r="J4" i="2"/>
  <c r="AA9" i="2"/>
  <c r="P6" i="2"/>
  <c r="Z10" i="2" s="1"/>
  <c r="AB9" i="2"/>
  <c r="P7" i="2"/>
  <c r="AA10" i="2" s="1"/>
  <c r="AC9" i="2"/>
  <c r="P8" i="2"/>
  <c r="AB10" i="2" s="1"/>
  <c r="AD13" i="2"/>
  <c r="AE13" i="2"/>
  <c r="AF13" i="2"/>
  <c r="AJ11" i="2"/>
  <c r="AK11" i="2"/>
  <c r="AL11" i="2"/>
  <c r="AM11" i="2"/>
  <c r="C12" i="1"/>
  <c r="A14" i="1"/>
  <c r="B13" i="1"/>
  <c r="C13" i="1" l="1"/>
  <c r="A15" i="1"/>
  <c r="C14" i="1"/>
  <c r="B14" i="1"/>
  <c r="AB13" i="2"/>
  <c r="AA13" i="2"/>
  <c r="AB11" i="2"/>
  <c r="Z13" i="2"/>
  <c r="AA11" i="2"/>
  <c r="Z4" i="2"/>
  <c r="O4" i="2"/>
  <c r="P4" i="2" s="1"/>
  <c r="X9" i="2" s="1"/>
  <c r="A6" i="2"/>
  <c r="M5" i="2"/>
  <c r="N5" i="2" s="1"/>
  <c r="L5" i="2"/>
  <c r="K5" i="2"/>
  <c r="H5" i="2"/>
  <c r="I5" i="2" s="1"/>
  <c r="E5" i="2"/>
  <c r="B5" i="2"/>
  <c r="F5" i="2" l="1"/>
  <c r="C5" i="2"/>
  <c r="O5" i="2" s="1"/>
  <c r="J5" i="2"/>
  <c r="A7" i="2"/>
  <c r="M6" i="2"/>
  <c r="N6" i="2" s="1"/>
  <c r="L6" i="2"/>
  <c r="K6" i="2"/>
  <c r="H6" i="2"/>
  <c r="I6" i="2" s="1"/>
  <c r="E6" i="2"/>
  <c r="B6" i="2"/>
  <c r="X11" i="2"/>
  <c r="Y9" i="2"/>
  <c r="A16" i="1"/>
  <c r="C15" i="1"/>
  <c r="B15" i="1"/>
  <c r="A17" i="1" l="1"/>
  <c r="C16" i="1"/>
  <c r="B16" i="1"/>
  <c r="X13" i="2"/>
  <c r="C6" i="2"/>
  <c r="D6" i="2"/>
  <c r="F6" i="2" s="1"/>
  <c r="J6" i="2"/>
  <c r="A8" i="2"/>
  <c r="M7" i="2"/>
  <c r="N7" i="2" s="1"/>
  <c r="L7" i="2"/>
  <c r="H7" i="2"/>
  <c r="I7" i="2" s="1"/>
  <c r="E7" i="2"/>
  <c r="B7" i="2"/>
  <c r="K7" i="2"/>
  <c r="Z9" i="2"/>
  <c r="P5" i="2"/>
  <c r="Y10" i="2" s="1"/>
  <c r="Y11" i="2" s="1"/>
  <c r="Y13" i="2" l="1"/>
  <c r="Z11" i="2"/>
  <c r="F7" i="2"/>
  <c r="C7" i="2"/>
  <c r="J7" i="2"/>
  <c r="A9" i="2"/>
  <c r="M8" i="2"/>
  <c r="N8" i="2" s="1"/>
  <c r="L8" i="2"/>
  <c r="H8" i="2"/>
  <c r="I8" i="2" s="1"/>
  <c r="E8" i="2"/>
  <c r="B8" i="2"/>
  <c r="K8" i="2"/>
  <c r="A18" i="1"/>
  <c r="C17" i="1"/>
  <c r="B17" i="1"/>
  <c r="A19" i="1" l="1"/>
  <c r="C18" i="1"/>
  <c r="B18" i="1"/>
  <c r="F8" i="2"/>
  <c r="C8" i="2"/>
  <c r="J8" i="2"/>
  <c r="A10" i="2"/>
  <c r="M9" i="2"/>
  <c r="N9" i="2" s="1"/>
  <c r="L9" i="2"/>
  <c r="H9" i="2"/>
  <c r="I9" i="2" s="1"/>
  <c r="E9" i="2"/>
  <c r="B9" i="2"/>
  <c r="K9" i="2"/>
  <c r="F9" i="2" l="1"/>
  <c r="C9" i="2"/>
  <c r="O9" i="2" s="1"/>
  <c r="J9" i="2"/>
  <c r="A11" i="2"/>
  <c r="M10" i="2"/>
  <c r="N10" i="2" s="1"/>
  <c r="L10" i="2"/>
  <c r="H10" i="2"/>
  <c r="I10" i="2" s="1"/>
  <c r="E10" i="2"/>
  <c r="B10" i="2"/>
  <c r="K10" i="2"/>
  <c r="A20" i="1"/>
  <c r="C19" i="1"/>
  <c r="B19" i="1"/>
  <c r="A21" i="1" l="1"/>
  <c r="C20" i="1"/>
  <c r="B20" i="1"/>
  <c r="F10" i="2"/>
  <c r="C10" i="2"/>
  <c r="J10" i="2"/>
  <c r="A12" i="2"/>
  <c r="M11" i="2"/>
  <c r="N11" i="2" s="1"/>
  <c r="L11" i="2"/>
  <c r="H11" i="2"/>
  <c r="I11" i="2" s="1"/>
  <c r="E11" i="2"/>
  <c r="B11" i="2"/>
  <c r="K11" i="2"/>
  <c r="AD9" i="2"/>
  <c r="P9" i="2"/>
  <c r="AC10" i="2" s="1"/>
  <c r="AC11" i="2" s="1"/>
  <c r="AC6" i="2"/>
  <c r="AD5" i="2"/>
  <c r="AC13" i="2" l="1"/>
  <c r="AD11" i="2"/>
  <c r="F11" i="2"/>
  <c r="C11" i="2"/>
  <c r="J11" i="2"/>
  <c r="A13" i="2"/>
  <c r="M12" i="2"/>
  <c r="N12" i="2" s="1"/>
  <c r="L12" i="2"/>
  <c r="H12" i="2"/>
  <c r="I12" i="2" s="1"/>
  <c r="E12" i="2"/>
  <c r="B12" i="2"/>
  <c r="K12" i="2"/>
  <c r="A22" i="1"/>
  <c r="C21" i="1"/>
  <c r="B21" i="1"/>
  <c r="A23" i="1" l="1"/>
  <c r="C22" i="1"/>
  <c r="B22" i="1"/>
  <c r="F12" i="2"/>
  <c r="C12" i="2"/>
  <c r="J12" i="2"/>
  <c r="A14" i="2"/>
  <c r="M13" i="2"/>
  <c r="N13" i="2" s="1"/>
  <c r="L13" i="2"/>
  <c r="H13" i="2"/>
  <c r="I13" i="2" s="1"/>
  <c r="E13" i="2"/>
  <c r="B13" i="2"/>
  <c r="K13" i="2"/>
  <c r="F13" i="2" l="1"/>
  <c r="C13" i="2"/>
  <c r="J13" i="2"/>
  <c r="A15" i="2"/>
  <c r="M14" i="2"/>
  <c r="N14" i="2" s="1"/>
  <c r="L14" i="2"/>
  <c r="H14" i="2"/>
  <c r="I14" i="2" s="1"/>
  <c r="E14" i="2"/>
  <c r="B14" i="2"/>
  <c r="K14" i="2"/>
  <c r="A24" i="1"/>
  <c r="C23" i="1"/>
  <c r="B23" i="1"/>
  <c r="A25" i="1" l="1"/>
  <c r="C24" i="1"/>
  <c r="B24" i="1"/>
  <c r="F14" i="2"/>
  <c r="C14" i="2"/>
  <c r="O14" i="2" s="1"/>
  <c r="J14" i="2"/>
  <c r="A16" i="2"/>
  <c r="M15" i="2"/>
  <c r="N15" i="2" s="1"/>
  <c r="L15" i="2"/>
  <c r="H15" i="2"/>
  <c r="I15" i="2" s="1"/>
  <c r="E15" i="2"/>
  <c r="B15" i="2"/>
  <c r="K15" i="2"/>
  <c r="F15" i="2" l="1"/>
  <c r="C15" i="2"/>
  <c r="J15" i="2"/>
  <c r="A17" i="2"/>
  <c r="M16" i="2"/>
  <c r="N16" i="2" s="1"/>
  <c r="L16" i="2"/>
  <c r="H16" i="2"/>
  <c r="I16" i="2" s="1"/>
  <c r="E16" i="2"/>
  <c r="B16" i="2"/>
  <c r="K16" i="2"/>
  <c r="P14" i="2"/>
  <c r="AH10" i="2" s="1"/>
  <c r="AH11" i="2" s="1"/>
  <c r="AI9" i="2"/>
  <c r="AH6" i="2"/>
  <c r="A26" i="1"/>
  <c r="C25" i="1"/>
  <c r="B25" i="1"/>
  <c r="A27" i="1" l="1"/>
  <c r="C26" i="1"/>
  <c r="B26" i="1"/>
  <c r="AH13" i="2"/>
  <c r="AI11" i="2"/>
  <c r="F16" i="2"/>
  <c r="C16" i="2"/>
  <c r="J16" i="2"/>
  <c r="A18" i="2"/>
  <c r="M17" i="2"/>
  <c r="N17" i="2" s="1"/>
  <c r="L17" i="2"/>
  <c r="H17" i="2"/>
  <c r="I17" i="2" s="1"/>
  <c r="E17" i="2"/>
  <c r="B17" i="2"/>
  <c r="K17" i="2"/>
  <c r="F17" i="2" l="1"/>
  <c r="C17" i="2"/>
  <c r="J17" i="2"/>
  <c r="A19" i="2"/>
  <c r="M18" i="2"/>
  <c r="N18" i="2" s="1"/>
  <c r="L18" i="2"/>
  <c r="H18" i="2"/>
  <c r="I18" i="2" s="1"/>
  <c r="E18" i="2"/>
  <c r="B18" i="2"/>
  <c r="K18" i="2"/>
  <c r="A28" i="1"/>
  <c r="C27" i="1"/>
  <c r="B27" i="1"/>
  <c r="A29" i="1" l="1"/>
  <c r="C28" i="1"/>
  <c r="B28" i="1"/>
  <c r="F18" i="2"/>
  <c r="C18" i="2"/>
  <c r="J18" i="2"/>
  <c r="A20" i="2"/>
  <c r="M19" i="2"/>
  <c r="N19" i="2" s="1"/>
  <c r="L19" i="2"/>
  <c r="H19" i="2"/>
  <c r="I19" i="2" s="1"/>
  <c r="E19" i="2"/>
  <c r="B19" i="2"/>
  <c r="K19" i="2"/>
  <c r="C19" i="2" l="1"/>
  <c r="D19" i="2"/>
  <c r="F19" i="2" s="1"/>
  <c r="J19" i="2"/>
  <c r="A21" i="2"/>
  <c r="M20" i="2"/>
  <c r="N20" i="2" s="1"/>
  <c r="L20" i="2"/>
  <c r="H20" i="2"/>
  <c r="I20" i="2" s="1"/>
  <c r="E20" i="2"/>
  <c r="B20" i="2"/>
  <c r="K20" i="2"/>
  <c r="A30" i="1"/>
  <c r="C29" i="1"/>
  <c r="B29" i="1"/>
  <c r="A31" i="1" l="1"/>
  <c r="C30" i="1"/>
  <c r="B30" i="1"/>
  <c r="C20" i="2"/>
  <c r="O20" i="2" s="1"/>
  <c r="P20" i="2" s="1"/>
  <c r="AN10" i="2" s="1"/>
  <c r="AN11" i="2" s="1"/>
  <c r="D20" i="2"/>
  <c r="F20" i="2" s="1"/>
  <c r="J20" i="2"/>
  <c r="A22" i="2"/>
  <c r="M21" i="2"/>
  <c r="N21" i="2" s="1"/>
  <c r="L21" i="2"/>
  <c r="H21" i="2"/>
  <c r="I21" i="2" s="1"/>
  <c r="E21" i="2"/>
  <c r="B21" i="2"/>
  <c r="K21" i="2"/>
  <c r="C21" i="2" l="1"/>
  <c r="D21" i="2"/>
  <c r="F21" i="2" s="1"/>
  <c r="J21" i="2"/>
  <c r="A23" i="2"/>
  <c r="M22" i="2"/>
  <c r="N22" i="2" s="1"/>
  <c r="L22" i="2"/>
  <c r="H22" i="2"/>
  <c r="I22" i="2" s="1"/>
  <c r="E22" i="2"/>
  <c r="B22" i="2"/>
  <c r="K22" i="2"/>
  <c r="A32" i="1"/>
  <c r="C31" i="1"/>
  <c r="B31" i="1"/>
  <c r="A33" i="1" l="1"/>
  <c r="C32" i="1"/>
  <c r="B32" i="1"/>
  <c r="C22" i="2"/>
  <c r="D22" i="2"/>
  <c r="F22" i="2" s="1"/>
  <c r="J22" i="2"/>
  <c r="A24" i="2"/>
  <c r="M23" i="2"/>
  <c r="N23" i="2" s="1"/>
  <c r="L23" i="2"/>
  <c r="H23" i="2"/>
  <c r="I23" i="2" s="1"/>
  <c r="E23" i="2"/>
  <c r="B23" i="2"/>
  <c r="K23" i="2"/>
  <c r="C23" i="2" l="1"/>
  <c r="D23" i="2"/>
  <c r="F23" i="2" s="1"/>
  <c r="J23" i="2"/>
  <c r="A25" i="2"/>
  <c r="M24" i="2"/>
  <c r="N24" i="2" s="1"/>
  <c r="L24" i="2"/>
  <c r="H24" i="2"/>
  <c r="I24" i="2" s="1"/>
  <c r="E24" i="2"/>
  <c r="B24" i="2"/>
  <c r="K24" i="2"/>
  <c r="A34" i="1"/>
  <c r="C33" i="1"/>
  <c r="B33" i="1"/>
  <c r="A35" i="1" l="1"/>
  <c r="C34" i="1"/>
  <c r="B34" i="1"/>
  <c r="C24" i="2"/>
  <c r="D24" i="2"/>
  <c r="F24" i="2" s="1"/>
  <c r="J24" i="2"/>
  <c r="A26" i="2"/>
  <c r="M25" i="2"/>
  <c r="N25" i="2" s="1"/>
  <c r="L25" i="2"/>
  <c r="H25" i="2"/>
  <c r="I25" i="2" s="1"/>
  <c r="E25" i="2"/>
  <c r="B25" i="2"/>
  <c r="K25" i="2"/>
  <c r="C25" i="2" l="1"/>
  <c r="D25" i="2"/>
  <c r="F25" i="2" s="1"/>
  <c r="J25" i="2"/>
  <c r="A27" i="2"/>
  <c r="M26" i="2"/>
  <c r="N26" i="2" s="1"/>
  <c r="L26" i="2"/>
  <c r="H26" i="2"/>
  <c r="I26" i="2" s="1"/>
  <c r="E26" i="2"/>
  <c r="B26" i="2"/>
  <c r="K26" i="2"/>
  <c r="A36" i="1"/>
  <c r="C35" i="1"/>
  <c r="B35" i="1"/>
  <c r="A37" i="1" l="1"/>
  <c r="C36" i="1"/>
  <c r="B36" i="1"/>
  <c r="C26" i="2"/>
  <c r="D26" i="2"/>
  <c r="F26" i="2" s="1"/>
  <c r="J26" i="2"/>
  <c r="A28" i="2"/>
  <c r="M27" i="2"/>
  <c r="N27" i="2" s="1"/>
  <c r="L27" i="2"/>
  <c r="H27" i="2"/>
  <c r="I27" i="2" s="1"/>
  <c r="E27" i="2"/>
  <c r="B27" i="2"/>
  <c r="K27" i="2"/>
  <c r="C27" i="2" l="1"/>
  <c r="D27" i="2"/>
  <c r="F27" i="2" s="1"/>
  <c r="J27" i="2"/>
  <c r="A29" i="2"/>
  <c r="M28" i="2"/>
  <c r="N28" i="2" s="1"/>
  <c r="L28" i="2"/>
  <c r="H28" i="2"/>
  <c r="I28" i="2" s="1"/>
  <c r="E28" i="2"/>
  <c r="B28" i="2"/>
  <c r="K28" i="2"/>
  <c r="A38" i="1"/>
  <c r="C37" i="1"/>
  <c r="B37" i="1"/>
  <c r="A39" i="1" l="1"/>
  <c r="C38" i="1"/>
  <c r="B38" i="1"/>
  <c r="C28" i="2"/>
  <c r="D28" i="2"/>
  <c r="F28" i="2" s="1"/>
  <c r="J28" i="2"/>
  <c r="A30" i="2"/>
  <c r="M29" i="2"/>
  <c r="N29" i="2" s="1"/>
  <c r="L29" i="2"/>
  <c r="H29" i="2"/>
  <c r="I29" i="2" s="1"/>
  <c r="E29" i="2"/>
  <c r="B29" i="2"/>
  <c r="K29" i="2"/>
  <c r="C29" i="2" l="1"/>
  <c r="D29" i="2"/>
  <c r="F29" i="2" s="1"/>
  <c r="J29" i="2"/>
  <c r="A31" i="2"/>
  <c r="M30" i="2"/>
  <c r="N30" i="2" s="1"/>
  <c r="L30" i="2"/>
  <c r="H30" i="2"/>
  <c r="I30" i="2" s="1"/>
  <c r="E30" i="2"/>
  <c r="B30" i="2"/>
  <c r="K30" i="2"/>
  <c r="A40" i="1"/>
  <c r="C39" i="1"/>
  <c r="B39" i="1"/>
  <c r="A41" i="1" l="1"/>
  <c r="C40" i="1"/>
  <c r="B40" i="1"/>
  <c r="C30" i="2"/>
  <c r="D30" i="2"/>
  <c r="F30" i="2" s="1"/>
  <c r="J30" i="2"/>
  <c r="A32" i="2"/>
  <c r="M31" i="2"/>
  <c r="N31" i="2" s="1"/>
  <c r="L31" i="2"/>
  <c r="H31" i="2"/>
  <c r="I31" i="2" s="1"/>
  <c r="E31" i="2"/>
  <c r="B31" i="2"/>
  <c r="K31" i="2"/>
  <c r="C31" i="2" l="1"/>
  <c r="D31" i="2"/>
  <c r="F31" i="2" s="1"/>
  <c r="J31" i="2"/>
  <c r="A33" i="2"/>
  <c r="M32" i="2"/>
  <c r="N32" i="2" s="1"/>
  <c r="L32" i="2"/>
  <c r="H32" i="2"/>
  <c r="I32" i="2" s="1"/>
  <c r="E32" i="2"/>
  <c r="B32" i="2"/>
  <c r="K32" i="2"/>
  <c r="A42" i="1"/>
  <c r="C41" i="1"/>
  <c r="B41" i="1"/>
  <c r="A43" i="1" l="1"/>
  <c r="C42" i="1"/>
  <c r="B42" i="1"/>
  <c r="C32" i="2"/>
  <c r="D32" i="2"/>
  <c r="F32" i="2" s="1"/>
  <c r="J32" i="2"/>
  <c r="A34" i="2"/>
  <c r="M33" i="2"/>
  <c r="N33" i="2" s="1"/>
  <c r="L33" i="2"/>
  <c r="H33" i="2"/>
  <c r="I33" i="2" s="1"/>
  <c r="E33" i="2"/>
  <c r="B33" i="2"/>
  <c r="K33" i="2"/>
  <c r="C33" i="2" l="1"/>
  <c r="D33" i="2"/>
  <c r="F33" i="2" s="1"/>
  <c r="J33" i="2"/>
  <c r="A35" i="2"/>
  <c r="M34" i="2"/>
  <c r="N34" i="2" s="1"/>
  <c r="L34" i="2"/>
  <c r="H34" i="2"/>
  <c r="I34" i="2" s="1"/>
  <c r="E34" i="2"/>
  <c r="B34" i="2"/>
  <c r="K34" i="2"/>
  <c r="A44" i="1"/>
  <c r="C43" i="1"/>
  <c r="B43" i="1"/>
  <c r="A45" i="1" l="1"/>
  <c r="C44" i="1"/>
  <c r="B44" i="1"/>
  <c r="C34" i="2"/>
  <c r="D34" i="2"/>
  <c r="F34" i="2" s="1"/>
  <c r="J34" i="2"/>
  <c r="A36" i="2"/>
  <c r="M35" i="2"/>
  <c r="N35" i="2" s="1"/>
  <c r="L35" i="2"/>
  <c r="H35" i="2"/>
  <c r="I35" i="2" s="1"/>
  <c r="E35" i="2"/>
  <c r="B35" i="2"/>
  <c r="K35" i="2"/>
  <c r="C35" i="2" l="1"/>
  <c r="D35" i="2"/>
  <c r="F35" i="2" s="1"/>
  <c r="J35" i="2"/>
  <c r="A37" i="2"/>
  <c r="M36" i="2"/>
  <c r="N36" i="2" s="1"/>
  <c r="L36" i="2"/>
  <c r="H36" i="2"/>
  <c r="I36" i="2" s="1"/>
  <c r="E36" i="2"/>
  <c r="B36" i="2"/>
  <c r="K36" i="2"/>
  <c r="A46" i="1"/>
  <c r="C45" i="1"/>
  <c r="B45" i="1"/>
  <c r="A47" i="1" l="1"/>
  <c r="C46" i="1"/>
  <c r="B46" i="1"/>
  <c r="C36" i="2"/>
  <c r="D36" i="2"/>
  <c r="F36" i="2" s="1"/>
  <c r="J36" i="2"/>
  <c r="A38" i="2"/>
  <c r="M37" i="2"/>
  <c r="N37" i="2" s="1"/>
  <c r="L37" i="2"/>
  <c r="H37" i="2"/>
  <c r="I37" i="2" s="1"/>
  <c r="E37" i="2"/>
  <c r="B37" i="2"/>
  <c r="K37" i="2"/>
  <c r="C37" i="2" l="1"/>
  <c r="D37" i="2"/>
  <c r="F37" i="2" s="1"/>
  <c r="J37" i="2"/>
  <c r="A39" i="2"/>
  <c r="M38" i="2"/>
  <c r="N38" i="2" s="1"/>
  <c r="L38" i="2"/>
  <c r="H38" i="2"/>
  <c r="I38" i="2" s="1"/>
  <c r="E38" i="2"/>
  <c r="B38" i="2"/>
  <c r="K38" i="2"/>
  <c r="A48" i="1"/>
  <c r="C47" i="1"/>
  <c r="B47" i="1"/>
  <c r="A49" i="1" l="1"/>
  <c r="C48" i="1"/>
  <c r="B48" i="1"/>
  <c r="C38" i="2"/>
  <c r="D38" i="2"/>
  <c r="F38" i="2" s="1"/>
  <c r="J38" i="2"/>
  <c r="M39" i="2"/>
  <c r="N39" i="2" s="1"/>
  <c r="L39" i="2"/>
  <c r="H39" i="2"/>
  <c r="I39" i="2" s="1"/>
  <c r="E39" i="2"/>
  <c r="B39" i="2"/>
  <c r="K39" i="2"/>
  <c r="C39" i="2" l="1"/>
  <c r="D39" i="2"/>
  <c r="F39" i="2" s="1"/>
  <c r="J39" i="2"/>
  <c r="A50" i="1"/>
  <c r="C49" i="1"/>
  <c r="B49" i="1"/>
  <c r="A51" i="1" l="1"/>
  <c r="C50" i="1"/>
  <c r="B50" i="1"/>
  <c r="A52" i="1" l="1"/>
  <c r="C51" i="1"/>
  <c r="B51" i="1"/>
  <c r="A53" i="1" l="1"/>
  <c r="C52" i="1"/>
  <c r="B52" i="1"/>
  <c r="A54" i="1" l="1"/>
  <c r="C53" i="1"/>
  <c r="B53" i="1"/>
  <c r="A55" i="1" l="1"/>
  <c r="C54" i="1"/>
  <c r="B54" i="1"/>
  <c r="A56" i="1" l="1"/>
  <c r="C55" i="1"/>
  <c r="B55" i="1"/>
  <c r="A57" i="1" l="1"/>
  <c r="C56" i="1"/>
  <c r="B56" i="1"/>
  <c r="A58" i="1" l="1"/>
  <c r="C57" i="1"/>
  <c r="B57" i="1"/>
  <c r="A59" i="1" l="1"/>
  <c r="C58" i="1"/>
  <c r="B58" i="1"/>
  <c r="A60" i="1" l="1"/>
  <c r="C59" i="1"/>
  <c r="B59" i="1"/>
  <c r="A61" i="1" l="1"/>
  <c r="C60" i="1"/>
  <c r="B60" i="1"/>
  <c r="A62" i="1" l="1"/>
  <c r="C61" i="1"/>
  <c r="B61" i="1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U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3132</t>
        </r>
      </text>
    </comment>
    <comment ref="U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3371</t>
        </r>
      </text>
    </comment>
    <comment ref="U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Patricia Bello Pedraza:
3523</t>
        </r>
      </text>
    </comment>
    <comment ref="U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Patricia Bello Pedraza:
3866</t>
        </r>
      </text>
    </comment>
    <comment ref="U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Patricia Bello Pedraza:
4424</t>
        </r>
      </text>
    </comment>
    <comment ref="U10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Patricia Bello Pedraza:
4526</t>
        </r>
      </text>
    </comment>
    <comment ref="U1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Patricia Bello Pedraza:
4758</t>
        </r>
      </text>
    </comment>
    <comment ref="U1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Patricia Bello Pedraza:
5242</t>
        </r>
      </text>
    </comment>
    <comment ref="U1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Patricia Bello Pedraza:
5459</t>
        </r>
      </text>
    </comment>
    <comment ref="U1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Patricia Bello Pedraza:
5648</t>
        </r>
      </text>
    </comment>
  </commentList>
</comments>
</file>

<file path=xl/sharedStrings.xml><?xml version="1.0" encoding="utf-8"?>
<sst xmlns="http://schemas.openxmlformats.org/spreadsheetml/2006/main" count="102" uniqueCount="83">
  <si>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</si>
  <si>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</si>
  <si>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</si>
  <si>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</si>
  <si>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</si>
  <si>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</si>
  <si>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</si>
  <si>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</si>
  <si>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</si>
  <si>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</si>
  <si>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</si>
  <si>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</si>
  <si>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</si>
  <si>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</si>
  <si>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</si>
  <si>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</si>
  <si>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</si>
  <si>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</si>
  <si>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</si>
  <si>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</si>
  <si>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</si>
  <si>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</si>
  <si>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</si>
  <si>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</si>
  <si>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</si>
  <si>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</si>
  <si>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</si>
  <si>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</si>
  <si>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</si>
  <si>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</si>
  <si>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Cuota + i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</si>
  <si>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</si>
  <si>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</si>
  <si>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</si>
  <si>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</si>
  <si>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</si>
  <si>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</si>
  <si>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</si>
  <si>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</si>
  <si>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Abono a capital</t>
  </si>
  <si>
    <t>Intereses de mora</t>
  </si>
  <si>
    <t>Valor pagado cliente</t>
  </si>
  <si>
    <t xml:space="preserve">APLICACIÓN DEL PAGO </t>
  </si>
  <si>
    <t xml:space="preserve">EXTRACTO </t>
  </si>
  <si>
    <t>Cuota #</t>
  </si>
  <si>
    <t>Valor a pagar</t>
  </si>
  <si>
    <t>FACTURACION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</si>
  <si>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</si>
  <si>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</si>
  <si>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</si>
  <si>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</si>
  <si>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</si>
  <si>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</si>
  <si>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</si>
  <si>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</si>
  <si>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</si>
  <si>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</si>
  <si>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</si>
  <si>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</si>
  <si>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</si>
  <si>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</si>
  <si>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</si>
  <si>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</si>
  <si>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</si>
  <si>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</si>
  <si>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</si>
  <si>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</si>
  <si>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</si>
  <si>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2026-08-21T05:05:56-05:00</t>
  </si>
  <si>
    <t>27d93c43-b956-497f-8f40-d2224817b42f</t>
  </si>
  <si>
    <t>A&amp;M CONSTRUCOL</t>
  </si>
  <si>
    <t>215</t>
  </si>
  <si>
    <t>APLICADO</t>
  </si>
  <si>
    <t>apply|WOULD_APPLY|ibr=WOULD_SKIP_IBR_ALREADY_PRESENT|tipo=PAGO|subtipo=CUOTA</t>
  </si>
  <si>
    <t>27d93c43-b956-497f-8f40-d2224817b42f|215|informacion creditos-clientes/03 comware pruebas- informacion creditos clientes/a&amp;m construcol/credito # 215/asientos contables cred 215/cred 215-1.pdf||</t>
  </si>
  <si>
    <t>INFORMACION CREDITOS-CLIENTES/03 COMWARE PRUEBAS- INFORMACION CREDITOS CLIENTES/A&amp;M CONSTRUCOL/CREDITO # 215/ASIENTOS CONTABLES CRED 215/CRED 215-1.pdf</t>
  </si>
  <si>
    <t>0bfdb44583e17589173af150cdc189fc3564616605a95000921e7727ffe97a95</t>
  </si>
  <si>
    <t>"{65A0AF32-2F51-4FE1-8A62-131A716F21A6},1"</t>
  </si>
  <si>
    <t>PAGO</t>
  </si>
  <si>
    <t>PAGO CUOTA</t>
  </si>
  <si>
    <t>CUOTA</t>
  </si>
  <si>
    <t>CIERRE_CUOTA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</si>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</sst>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99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165" fontId="0" fillId="0" borderId="0" xfId="2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0" fontId="3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43" fontId="0" fillId="5" borderId="4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4" xfId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wrapText="1"/>
    </xf>
    <xf numFmtId="14" fontId="0" fillId="0" borderId="8" xfId="0" applyNumberFormat="1" applyBorder="1"/>
    <xf numFmtId="43" fontId="5" fillId="6" borderId="9" xfId="1" applyFont="1" applyFill="1" applyBorder="1"/>
    <xf numFmtId="43" fontId="5" fillId="6" borderId="9" xfId="0" applyNumberFormat="1" applyFont="1" applyFill="1" applyBorder="1"/>
    <xf numFmtId="0" fontId="0" fillId="0" borderId="10" xfId="0" applyBorder="1" applyAlignment="1">
      <alignment horizontal="center"/>
    </xf>
    <xf numFmtId="164" fontId="0" fillId="0" borderId="11" xfId="0" applyNumberFormat="1" applyBorder="1"/>
    <xf numFmtId="43" fontId="0" fillId="0" borderId="11" xfId="0" applyNumberFormat="1" applyBorder="1"/>
    <xf numFmtId="43" fontId="5" fillId="6" borderId="12" xfId="0" applyNumberFormat="1" applyFont="1" applyFill="1" applyBorder="1"/>
    <xf numFmtId="43" fontId="0" fillId="7" borderId="0" xfId="1" applyFont="1" applyFill="1"/>
    <xf numFmtId="165" fontId="0" fillId="0" borderId="0" xfId="2" applyNumberFormat="1" applyFont="1" applyProtection="1">
      <protection locked="0"/>
    </xf>
    <xf numFmtId="0" fontId="2" fillId="0" borderId="0" xfId="0" applyFont="1" applyAlignment="1">
      <alignment horizontal="center"/>
    </xf>
    <xf numFmtId="0" fontId="0" fillId="0" borderId="13" xfId="0" applyBorder="1"/>
    <xf numFmtId="43" fontId="0" fillId="0" borderId="1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43" fontId="0" fillId="0" borderId="4" xfId="0" applyNumberFormat="1" applyBorder="1"/>
    <xf numFmtId="164" fontId="0" fillId="0" borderId="4" xfId="0" applyNumberFormat="1" applyBorder="1"/>
    <xf numFmtId="17" fontId="5" fillId="0" borderId="0" xfId="0" applyNumberFormat="1" applyFont="1" applyAlignment="1">
      <alignment horizontal="center"/>
    </xf>
    <xf numFmtId="0" fontId="3" fillId="5" borderId="4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top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/>
    </xf>
    <xf numFmtId="14" fontId="0" fillId="0" borderId="4" xfId="1" applyNumberFormat="1" applyFont="1" applyBorder="1"/>
    <xf numFmtId="0" fontId="3" fillId="5" borderId="4" xfId="0" applyFont="1" applyFill="1" applyBorder="1" applyAlignment="1">
      <alignment horizontal="center" wrapText="1"/>
    </xf>
    <xf numFmtId="43" fontId="5" fillId="3" borderId="4" xfId="1" applyFont="1" applyFill="1" applyBorder="1"/>
    <xf numFmtId="14" fontId="6" fillId="0" borderId="0" xfId="0" applyNumberFormat="1" applyFont="1"/>
    <xf numFmtId="165" fontId="1" fillId="0" borderId="0" xfId="2" applyNumberFormat="1" applyProtection="1">
      <protection locked="0"/>
    </xf>
    <xf numFmtId="0" fontId="6" fillId="0" borderId="0" xfId="0" applyFont="1"/>
    <xf numFmtId="14" fontId="0" fillId="3" borderId="4" xfId="1" applyNumberFormat="1" applyFont="1" applyFill="1" applyBorder="1"/>
    <xf numFmtId="43" fontId="0" fillId="3" borderId="4" xfId="1" applyFont="1" applyFill="1" applyBorder="1"/>
    <xf numFmtId="14" fontId="0" fillId="3" borderId="4" xfId="0" applyNumberFormat="1" applyFill="1" applyBorder="1"/>
    <xf numFmtId="164" fontId="1" fillId="0" borderId="0" xfId="1" applyNumberFormat="1"/>
    <xf numFmtId="43" fontId="7" fillId="3" borderId="4" xfId="1" applyFont="1" applyFill="1" applyBorder="1"/>
    <xf numFmtId="164" fontId="8" fillId="0" borderId="0" xfId="1" applyNumberFormat="1" applyFont="1"/>
    <xf numFmtId="165" fontId="8" fillId="0" borderId="0" xfId="2" applyNumberFormat="1" applyFont="1" applyProtection="1">
      <protection locked="0"/>
    </xf>
    <xf numFmtId="165" fontId="1" fillId="0" borderId="0" xfId="2" applyNumberFormat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65" fontId="6" fillId="10" borderId="0" xfId="2" applyNumberFormat="1" applyFont="1" applyFill="1" applyProtection="1">
      <protection locked="0"/>
    </xf>
    <xf numFmtId="43" fontId="7" fillId="0" borderId="4" xfId="1" applyFont="1" applyBorder="1"/>
    <xf numFmtId="0" fontId="3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/>
    </xf>
    <xf numFmtId="165" fontId="12" fillId="0" borderId="0" xfId="2" applyNumberFormat="1" applyFont="1" applyProtection="1">
      <protection locked="0"/>
    </xf>
    <xf numFmtId="0" fontId="11" fillId="10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4" fontId="8" fillId="3" borderId="0" xfId="1" applyNumberFormat="1" applyFont="1" applyFill="1"/>
    <xf numFmtId="165" fontId="12" fillId="3" borderId="0" xfId="2" applyNumberFormat="1" applyFont="1" applyFill="1" applyProtection="1">
      <protection locked="0"/>
    </xf>
    <xf numFmtId="165" fontId="1" fillId="3" borderId="0" xfId="2" applyNumberFormat="1" applyFill="1" applyProtection="1">
      <protection locked="0"/>
    </xf>
    <xf numFmtId="165" fontId="1" fillId="3" borderId="0" xfId="2" applyNumberFormat="1" applyFill="1"/>
    <xf numFmtId="164" fontId="1" fillId="3" borderId="0" xfId="1" applyNumberFormat="1" applyFill="1"/>
    <xf numFmtId="0" fontId="9" fillId="3" borderId="0" xfId="0" applyFont="1" applyFill="1" applyAlignment="1">
      <alignment horizontal="center"/>
    </xf>
    <xf numFmtId="3" fontId="13" fillId="0" borderId="0" xfId="0" applyNumberFormat="1" applyFont="1"/>
    <xf numFmtId="3" fontId="0" fillId="0" borderId="0" xfId="0" applyNumberFormat="1"/>
    <xf numFmtId="4" fontId="0" fillId="0" borderId="0" xfId="0" applyNumberFormat="1"/>
    <xf numFmtId="0" fontId="5" fillId="10" borderId="1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/>
    </xf>
    <xf numFmtId="0" fontId="0" fillId="0" borderId="2" xfId="0" applyBorder="1" applyAlignment="1"/>
    <xf numFmtId="0" fontId="0" fillId="0" borderId="5" xfId="0" applyBorder="1" applyAlignment="1"/>
    <xf numFmtId="0" fontId="0" fillId="0" borderId="15" xfId="0" applyBorder="1" applyAlignment="1"/>
    <xf numFmtId="0" fontId="0" fillId="0" borderId="16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"/>
  <sheetViews>
    <sheetView tabSelected="1" topLeftCell="I1" zoomScaleNormal="100" workbookViewId="0">
      <pane ySplit="3" topLeftCell="F6" activePane="bottomLeft" state="frozen"/>
      <selection pane="bottomLeft" activeCell="Q20" sqref="Q20:V20"/>
    </sheetView>
  </sheetViews>
  <sheetFormatPr defaultColWidth="11.42578125" defaultRowHeight="14.45"/>
  <cols>
    <col min="1" max="1" width="6.85546875" customWidth="1"/>
    <col min="2" max="2" width="14.140625" bestFit="1" customWidth="1"/>
    <col min="3" max="5" width="12.140625" bestFit="1" customWidth="1"/>
    <col min="6" max="6" width="13.710937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1" width="16.28515625" customWidth="1"/>
    <col min="22" max="22" width="14.5703125" bestFit="1" customWidth="1"/>
    <col min="23" max="24" width="13.140625" customWidth="1"/>
    <col min="25" max="26" width="14.42578125" customWidth="1"/>
    <col min="27" max="28" width="13.28515625" bestFit="1" customWidth="1"/>
    <col min="29" max="40" width="13.7109375" bestFit="1" customWidth="1"/>
  </cols>
  <sheetData>
    <row r="1" spans="1:40" ht="15" customHeight="1" thickBot="1">
      <c r="A1" s="10" t="s">
        <v>16</v>
      </c>
      <c r="B1" s="13">
        <v>280889860</v>
      </c>
      <c r="C1" s="10" t="s">
        <v>17</v>
      </c>
      <c r="D1" s="12">
        <v>8.9520000000000002E-2</v>
      </c>
      <c r="E1" s="10" t="s">
        <v>18</v>
      </c>
      <c r="F1" s="8">
        <f>((D1+D2)/12)</f>
        <v>1.4543333333333333E-2</v>
      </c>
      <c r="H1" s="19" t="s">
        <v>19</v>
      </c>
      <c r="J1" s="53">
        <v>45762</v>
      </c>
      <c r="O1" s="53"/>
    </row>
    <row r="2" spans="1:40" ht="15" customHeight="1" thickBot="1">
      <c r="A2" s="10" t="s">
        <v>20</v>
      </c>
      <c r="B2" s="14">
        <v>36</v>
      </c>
      <c r="C2" s="10" t="s">
        <v>21</v>
      </c>
      <c r="D2" s="12">
        <v>8.5000000000000006E-2</v>
      </c>
      <c r="E2" s="10" t="s">
        <v>22</v>
      </c>
      <c r="F2" s="2">
        <f>+PMT(F1,B2,-B1,0)</f>
        <v>10077790.65533538</v>
      </c>
      <c r="G2" s="2"/>
      <c r="J2" s="55">
        <v>215</v>
      </c>
      <c r="O2" s="53"/>
      <c r="Q2" s="90" t="s">
        <v>23</v>
      </c>
      <c r="R2" s="95"/>
      <c r="S2" s="95"/>
      <c r="T2" s="95"/>
      <c r="U2" s="95"/>
      <c r="V2" s="95"/>
    </row>
    <row r="3" spans="1:40" ht="27.6" customHeight="1">
      <c r="A3" s="65"/>
      <c r="B3" s="66" t="s">
        <v>24</v>
      </c>
      <c r="C3" s="66" t="s">
        <v>25</v>
      </c>
      <c r="D3" s="66" t="s">
        <v>26</v>
      </c>
      <c r="E3" s="66" t="s">
        <v>13</v>
      </c>
      <c r="F3" s="66" t="s">
        <v>27</v>
      </c>
      <c r="G3" s="66" t="s">
        <v>28</v>
      </c>
      <c r="H3" s="9" t="s">
        <v>6</v>
      </c>
      <c r="I3" s="9" t="s">
        <v>29</v>
      </c>
      <c r="J3" s="9" t="s">
        <v>30</v>
      </c>
      <c r="K3" s="9" t="s">
        <v>31</v>
      </c>
      <c r="L3" s="9" t="s">
        <v>32</v>
      </c>
      <c r="M3" s="9" t="s">
        <v>33</v>
      </c>
      <c r="N3" s="9" t="s">
        <v>34</v>
      </c>
      <c r="O3" s="9" t="s">
        <v>32</v>
      </c>
      <c r="P3" s="15" t="s">
        <v>35</v>
      </c>
      <c r="Q3" s="77" t="s">
        <v>36</v>
      </c>
      <c r="R3" s="76" t="s">
        <v>37</v>
      </c>
      <c r="S3" s="77" t="s">
        <v>38</v>
      </c>
      <c r="T3" s="77" t="s">
        <v>39</v>
      </c>
      <c r="U3" s="76" t="s">
        <v>40</v>
      </c>
      <c r="V3" s="76" t="s">
        <v>41</v>
      </c>
    </row>
    <row r="4" spans="1:40">
      <c r="A4" s="11">
        <f>+TasaImplicita!A12</f>
        <v>1</v>
      </c>
      <c r="B4" s="61">
        <f>+B1</f>
        <v>280889860</v>
      </c>
      <c r="C4" s="61">
        <f>+B4*F1</f>
        <v>4085074.8639333332</v>
      </c>
      <c r="D4" s="61">
        <f>+S4</f>
        <v>5992716</v>
      </c>
      <c r="E4" s="61">
        <f>+F2</f>
        <v>10077790.65533538</v>
      </c>
      <c r="F4" s="61">
        <f>+B4-D4</f>
        <v>274897144</v>
      </c>
      <c r="G4" s="62">
        <v>8.7650000000000006E-2</v>
      </c>
      <c r="H4" s="54">
        <f>+D2</f>
        <v>8.5000000000000006E-2</v>
      </c>
      <c r="I4" s="63">
        <f>((G4+H4)/12)</f>
        <v>1.4387500000000003E-2</v>
      </c>
      <c r="J4" s="59">
        <f>PMT(I4,K4,-F4,0)</f>
        <v>10052216.289764697</v>
      </c>
      <c r="K4" s="64">
        <f>+$B$2-A4</f>
        <v>35</v>
      </c>
      <c r="L4">
        <v>15</v>
      </c>
      <c r="M4">
        <v>5</v>
      </c>
      <c r="N4">
        <v>2025</v>
      </c>
      <c r="O4" s="20">
        <f>+C4/30</f>
        <v>136169.16213111111</v>
      </c>
      <c r="P4" s="32">
        <f>+O4*15</f>
        <v>2042537.4319666666</v>
      </c>
      <c r="Q4" s="56">
        <v>45800</v>
      </c>
      <c r="R4" s="57">
        <v>4128601</v>
      </c>
      <c r="S4" s="57">
        <v>5992716</v>
      </c>
      <c r="T4" s="57">
        <f>+B4-S4</f>
        <v>274897144</v>
      </c>
      <c r="U4" s="60">
        <v>28683</v>
      </c>
      <c r="V4" s="57">
        <f>+R4+S4+U4</f>
        <v>10150000</v>
      </c>
      <c r="Z4" s="21">
        <f>+AA9/O6</f>
        <v>15.000046589252584</v>
      </c>
    </row>
    <row r="5" spans="1:40">
      <c r="A5" s="11">
        <f>IF(AND(A4&lt;$B$2)*(A4&lt;&gt;0),1+A4," ")</f>
        <v>2</v>
      </c>
      <c r="B5" s="61">
        <f>IF(A5=" "," ",+F4)</f>
        <v>274897144</v>
      </c>
      <c r="C5" s="61">
        <f>IF(A5=" "," ",+B5*I4)</f>
        <v>3955082.6593000009</v>
      </c>
      <c r="D5" s="61">
        <f>6082121+15012</f>
        <v>6097133</v>
      </c>
      <c r="E5" s="61">
        <f>IF(A5=" "," ",+J4)</f>
        <v>10052216.289764697</v>
      </c>
      <c r="F5" s="61">
        <f>+B5-D5</f>
        <v>268800011</v>
      </c>
      <c r="G5" s="62">
        <v>8.7480000000000002E-2</v>
      </c>
      <c r="H5" s="54">
        <f>IF(A5=" "," ",+H4)</f>
        <v>8.5000000000000006E-2</v>
      </c>
      <c r="I5" s="63">
        <f>IF(A5=" "," ",((G5+H5)/12))</f>
        <v>1.4373333333333335E-2</v>
      </c>
      <c r="J5" s="59">
        <f>PMT(I5,K5,-F5,0)</f>
        <v>10049951.960464908</v>
      </c>
      <c r="K5" s="64">
        <f>IF(A2=" "," ",+$B$2-A5)</f>
        <v>34</v>
      </c>
      <c r="L5">
        <f>IF(A5&lt;&gt;" ",+L4," ")</f>
        <v>15</v>
      </c>
      <c r="M5">
        <f>IF(AND(A5&lt;&gt;" ")*(M4=12),1,1+M4)</f>
        <v>6</v>
      </c>
      <c r="N5">
        <f>IF(AND(A5&lt;&gt;" ")*(M5=1),1+N4,N4)</f>
        <v>2025</v>
      </c>
      <c r="O5" s="20">
        <f>+C5/30</f>
        <v>131836.08864333335</v>
      </c>
      <c r="P5" s="32">
        <f>+O5*15</f>
        <v>1977541.3296500002</v>
      </c>
      <c r="Q5" s="58">
        <v>45853</v>
      </c>
      <c r="R5" s="57">
        <v>3911557</v>
      </c>
      <c r="S5" s="57">
        <v>6082121</v>
      </c>
      <c r="T5" s="57">
        <f>+T4-S5</f>
        <v>268815023</v>
      </c>
      <c r="U5" s="75">
        <v>106322</v>
      </c>
      <c r="V5" s="57">
        <f>+R5+S5+U5</f>
        <v>10100000</v>
      </c>
      <c r="AA5">
        <f>+O6*26</f>
        <v>3348411.7333333334</v>
      </c>
      <c r="AB5">
        <f>+O7*26</f>
        <v>3262244.2666666666</v>
      </c>
      <c r="AC5">
        <f>+O8*26</f>
        <v>3195346.2666666666</v>
      </c>
      <c r="AD5">
        <f>+O9*26</f>
        <v>3112760.9687414789</v>
      </c>
      <c r="AE5">
        <f>+O10*26</f>
        <v>3035514.7333333334</v>
      </c>
      <c r="AF5">
        <f>+O11*26</f>
        <v>2953710.0666666669</v>
      </c>
      <c r="AG5">
        <f>+O12*26</f>
        <v>2884879.4</v>
      </c>
      <c r="AH5">
        <f>+O13*24</f>
        <v>2612260.7999999998</v>
      </c>
    </row>
    <row r="6" spans="1:40">
      <c r="A6" s="11">
        <f>IF(AND(A5&lt;$B$2)*(A5&lt;&gt;0),1+A5," ")</f>
        <v>3</v>
      </c>
      <c r="B6" s="61">
        <f>IF(A6=" "," ",+F5)</f>
        <v>268800011</v>
      </c>
      <c r="C6" s="61">
        <f>IF(A6=" "," ",+B6*I5)</f>
        <v>3863552.158106667</v>
      </c>
      <c r="D6" s="61">
        <f>+E6-C6</f>
        <v>6186399.8023582408</v>
      </c>
      <c r="E6" s="61">
        <f>IF(A6=" "," ",+J5)</f>
        <v>10049951.960464908</v>
      </c>
      <c r="F6" s="61">
        <f>+B6-D6</f>
        <v>262613611.19764176</v>
      </c>
      <c r="G6" s="62">
        <v>8.6999999999999994E-2</v>
      </c>
      <c r="H6" s="54">
        <f>IF(A6=" "," ",+H5)</f>
        <v>8.5000000000000006E-2</v>
      </c>
      <c r="I6" s="63">
        <f>IF(A6=" "," ",((G6+H6)/12))</f>
        <v>1.4333333333333332E-2</v>
      </c>
      <c r="J6" s="59">
        <f>PMT(I6,K6,-F6,0)</f>
        <v>10043726.823463203</v>
      </c>
      <c r="K6" s="64">
        <f>IF(A3=" "," ",+$B$2-A6)</f>
        <v>33</v>
      </c>
      <c r="L6">
        <f>IF(A6&lt;&gt;" ",+L5," ")</f>
        <v>15</v>
      </c>
      <c r="M6">
        <f>IF(AND(A6&lt;&gt;" ")*(M5=12),1,1+M5)</f>
        <v>7</v>
      </c>
      <c r="N6">
        <f>IF(AND(A6&lt;&gt;" ")*(M6=1),1+N5,N5)</f>
        <v>2025</v>
      </c>
      <c r="O6" s="20">
        <f>3863552/30</f>
        <v>128785.06666666667</v>
      </c>
      <c r="P6" s="32">
        <f>+O6*15</f>
        <v>1931776</v>
      </c>
      <c r="Q6" s="58">
        <v>45888</v>
      </c>
      <c r="R6" s="57">
        <v>3962061</v>
      </c>
      <c r="S6" s="57">
        <v>6201412</v>
      </c>
      <c r="T6" s="57">
        <f>+T5-S6</f>
        <v>262613611</v>
      </c>
      <c r="U6" s="60">
        <v>136527</v>
      </c>
      <c r="V6" s="57">
        <f>+R6+S6+U6</f>
        <v>10300000</v>
      </c>
      <c r="X6" s="21"/>
      <c r="AB6">
        <f>+O8*4</f>
        <v>491591.73333333334</v>
      </c>
      <c r="AC6">
        <f>+O9*4</f>
        <v>478886.30288330442</v>
      </c>
      <c r="AD6">
        <f>+O10*4</f>
        <v>467002.26666666666</v>
      </c>
      <c r="AE6">
        <f>+O11*4</f>
        <v>454416.93333333335</v>
      </c>
      <c r="AF6">
        <f>+O12*4</f>
        <v>443827.6</v>
      </c>
      <c r="AG6">
        <f>+O13*4</f>
        <v>435376.8</v>
      </c>
      <c r="AH6">
        <f>+O14*6</f>
        <v>656390.75814245932</v>
      </c>
    </row>
    <row r="7" spans="1:40">
      <c r="A7" s="11">
        <f>IF(AND(A6&lt;$B$2)*(A6&lt;&gt;0),1+A6," ")</f>
        <v>4</v>
      </c>
      <c r="B7" s="61">
        <f>IF(A7=" "," ",+F6)</f>
        <v>262613611.19764176</v>
      </c>
      <c r="C7" s="61">
        <f>IF(A7=" "," ",+B7*I6)</f>
        <v>3764128.4271661979</v>
      </c>
      <c r="D7" s="61">
        <v>6279599</v>
      </c>
      <c r="E7" s="61">
        <f>IF(A7=" "," ",+J6)</f>
        <v>10043726.823463203</v>
      </c>
      <c r="F7" s="61">
        <f>+B7-D7</f>
        <v>256334012.19764176</v>
      </c>
      <c r="G7" s="54">
        <v>8.7599999999999997E-2</v>
      </c>
      <c r="H7" s="54">
        <f>IF(A7=" "," ",+H6)</f>
        <v>8.5000000000000006E-2</v>
      </c>
      <c r="I7" s="63">
        <f>IF(A7=" "," ",((G7+H7)/12))</f>
        <v>1.4383333333333333E-2</v>
      </c>
      <c r="J7" s="59">
        <f>PMT(I7,K7,-F7,0)</f>
        <v>10051298.82631107</v>
      </c>
      <c r="K7" s="64">
        <f>IF(A4=" "," ",+$B$2-A7)</f>
        <v>32</v>
      </c>
      <c r="L7">
        <f>IF(A7&lt;&gt;" ",+L6," ")</f>
        <v>15</v>
      </c>
      <c r="M7">
        <f>IF(AND(A7&lt;&gt;" ")*(M6=12),1,1+M6)</f>
        <v>8</v>
      </c>
      <c r="N7">
        <f>IF(AND(A7&lt;&gt;" ")*(M7=1),1+N6,N6)</f>
        <v>2025</v>
      </c>
      <c r="O7" s="20">
        <f>3764128/30</f>
        <v>125470.93333333333</v>
      </c>
      <c r="P7" s="32">
        <f>+O7*15</f>
        <v>1882064</v>
      </c>
      <c r="Q7" s="58">
        <v>45911</v>
      </c>
      <c r="R7" s="57">
        <v>3925774</v>
      </c>
      <c r="S7" s="57">
        <v>6279599</v>
      </c>
      <c r="T7" s="57">
        <f>+T6-S7</f>
        <v>256334012</v>
      </c>
      <c r="U7" s="60">
        <v>94627</v>
      </c>
      <c r="V7" s="57">
        <f>+R7+S7+U7</f>
        <v>10300000</v>
      </c>
      <c r="Y7" s="4"/>
    </row>
    <row r="8" spans="1:40" ht="15" customHeight="1">
      <c r="A8" s="11">
        <f>IF(AND(A7&lt;$B$2)*(A7&lt;&gt;0),1+A7," ")</f>
        <v>5</v>
      </c>
      <c r="B8" s="61">
        <f>IF(A8=" "," ",+F7)</f>
        <v>256334012.19764176</v>
      </c>
      <c r="C8" s="61">
        <f>IF(A8=" "," ",+B8*I7)</f>
        <v>3686937.542109414</v>
      </c>
      <c r="D8" s="61">
        <f>+S8</f>
        <v>6364361</v>
      </c>
      <c r="E8" s="61">
        <f>IF(A8=" "," ",+J7)</f>
        <v>10051298.82631107</v>
      </c>
      <c r="F8" s="61">
        <f>+B8-D8</f>
        <v>249969651.19764176</v>
      </c>
      <c r="G8" s="62">
        <v>8.7419999999999998E-2</v>
      </c>
      <c r="H8" s="54">
        <f>IF(A8=" "," ",+H7)</f>
        <v>8.5000000000000006E-2</v>
      </c>
      <c r="I8" s="63">
        <f>IF(A8=" "," ",((G8+H8)/12))</f>
        <v>1.4368333333333335E-2</v>
      </c>
      <c r="J8" s="59">
        <f>PMT(I8,K8,-F8,0)</f>
        <v>10049090.124975059</v>
      </c>
      <c r="K8" s="64">
        <f>IF(A5=" "," ",+$B$2-A8)</f>
        <v>31</v>
      </c>
      <c r="L8">
        <f>IF(A8&lt;&gt;" ",+L7," ")</f>
        <v>15</v>
      </c>
      <c r="M8">
        <f>IF(AND(A8&lt;&gt;" ")*(M7=12),1,1+M7)</f>
        <v>9</v>
      </c>
      <c r="N8">
        <f>IF(AND(A8&lt;&gt;" ")*(M8=1),1+N7,N7)</f>
        <v>2025</v>
      </c>
      <c r="O8" s="20">
        <f>3686938/30</f>
        <v>122897.93333333333</v>
      </c>
      <c r="P8" s="32">
        <f>+O8*15</f>
        <v>1843469</v>
      </c>
      <c r="Q8" s="58">
        <v>45946</v>
      </c>
      <c r="R8" s="57">
        <v>3519525</v>
      </c>
      <c r="S8" s="57">
        <v>6364361</v>
      </c>
      <c r="T8" s="57">
        <f>+T7-S8</f>
        <v>249969651</v>
      </c>
      <c r="U8" s="60">
        <v>116114</v>
      </c>
      <c r="V8" s="57">
        <f>+R8+S8+U8</f>
        <v>10000000</v>
      </c>
      <c r="X8" s="42">
        <v>45748</v>
      </c>
      <c r="Y8" s="42">
        <v>45778</v>
      </c>
      <c r="Z8" s="42">
        <v>45809</v>
      </c>
      <c r="AA8" s="42">
        <v>45839</v>
      </c>
      <c r="AB8" s="42">
        <v>45870</v>
      </c>
      <c r="AC8" s="42">
        <v>45901</v>
      </c>
      <c r="AD8" s="42">
        <v>45931</v>
      </c>
      <c r="AE8" s="42">
        <v>45962</v>
      </c>
      <c r="AF8" s="42">
        <v>45992</v>
      </c>
      <c r="AG8" s="42">
        <v>46023</v>
      </c>
      <c r="AH8" s="42">
        <v>46054</v>
      </c>
      <c r="AI8" s="42">
        <v>46082</v>
      </c>
      <c r="AJ8" s="42">
        <v>46113</v>
      </c>
      <c r="AK8" s="42">
        <v>46143</v>
      </c>
      <c r="AL8" s="42">
        <v>46174</v>
      </c>
      <c r="AM8" s="42">
        <v>46204</v>
      </c>
      <c r="AN8" s="42">
        <v>46235</v>
      </c>
    </row>
    <row r="9" spans="1:40">
      <c r="A9" s="11">
        <f>IF(AND(A8&lt;$B$2)*(A8&lt;&gt;0),1+A8," ")</f>
        <v>6</v>
      </c>
      <c r="B9" s="61">
        <f>IF(A9=" "," ",+F8)</f>
        <v>249969651.19764176</v>
      </c>
      <c r="C9" s="61">
        <f>IF(A9=" "," ",+B9*I8)</f>
        <v>3591647.2716247831</v>
      </c>
      <c r="D9" s="61">
        <f>6370765+86678</f>
        <v>6457443</v>
      </c>
      <c r="E9" s="61">
        <f>IF(A9=" "," ",+J8)</f>
        <v>10049090.124975059</v>
      </c>
      <c r="F9" s="61">
        <f>+B9-D9</f>
        <v>243512208.19764176</v>
      </c>
      <c r="G9" s="78">
        <v>8.7599999999999997E-2</v>
      </c>
      <c r="H9" s="54">
        <f>IF(A9=" "," ",+H8)</f>
        <v>8.5000000000000006E-2</v>
      </c>
      <c r="I9" s="63">
        <f>IF(A9=" "," ",((G9+H9)/12))</f>
        <v>1.4383333333333333E-2</v>
      </c>
      <c r="J9" s="59">
        <f>PMT(I9,K9,-F9,0)</f>
        <v>10051235.232143652</v>
      </c>
      <c r="K9" s="64">
        <f>IF(A6=" "," ",+$B$2-A9)</f>
        <v>30</v>
      </c>
      <c r="L9">
        <f>IF(A9&lt;&gt;" ",+L8," ")</f>
        <v>15</v>
      </c>
      <c r="M9">
        <f>IF(AND(A9&lt;&gt;" ")*(M8=12),1,1+M8)</f>
        <v>10</v>
      </c>
      <c r="N9">
        <f>IF(AND(A9&lt;&gt;" ")*(M9=1),1+N8,N8)</f>
        <v>2025</v>
      </c>
      <c r="O9" s="20">
        <f>+C9/30</f>
        <v>119721.57572082611</v>
      </c>
      <c r="P9" s="32">
        <f>+O9*15</f>
        <v>1795823.6358123915</v>
      </c>
      <c r="Q9" s="58">
        <v>46008</v>
      </c>
      <c r="R9" s="57">
        <v>3498905</v>
      </c>
      <c r="S9" s="57">
        <v>6370765</v>
      </c>
      <c r="T9" s="57">
        <f>+T8-S9</f>
        <v>243598886</v>
      </c>
      <c r="U9" s="60">
        <v>230330</v>
      </c>
      <c r="V9" s="57">
        <f>+R9+S9+U9</f>
        <v>10100000</v>
      </c>
      <c r="X9" s="21">
        <f>+P4</f>
        <v>2042537.4319666666</v>
      </c>
      <c r="Y9" s="21">
        <f>+C4-X9</f>
        <v>2042537.4319666666</v>
      </c>
      <c r="Z9" s="21">
        <f>+O5*15+4</f>
        <v>1977545.3296500002</v>
      </c>
      <c r="AA9" s="21">
        <f>+O6*15+6</f>
        <v>1931782</v>
      </c>
      <c r="AB9" s="21">
        <f>+O7*15+9</f>
        <v>1882073</v>
      </c>
      <c r="AC9" s="21">
        <f>+O8*15+7</f>
        <v>1843476</v>
      </c>
      <c r="AD9" s="21">
        <f>+O9*15</f>
        <v>1795823.6358123915</v>
      </c>
      <c r="AE9" s="21">
        <f>+O10*15+2</f>
        <v>1751260.5</v>
      </c>
      <c r="AF9" s="21">
        <f>+O11*15-1</f>
        <v>1704062.5</v>
      </c>
      <c r="AG9" s="21">
        <f>+O12*15</f>
        <v>1664353.5</v>
      </c>
      <c r="AH9" s="21">
        <f>+O13*15+1</f>
        <v>1632664</v>
      </c>
      <c r="AI9" s="21">
        <f>+O14*15-4</f>
        <v>1640972.8953561482</v>
      </c>
      <c r="AJ9" s="21">
        <f>+O15*15+1</f>
        <v>1625473.5</v>
      </c>
      <c r="AK9" s="21">
        <f>+O16*15+6</f>
        <v>1625189</v>
      </c>
      <c r="AL9" s="21">
        <f>+O17*15-2</f>
        <v>1563641.5</v>
      </c>
      <c r="AM9" s="21">
        <f>+O18*15+1</f>
        <v>1517856</v>
      </c>
      <c r="AN9" s="21">
        <f>+O19*15+6</f>
        <v>1507100</v>
      </c>
    </row>
    <row r="10" spans="1:40">
      <c r="A10" s="80">
        <f>IF(AND(A9&lt;$B$2)*(A9&lt;&gt;0),1+A9," ")</f>
        <v>7</v>
      </c>
      <c r="B10" s="81">
        <f>IF(A10=" "," ",+F9)</f>
        <v>243512208.19764176</v>
      </c>
      <c r="C10" s="81">
        <f>IF(A10=" "," ",+B10*I9)</f>
        <v>3502517.2612427473</v>
      </c>
      <c r="D10" s="81">
        <f>6453080+95638</f>
        <v>6548718</v>
      </c>
      <c r="E10" s="81">
        <f>IF(A10=" "," ",+J9)</f>
        <v>10051235.232143652</v>
      </c>
      <c r="F10" s="81">
        <f>+B10-D10</f>
        <v>236963490.19764176</v>
      </c>
      <c r="G10" s="82">
        <v>8.7590000000000001E-2</v>
      </c>
      <c r="H10" s="83">
        <f>IF(A10=" "," ",+H9)</f>
        <v>8.5000000000000006E-2</v>
      </c>
      <c r="I10" s="84">
        <f>IF(A10=" "," ",((G10+H10)/12))</f>
        <v>1.4382500000000001E-2</v>
      </c>
      <c r="J10" s="85">
        <f>PMT(I10,K10,-F10,0)</f>
        <v>10051119.603292231</v>
      </c>
      <c r="K10" s="86">
        <f>IF(A7=" "," ",+$B$2-A10)</f>
        <v>29</v>
      </c>
      <c r="L10" s="5">
        <f>IF(A10&lt;&gt;" ",+L9," ")</f>
        <v>15</v>
      </c>
      <c r="M10" s="5">
        <f>IF(AND(A10&lt;&gt;" ")*(M9=12),1,1+M9)</f>
        <v>11</v>
      </c>
      <c r="N10" s="5">
        <f>IF(AND(A10&lt;&gt;" ")*(M10=1),1+N9,N9)</f>
        <v>2025</v>
      </c>
      <c r="O10" s="20">
        <f>3502517/30</f>
        <v>116750.56666666667</v>
      </c>
      <c r="P10" s="32">
        <f>+O10*15</f>
        <v>1751258.5</v>
      </c>
      <c r="Q10" s="38">
        <v>46017</v>
      </c>
      <c r="R10" s="57">
        <v>3502517</v>
      </c>
      <c r="S10" s="57">
        <v>6539758</v>
      </c>
      <c r="T10" s="57">
        <f>+T9-S10</f>
        <v>237059128</v>
      </c>
      <c r="U10" s="60">
        <v>157725</v>
      </c>
      <c r="V10" s="57">
        <f>+R10+S10+U10</f>
        <v>10200000</v>
      </c>
      <c r="X10" s="35"/>
      <c r="Y10" s="36">
        <f>+P5</f>
        <v>1977541.3296500002</v>
      </c>
      <c r="Z10" s="36">
        <f>+P6</f>
        <v>1931776</v>
      </c>
      <c r="AA10" s="36">
        <f>+P7</f>
        <v>1882064</v>
      </c>
      <c r="AB10" s="36">
        <f>+P8</f>
        <v>1843469</v>
      </c>
      <c r="AC10" s="36">
        <f>+P9</f>
        <v>1795823.6358123915</v>
      </c>
      <c r="AD10" s="36">
        <f>+P10</f>
        <v>1751258.5</v>
      </c>
      <c r="AE10" s="36">
        <f>+P11</f>
        <v>1704063.5</v>
      </c>
      <c r="AF10" s="36">
        <f>+P12</f>
        <v>1664353.5</v>
      </c>
      <c r="AG10" s="36">
        <f>+P13</f>
        <v>1632663</v>
      </c>
      <c r="AH10" s="36">
        <f>+P14</f>
        <v>1640976.8953561482</v>
      </c>
      <c r="AI10" s="36">
        <f>+P15</f>
        <v>1625472.5</v>
      </c>
      <c r="AJ10" s="36">
        <f>+P16</f>
        <v>1625183</v>
      </c>
      <c r="AK10" s="36">
        <f>+P17</f>
        <v>1563643.5</v>
      </c>
      <c r="AL10" s="36">
        <f>+P18</f>
        <v>1517855</v>
      </c>
      <c r="AM10" s="36">
        <f>+P19</f>
        <v>1507094</v>
      </c>
      <c r="AN10" s="36">
        <f>+P20</f>
        <v>617395.22435723816</v>
      </c>
    </row>
    <row r="11" spans="1:40">
      <c r="A11" s="11">
        <f>IF(AND(A10&lt;$B$2)*(A10&lt;&gt;0),1+A10," ")</f>
        <v>8</v>
      </c>
      <c r="B11" s="61">
        <f>IF(A11=" "," ",+F10)</f>
        <v>236963490.19764176</v>
      </c>
      <c r="C11" s="61">
        <f>IF(A11=" "," ",+B11*I10)</f>
        <v>3408127.3977675829</v>
      </c>
      <c r="D11" s="61">
        <v>6642993</v>
      </c>
      <c r="E11" s="61">
        <f>IF(A11=" "," ",+J10)</f>
        <v>10051119.603292231</v>
      </c>
      <c r="F11" s="61">
        <f>+B11-D11</f>
        <v>230320497.19764176</v>
      </c>
      <c r="G11" s="62">
        <v>8.8429999999999995E-2</v>
      </c>
      <c r="H11" s="54">
        <f>IF(A11=" "," ",+H10)</f>
        <v>8.5000000000000006E-2</v>
      </c>
      <c r="I11" s="63">
        <f>IF(A11=" "," ",((G11+H11)/12))</f>
        <v>1.44525E-2</v>
      </c>
      <c r="J11" s="59">
        <f>PMT(I11,K11,-F11,0)</f>
        <v>10060534.777210424</v>
      </c>
      <c r="K11" s="64">
        <f>IF(A8=" "," ",+$B$2-A11)</f>
        <v>28</v>
      </c>
      <c r="L11">
        <f>IF(A11&lt;&gt;" ",+L10," ")</f>
        <v>15</v>
      </c>
      <c r="M11">
        <f>IF(AND(A11&lt;&gt;" ")*(M10=12),1,1+M10)</f>
        <v>12</v>
      </c>
      <c r="N11">
        <f>IF(AND(A11&lt;&gt;" ")*(M11=1),1+N10,N10)</f>
        <v>2025</v>
      </c>
      <c r="O11" s="20">
        <f>3408127/30</f>
        <v>113604.23333333334</v>
      </c>
      <c r="P11" s="32">
        <f>+O11*15</f>
        <v>1704063.5</v>
      </c>
      <c r="Q11" s="38">
        <v>46043</v>
      </c>
      <c r="R11" s="22">
        <v>3599639</v>
      </c>
      <c r="S11" s="22">
        <v>6738631</v>
      </c>
      <c r="T11" s="57">
        <f>+T10-S11</f>
        <v>230320497</v>
      </c>
      <c r="U11" s="75">
        <v>161730</v>
      </c>
      <c r="V11" s="22">
        <f>+R11+S11+U11</f>
        <v>10500000</v>
      </c>
      <c r="X11" s="21">
        <f>SUM(X9:X10)</f>
        <v>2042537.4319666666</v>
      </c>
      <c r="Y11" s="21">
        <f>SUM(Y9:Y10)</f>
        <v>4020078.7616166668</v>
      </c>
      <c r="Z11" s="21">
        <f>SUM(Z9:Z10)</f>
        <v>3909321.3296500002</v>
      </c>
      <c r="AA11" s="21">
        <f>SUM(AA9:AA10)</f>
        <v>3813846</v>
      </c>
      <c r="AB11" s="21">
        <f>SUM(AB9:AB10)</f>
        <v>3725542</v>
      </c>
      <c r="AC11" s="21">
        <f>SUM(AC9:AC10)</f>
        <v>3639299.6358123915</v>
      </c>
      <c r="AD11" s="21">
        <f>SUM(AD9:AD10)</f>
        <v>3547082.1358123915</v>
      </c>
      <c r="AE11" s="21">
        <f>SUM(AE9:AE10)</f>
        <v>3455324</v>
      </c>
      <c r="AF11" s="21">
        <f>SUM(AF9:AF10)</f>
        <v>3368416</v>
      </c>
      <c r="AG11" s="21">
        <f>+AG9+AG10</f>
        <v>3297016.5</v>
      </c>
      <c r="AH11" s="21">
        <f>+AH10+AH9</f>
        <v>3273640.8953561485</v>
      </c>
      <c r="AI11" s="21">
        <f>+AI10+AI9</f>
        <v>3266445.3953561485</v>
      </c>
      <c r="AJ11" s="21">
        <f>+AJ10+AJ9</f>
        <v>3250656.5</v>
      </c>
      <c r="AK11" s="21">
        <f>+AK10+AK9</f>
        <v>3188832.5</v>
      </c>
      <c r="AL11" s="21">
        <f>+AL10+AL9</f>
        <v>3081496.5</v>
      </c>
      <c r="AM11" s="21">
        <f>+AM10+AM9</f>
        <v>3024950</v>
      </c>
      <c r="AN11" s="21">
        <f>+AN10+AN9</f>
        <v>2124495.224357238</v>
      </c>
    </row>
    <row r="12" spans="1:40">
      <c r="A12" s="67">
        <f>IF(AND(A11&lt;$B$2)*(A11&lt;&gt;0),1+A11," ")</f>
        <v>9</v>
      </c>
      <c r="B12" s="61">
        <f>IF(A12=" "," ",+F11)</f>
        <v>230320497.19764176</v>
      </c>
      <c r="C12" s="61">
        <f>IF(A12=" "," ",+B12*I11)</f>
        <v>3328706.9857489173</v>
      </c>
      <c r="D12" s="61">
        <f>+S12</f>
        <v>6731828</v>
      </c>
      <c r="E12" s="61">
        <f>IF(A12=" "," ",+J11)</f>
        <v>10060534.777210424</v>
      </c>
      <c r="F12" s="61">
        <f>+B12-D12</f>
        <v>223588669.19764176</v>
      </c>
      <c r="G12" s="78">
        <v>9.0249999999999997E-2</v>
      </c>
      <c r="H12" s="54">
        <f>IF(A12=" "," ",+H11)</f>
        <v>8.5000000000000006E-2</v>
      </c>
      <c r="I12" s="63">
        <f>IF(A12=" "," ",((G12+H12)/12))</f>
        <v>1.4604166666666668E-2</v>
      </c>
      <c r="J12" s="59">
        <f>PMT(I12,K12,-F12,0)</f>
        <v>10080297.369145339</v>
      </c>
      <c r="K12" s="64">
        <f>IF(A9=" "," ",+$B$2-A12)</f>
        <v>27</v>
      </c>
      <c r="L12">
        <f>IF(A12&lt;&gt;" ",+L11," ")</f>
        <v>15</v>
      </c>
      <c r="M12">
        <f>IF(AND(A12&lt;&gt;" ")*(M11=12),1,1+M11)</f>
        <v>1</v>
      </c>
      <c r="N12">
        <f>IF(AND(A12&lt;&gt;" ")*(M12=1),1+N11,N11)</f>
        <v>2026</v>
      </c>
      <c r="O12" s="20">
        <f>3328707/30</f>
        <v>110956.9</v>
      </c>
      <c r="P12" s="32">
        <f>+O12*15</f>
        <v>1664353.5</v>
      </c>
      <c r="Q12" s="38">
        <v>46093</v>
      </c>
      <c r="R12" s="22">
        <v>3137195</v>
      </c>
      <c r="S12" s="22">
        <v>6731828</v>
      </c>
      <c r="T12" s="22">
        <f>+T11-S12</f>
        <v>223588669</v>
      </c>
      <c r="U12" s="75">
        <v>230977</v>
      </c>
      <c r="V12" s="22">
        <f>+R12+S12+U12</f>
        <v>10100000</v>
      </c>
    </row>
    <row r="13" spans="1:40">
      <c r="A13" s="67">
        <f>IF(AND(A12&lt;$B$2)*(A12&lt;&gt;0),1+A12," ")</f>
        <v>10</v>
      </c>
      <c r="B13" s="61">
        <f>IF(A13=" "," ",+F12)</f>
        <v>223588669.19764176</v>
      </c>
      <c r="C13" s="61">
        <f>IF(A13=" "," ",+B13*I12)</f>
        <v>3265326.18974056</v>
      </c>
      <c r="D13" s="61">
        <f>6662441+152530</f>
        <v>6814971</v>
      </c>
      <c r="E13" s="61">
        <f>IF(A13=" "," ",+J12)</f>
        <v>10080297.369145339</v>
      </c>
      <c r="F13" s="61">
        <f>+B13-D13</f>
        <v>216773698.19764176</v>
      </c>
      <c r="G13" s="78">
        <v>9.6680000000000002E-2</v>
      </c>
      <c r="H13" s="33">
        <f>IF(A13=" "," ",+H12)</f>
        <v>8.5000000000000006E-2</v>
      </c>
      <c r="I13" s="8">
        <f>IF(A13=" "," ",((G13+H13)/12))</f>
        <v>1.5140000000000001E-2</v>
      </c>
      <c r="J13" s="2">
        <f>PMT(I13,K13,-F13,0)</f>
        <v>10147964.59090171</v>
      </c>
      <c r="K13" s="64">
        <f>IF(A10=" "," ",+$B$2-A13)</f>
        <v>26</v>
      </c>
      <c r="L13">
        <f>IF(A13&lt;&gt;" ",+L12," ")</f>
        <v>15</v>
      </c>
      <c r="M13">
        <f>IF(AND(A13&lt;&gt;" ")*(M12=12),1,1+M12)</f>
        <v>2</v>
      </c>
      <c r="N13">
        <f>IF(AND(A13&lt;&gt;" ")*(M13=1),1+N12,N12)</f>
        <v>2026</v>
      </c>
      <c r="O13" s="20">
        <f>3265326/30</f>
        <v>108844.2</v>
      </c>
      <c r="P13" s="32">
        <f>+O13*15</f>
        <v>1632663</v>
      </c>
      <c r="Q13" s="38">
        <v>46111</v>
      </c>
      <c r="R13" s="22">
        <v>3265326</v>
      </c>
      <c r="S13" s="22">
        <v>6662441</v>
      </c>
      <c r="T13" s="22">
        <f>+T12-S13</f>
        <v>216926228</v>
      </c>
      <c r="U13" s="75">
        <v>172233</v>
      </c>
      <c r="V13" s="22">
        <f>+R13+S13+U13</f>
        <v>10100000</v>
      </c>
      <c r="X13" s="21">
        <f>+Y9+X10</f>
        <v>2042537.4319666666</v>
      </c>
      <c r="Y13" s="21">
        <f>+Z9+Y10</f>
        <v>3955086.6593000004</v>
      </c>
      <c r="Z13" s="21">
        <f>+AA9+Z10</f>
        <v>3863558</v>
      </c>
      <c r="AA13" s="21">
        <f>+AB9+AA10</f>
        <v>3764137</v>
      </c>
      <c r="AB13" s="21">
        <f>+AC9+AB10</f>
        <v>3686945</v>
      </c>
      <c r="AC13" s="21">
        <f>+AD9+AC10</f>
        <v>3591647.2716247831</v>
      </c>
      <c r="AD13" s="21">
        <f>+AD10+AE9</f>
        <v>3502519</v>
      </c>
      <c r="AE13" s="21">
        <f>+AE10+AF9</f>
        <v>3408126</v>
      </c>
      <c r="AF13" s="21">
        <f>+AF10+AG9</f>
        <v>3328707</v>
      </c>
      <c r="AG13" s="21">
        <f>+AH9+AG10</f>
        <v>3265327</v>
      </c>
      <c r="AH13" s="21">
        <f>+AI9+AH10</f>
        <v>3281949.7907122965</v>
      </c>
      <c r="AI13" s="21">
        <f>+AJ9+AI10</f>
        <v>3250946</v>
      </c>
      <c r="AJ13" s="21"/>
    </row>
    <row r="14" spans="1:40">
      <c r="A14" s="67">
        <f>IF(AND(A13&lt;$B$2)*(A13&lt;&gt;0),1+A13," ")</f>
        <v>11</v>
      </c>
      <c r="B14" s="61">
        <f>IF(A14=" "," ",+F13)</f>
        <v>216773698.19764176</v>
      </c>
      <c r="C14" s="61">
        <f>IF(A14=" "," ",+B14*I13)</f>
        <v>3281953.7907122965</v>
      </c>
      <c r="D14" s="61">
        <f>6528406+337605</f>
        <v>6866011</v>
      </c>
      <c r="E14" s="61">
        <f>IF(A14=" "," ",+J13)</f>
        <v>10147964.59090171</v>
      </c>
      <c r="F14" s="61">
        <f>+B14-D14</f>
        <v>209907687.19764176</v>
      </c>
      <c r="G14" s="54">
        <v>0.10085</v>
      </c>
      <c r="H14" s="54">
        <f>IF(A14=" "," ",+H13)</f>
        <v>8.5000000000000006E-2</v>
      </c>
      <c r="I14" s="63">
        <f>IF(A14=" "," ",((G14+H14)/12))</f>
        <v>1.5487500000000001E-2</v>
      </c>
      <c r="J14" s="59">
        <f>PMT(I14,K14,-F14,0)</f>
        <v>10190467.097906528</v>
      </c>
      <c r="K14" s="64">
        <f>IF(A11=" "," ",+$B$2-A14)</f>
        <v>25</v>
      </c>
      <c r="L14">
        <f>IF(A14&lt;&gt;" ",+L13," ")</f>
        <v>15</v>
      </c>
      <c r="M14">
        <f>IF(AND(A14&lt;&gt;" ")*(M13=12),1,1+M13)</f>
        <v>3</v>
      </c>
      <c r="N14">
        <f>IF(AND(A14&lt;&gt;" ")*(M14=1),1+N13,N13)</f>
        <v>2026</v>
      </c>
      <c r="O14" s="20">
        <f>+C14/30</f>
        <v>109398.45969040989</v>
      </c>
      <c r="P14" s="32">
        <f>+O14*15</f>
        <v>1640976.8953561482</v>
      </c>
      <c r="Q14" s="38">
        <v>46129</v>
      </c>
      <c r="R14" s="22">
        <v>3281954</v>
      </c>
      <c r="S14" s="22">
        <v>6680936</v>
      </c>
      <c r="T14" s="22">
        <f>+T13-S14</f>
        <v>210245292</v>
      </c>
      <c r="U14" s="75">
        <v>137110</v>
      </c>
      <c r="V14" s="22">
        <f>+R14+S14+U14</f>
        <v>10100000</v>
      </c>
    </row>
    <row r="15" spans="1:40">
      <c r="A15" s="67">
        <f>IF(AND(A14&lt;$B$2)*(A14&lt;&gt;0),1+A14," ")</f>
        <v>12</v>
      </c>
      <c r="B15" s="61">
        <f>IF(A15=" "," ",+F14)</f>
        <v>209907687.19764176</v>
      </c>
      <c r="C15" s="61">
        <f>IF(A15=" "," ",+B15*I14)</f>
        <v>3250945.3054734771</v>
      </c>
      <c r="D15" s="61">
        <f>6408139+531383</f>
        <v>6939522</v>
      </c>
      <c r="E15" s="61">
        <f>IF(A15=" "," ",+J14)</f>
        <v>10190467.097906528</v>
      </c>
      <c r="F15" s="61">
        <f>+B15-D15</f>
        <v>202968165.19764176</v>
      </c>
      <c r="G15" s="54">
        <v>0.10717</v>
      </c>
      <c r="H15" s="54">
        <f>IF(A15=" "," ",+H14)</f>
        <v>8.5000000000000006E-2</v>
      </c>
      <c r="I15" s="63">
        <f>IF(A15=" "," ",((G15+H15)/12))</f>
        <v>1.6014166666666666E-2</v>
      </c>
      <c r="J15" s="59">
        <f>PMT(I15,K15,-F15,0)</f>
        <v>10252756.192020906</v>
      </c>
      <c r="K15" s="64">
        <f>IF(A12=" "," ",+$B$2-A15)</f>
        <v>24</v>
      </c>
      <c r="L15">
        <f>IF(A15&lt;&gt;" ",+L14," ")</f>
        <v>15</v>
      </c>
      <c r="M15">
        <f>IF(AND(A15&lt;&gt;" ")*(M14=12),1,1+M14)</f>
        <v>4</v>
      </c>
      <c r="N15">
        <f>IF(AND(A15&lt;&gt;" ")*(M15=1),1+N14,N14)</f>
        <v>2026</v>
      </c>
      <c r="O15" s="20">
        <f>3250945/30</f>
        <v>108364.83333333333</v>
      </c>
      <c r="P15" s="32">
        <f>+O15*15</f>
        <v>1625472.5</v>
      </c>
      <c r="Q15" s="38">
        <v>46170</v>
      </c>
      <c r="R15" s="22">
        <v>3250945</v>
      </c>
      <c r="S15" s="22">
        <v>6745744</v>
      </c>
      <c r="T15" s="22">
        <f>+T14-S15</f>
        <v>203499548</v>
      </c>
      <c r="U15" s="75">
        <v>203311</v>
      </c>
      <c r="V15" s="22">
        <f>+R15+S15+U15</f>
        <v>10200000</v>
      </c>
      <c r="AM15" s="21"/>
    </row>
    <row r="16" spans="1:40">
      <c r="A16" s="67">
        <f>IF(AND(A15&lt;$B$2)*(A15&lt;&gt;0),1+A15," ")</f>
        <v>13</v>
      </c>
      <c r="B16" s="61">
        <f>IF(A16=" "," ",+F15)</f>
        <v>202968165.19764176</v>
      </c>
      <c r="C16" s="61">
        <f>IF(A16=" "," ",+B16*I15)</f>
        <v>3250366.0255025681</v>
      </c>
      <c r="D16" s="61">
        <f>6254783+747607</f>
        <v>7002390</v>
      </c>
      <c r="E16" s="61">
        <f>IF(A16=" "," ",+J15)</f>
        <v>10252756.192020906</v>
      </c>
      <c r="F16" s="61">
        <f>+B16-D16</f>
        <v>195965775.19764176</v>
      </c>
      <c r="G16" s="54">
        <v>0.1065</v>
      </c>
      <c r="H16" s="54">
        <f>IF(A16=" "," ",+H15)</f>
        <v>8.5000000000000006E-2</v>
      </c>
      <c r="I16" s="63">
        <f>IF(A16=" "," ",((G16+H16)/12))</f>
        <v>1.5958333333333335E-2</v>
      </c>
      <c r="J16" s="59">
        <f>PMT(I16,K16,-F16,0)</f>
        <v>10246389.233365061</v>
      </c>
      <c r="K16" s="64">
        <f>IF(A13=" "," ",+$B$2-A16)</f>
        <v>23</v>
      </c>
      <c r="L16">
        <f>IF(A16&lt;&gt;" ",+L15," ")</f>
        <v>15</v>
      </c>
      <c r="M16">
        <f>IF(AND(A16&lt;&gt;" ")*(M15=12),1,1+M15)</f>
        <v>5</v>
      </c>
      <c r="N16">
        <f>IF(AND(A16&lt;&gt;" ")*(M16=1),1+N15,N15)</f>
        <v>2026</v>
      </c>
      <c r="O16" s="20">
        <f>3250366/30</f>
        <v>108345.53333333334</v>
      </c>
      <c r="P16" s="32">
        <f>+O16*15</f>
        <v>1625183</v>
      </c>
      <c r="Q16" s="38">
        <v>46190</v>
      </c>
      <c r="R16" s="22">
        <v>3250366</v>
      </c>
      <c r="S16" s="22">
        <v>6786166</v>
      </c>
      <c r="T16" s="22">
        <f>+T15-S16</f>
        <v>196713382</v>
      </c>
      <c r="U16" s="75">
        <v>163468</v>
      </c>
      <c r="V16" s="22">
        <f>+R16+S16+U16</f>
        <v>10200000</v>
      </c>
      <c r="AA16" s="21"/>
      <c r="AK16" s="21"/>
      <c r="AL16" s="21"/>
      <c r="AN16" s="21"/>
    </row>
    <row r="17" spans="1:36">
      <c r="A17" s="67">
        <f>IF(AND(A16&lt;$B$2)*(A16&lt;&gt;0),1+A16," ")</f>
        <v>14</v>
      </c>
      <c r="B17" s="61">
        <f>IF(A17=" "," ",+F16)</f>
        <v>195965775.19764176</v>
      </c>
      <c r="C17" s="61">
        <f>IF(A17=" "," ",+B17*I16)</f>
        <v>3127287.1625290331</v>
      </c>
      <c r="D17" s="61">
        <f>6103022+1016080</f>
        <v>7119102</v>
      </c>
      <c r="E17" s="61">
        <f>IF(A17=" "," ",+J16)</f>
        <v>10246389.233365061</v>
      </c>
      <c r="F17" s="61">
        <f>+B17-D17</f>
        <v>188846673.19764176</v>
      </c>
      <c r="G17" s="54">
        <v>0.1079</v>
      </c>
      <c r="H17" s="54">
        <f>IF(A17=" "," ",+H16)</f>
        <v>8.5000000000000006E-2</v>
      </c>
      <c r="I17" s="63">
        <f>IF(A17=" "," ",((G17+H17)/12))</f>
        <v>1.6075000000000002E-2</v>
      </c>
      <c r="J17" s="59">
        <f>PMT(I17,K17,-F17,0)</f>
        <v>10259176.77797607</v>
      </c>
      <c r="K17" s="64">
        <f>IF(A14=" "," ",+$B$2-A17)</f>
        <v>22</v>
      </c>
      <c r="L17">
        <f>IF(A17&lt;&gt;" ",+L16," ")</f>
        <v>15</v>
      </c>
      <c r="M17">
        <f>IF(AND(A17&lt;&gt;" ")*(M16=12),1,1+M16)</f>
        <v>6</v>
      </c>
      <c r="N17">
        <f>IF(AND(A17&lt;&gt;" ")*(M17=1),1+N16,N16)</f>
        <v>2026</v>
      </c>
      <c r="O17" s="21">
        <f>3127287/30</f>
        <v>104242.9</v>
      </c>
      <c r="P17" s="32">
        <f>+O17*15</f>
        <v>1563643.5</v>
      </c>
      <c r="Q17" s="38">
        <v>46210</v>
      </c>
      <c r="R17" s="22">
        <v>3127287</v>
      </c>
      <c r="S17" s="22">
        <v>6850629</v>
      </c>
      <c r="T17" s="22">
        <f>+T16-S17</f>
        <v>189862753</v>
      </c>
      <c r="U17" s="75">
        <v>122084</v>
      </c>
      <c r="V17" s="22">
        <f>+R17+S17+U17</f>
        <v>10100000</v>
      </c>
      <c r="AH17" s="87"/>
      <c r="AI17" s="21"/>
    </row>
    <row r="18" spans="1:36">
      <c r="A18" s="67">
        <f>IF(AND(A17&lt;$B$2)*(A17&lt;&gt;0),1+A17," ")</f>
        <v>15</v>
      </c>
      <c r="B18" s="61">
        <f>IF(A18=" "," ",+F17)</f>
        <v>188846673.19764176</v>
      </c>
      <c r="C18" s="61">
        <f>IF(A18=" "," ",+B18*I17)</f>
        <v>3035710.2716520918</v>
      </c>
      <c r="D18" s="61">
        <f>7176012+S19</f>
        <v>7223467</v>
      </c>
      <c r="E18" s="61">
        <f>IF(A18=" "," ",+J17)</f>
        <v>10259176.77797607</v>
      </c>
      <c r="F18" s="61">
        <f>+B18-D18</f>
        <v>181623206.19764176</v>
      </c>
      <c r="G18" s="54">
        <v>0.11415</v>
      </c>
      <c r="H18" s="54">
        <f>IF(A18=" "," ",+H17)</f>
        <v>8.5000000000000006E-2</v>
      </c>
      <c r="I18" s="63">
        <f>IF(A18=" "," ",((G18+H18)/12))</f>
        <v>1.6595833333333334E-2</v>
      </c>
      <c r="J18" s="59">
        <f>PMT(I18,K18,-F18,0)</f>
        <v>10314037.191590343</v>
      </c>
      <c r="K18" s="64">
        <f>IF(A15=" "," ",+$B$2-A18)</f>
        <v>21</v>
      </c>
      <c r="L18">
        <f>IF(A18&lt;&gt;" ",+L17," ")</f>
        <v>15</v>
      </c>
      <c r="M18">
        <f>IF(AND(A18&lt;&gt;" ")*(M17=12),1,1+M17)</f>
        <v>7</v>
      </c>
      <c r="N18">
        <f>IF(AND(A18&lt;&gt;" ")*(M18=1),1+N17,N17)</f>
        <v>2026</v>
      </c>
      <c r="O18" s="21">
        <f>3035710/30</f>
        <v>101190.33333333333</v>
      </c>
      <c r="P18" s="32">
        <f>+O18*15</f>
        <v>1517855</v>
      </c>
      <c r="Q18" s="38">
        <v>46227</v>
      </c>
      <c r="R18" s="22">
        <v>3035710</v>
      </c>
      <c r="S18" s="22">
        <v>8192092</v>
      </c>
      <c r="T18" s="22">
        <f>+T17-S18</f>
        <v>181670661</v>
      </c>
      <c r="U18" s="75">
        <v>59198</v>
      </c>
      <c r="V18" s="22">
        <f>+R18+S18+U18</f>
        <v>11287000</v>
      </c>
      <c r="Y18" s="20"/>
      <c r="AB18" s="20"/>
      <c r="AC18" s="20"/>
      <c r="AD18" s="21"/>
      <c r="AH18" s="88"/>
      <c r="AI18" s="89"/>
      <c r="AJ18" s="21"/>
    </row>
    <row r="19" spans="1:36" ht="15" customHeight="1">
      <c r="A19" s="67">
        <f>IF(AND(A18&lt;$B$2)*(A18&lt;&gt;0),1+A18," ")</f>
        <v>16</v>
      </c>
      <c r="B19" s="61">
        <f>IF(A19=" "," ",+F18)</f>
        <v>181623206.19764176</v>
      </c>
      <c r="C19" s="61">
        <f>IF(A19=" "," ",+B19*I18)</f>
        <v>3014188.4595216964</v>
      </c>
      <c r="D19" s="61">
        <f>+E19-C19</f>
        <v>7299848.7320686467</v>
      </c>
      <c r="E19" s="61">
        <f>IF(A19=" "," ",+J18)</f>
        <v>10314037.191590343</v>
      </c>
      <c r="F19" s="61">
        <f>+B19-D19</f>
        <v>174323357.4655731</v>
      </c>
      <c r="G19" s="54">
        <v>0</v>
      </c>
      <c r="H19" s="54">
        <f>IF(A19=" "," ",+H18)</f>
        <v>8.5000000000000006E-2</v>
      </c>
      <c r="I19" s="63">
        <f>IF(A19=" "," ",((G19+H19)/12))</f>
        <v>7.0833333333333338E-3</v>
      </c>
      <c r="J19" s="59">
        <f>PMT(I19,K19,-F19,0)</f>
        <v>9378917.7230571881</v>
      </c>
      <c r="K19" s="64">
        <f>IF(A16=" "," ",+$B$2-A19)</f>
        <v>20</v>
      </c>
      <c r="L19">
        <f>IF(A19&lt;&gt;" ",+L18," ")</f>
        <v>15</v>
      </c>
      <c r="M19">
        <f>IF(AND(A19&lt;&gt;" ")*(M18=12),1,1+M18)</f>
        <v>8</v>
      </c>
      <c r="N19">
        <f>IF(AND(A19&lt;&gt;" ")*(M19=1),1+N18,N18)</f>
        <v>2026</v>
      </c>
      <c r="O19" s="21">
        <f>3014188/30</f>
        <v>100472.93333333333</v>
      </c>
      <c r="P19" s="32">
        <f>+O19*15</f>
        <v>1507094</v>
      </c>
      <c r="Q19" s="38">
        <v>46231</v>
      </c>
      <c r="R19" s="22">
        <v>52136</v>
      </c>
      <c r="S19" s="22">
        <v>47455</v>
      </c>
      <c r="T19" s="22">
        <f>+T18-S19</f>
        <v>181623206</v>
      </c>
      <c r="U19" s="75">
        <v>409</v>
      </c>
      <c r="V19" s="22">
        <f>+R19+S19+U19</f>
        <v>100000</v>
      </c>
      <c r="AB19" s="20"/>
      <c r="AC19" s="20"/>
      <c r="AD19" s="21"/>
    </row>
    <row r="20" spans="1:36" ht="15" customHeight="1">
      <c r="A20" s="79">
        <f>IF(AND(A19&lt;$B$2)*(A19&lt;&gt;0),1+A19," ")</f>
        <v>17</v>
      </c>
      <c r="B20" s="68">
        <f>IF(A20=" "," ",+F19)</f>
        <v>174323357.4655731</v>
      </c>
      <c r="C20" s="68">
        <f>IF(A20=" "," ",+B20*I19)</f>
        <v>1234790.4487144763</v>
      </c>
      <c r="D20" s="68">
        <f>+E20-C20</f>
        <v>8144127.274342712</v>
      </c>
      <c r="E20" s="68">
        <f>IF(A20=" "," ",+J19)</f>
        <v>9378917.7230571881</v>
      </c>
      <c r="F20" s="68">
        <f>+B20-D20</f>
        <v>166179230.19123039</v>
      </c>
      <c r="G20" s="74">
        <v>0</v>
      </c>
      <c r="H20" s="69">
        <f>IF(A20=" "," ",+H19)</f>
        <v>8.5000000000000006E-2</v>
      </c>
      <c r="I20" s="70">
        <f>IF(A20=" "," ",((G20+H20)/12))</f>
        <v>7.0833333333333338E-3</v>
      </c>
      <c r="J20" s="71">
        <f>PMT(I20,K20,-F20,0)</f>
        <v>9378917.7230571881</v>
      </c>
      <c r="K20" s="72">
        <f>IF(A17=" "," ",+$B$2-A20)</f>
        <v>19</v>
      </c>
      <c r="L20" s="73">
        <f>IF(A20&lt;&gt;" ",+L19," ")</f>
        <v>15</v>
      </c>
      <c r="M20" s="73">
        <f>IF(AND(A20&lt;&gt;" ")*(M19=12),1,1+M19)</f>
        <v>9</v>
      </c>
      <c r="N20" s="73">
        <f>IF(AND(A20&lt;&gt;" ")*(M20=1),1+N19,N19)</f>
        <v>2026</v>
      </c>
      <c r="O20" s="21">
        <f>+C20/30</f>
        <v>41159.681623815879</v>
      </c>
      <c r="P20" s="32">
        <f>+O20*15</f>
        <v>617395.22435723816</v>
      </c>
      <c r="Q20" s="38">
        <v>46252</v>
      </c>
      <c r="R20" s="40">
        <v>3000151</v>
      </c>
      <c r="S20" s="40">
        <v>7299849</v>
      </c>
      <c r="T20" s="22">
        <f>+T19-S20</f>
        <v>174323357</v>
      </c>
      <c r="U20" s="40"/>
      <c r="V20" s="22">
        <f>+R20+S20+U20</f>
        <v>10300000</v>
      </c>
      <c r="AB20" s="20"/>
      <c r="AC20" s="20"/>
      <c r="AD20" s="21"/>
      <c r="AF20" s="21"/>
      <c r="AG20" s="21"/>
    </row>
    <row r="21" spans="1:36">
      <c r="A21" s="11">
        <f>IF(AND(A20&lt;$B$2)*(A20&lt;&gt;0),1+A20," ")</f>
        <v>18</v>
      </c>
      <c r="B21" s="59">
        <f>IF(A21=" "," ",+F20)</f>
        <v>166179230.19123039</v>
      </c>
      <c r="C21" s="59">
        <f>IF(A21=" "," ",+B21*I20)</f>
        <v>1177102.8805212153</v>
      </c>
      <c r="D21" s="61">
        <f>+E21-C21</f>
        <v>8201814.8425359726</v>
      </c>
      <c r="E21" s="61">
        <f>IF(A21=" "," ",+J20)</f>
        <v>9378917.7230571881</v>
      </c>
      <c r="F21" s="59">
        <f>+B21-D21</f>
        <v>157977415.34869441</v>
      </c>
      <c r="G21" s="54">
        <v>8.9520000000000002E-2</v>
      </c>
      <c r="H21" s="54">
        <f>IF(A21=" "," ",+H20)</f>
        <v>8.5000000000000006E-2</v>
      </c>
      <c r="I21" s="63">
        <f>IF(A21=" "," ",((G21+H21)/12))</f>
        <v>1.4543333333333333E-2</v>
      </c>
      <c r="J21" s="59">
        <f>PMT(I21,K21,-F21,0)</f>
        <v>10038652.022480071</v>
      </c>
      <c r="K21" s="64">
        <f>IF(A18=" "," ",+$B$2-A21)</f>
        <v>18</v>
      </c>
      <c r="L21">
        <f>IF(A21&lt;&gt;" ",+L20," ")</f>
        <v>15</v>
      </c>
      <c r="M21">
        <f>IF(AND(A21&lt;&gt;" ")*(M20=12),1,1+M20)</f>
        <v>10</v>
      </c>
      <c r="N21">
        <f>IF(AND(A21&lt;&gt;" ")*(M21=1),1+N20,N20)</f>
        <v>2026</v>
      </c>
      <c r="O21" s="21"/>
      <c r="P21" s="32"/>
      <c r="Q21" s="39"/>
      <c r="R21" s="41"/>
      <c r="S21" s="39"/>
      <c r="T21" s="39"/>
      <c r="U21" s="39"/>
      <c r="V21" s="39"/>
      <c r="AB21" s="20"/>
      <c r="AC21" s="20"/>
      <c r="AD21" s="21"/>
    </row>
    <row r="22" spans="1:36">
      <c r="A22" s="11">
        <f>IF(AND(A21&lt;$B$2)*(A21&lt;&gt;0),1+A21," ")</f>
        <v>19</v>
      </c>
      <c r="B22" s="59">
        <f>IF(A22=" "," ",+F21)</f>
        <v>157977415.34869441</v>
      </c>
      <c r="C22" s="59">
        <f>IF(A22=" "," ",+B22*I21)</f>
        <v>2297518.2105545122</v>
      </c>
      <c r="D22" s="61">
        <f>+E22-C22</f>
        <v>7741133.8119255584</v>
      </c>
      <c r="E22" s="61">
        <f>IF(A22=" "," ",+J21)</f>
        <v>10038652.022480071</v>
      </c>
      <c r="F22" s="59">
        <f>+B22-D22</f>
        <v>150236281.53676885</v>
      </c>
      <c r="G22" s="54">
        <v>8.9520000000000002E-2</v>
      </c>
      <c r="H22" s="54">
        <f>IF(A22=" "," ",+H21)</f>
        <v>8.5000000000000006E-2</v>
      </c>
      <c r="I22" s="63">
        <f>IF(A22=" "," ",((G22+H22)/12))</f>
        <v>1.4543333333333333E-2</v>
      </c>
      <c r="J22" s="59">
        <f>PMT(I22,K22,-F22,0)</f>
        <v>10038652.022480071</v>
      </c>
      <c r="K22" s="64">
        <f>IF(A19=" "," ",+$B$2-A22)</f>
        <v>17</v>
      </c>
      <c r="L22">
        <f>IF(A22&lt;&gt;" ",+L21," ")</f>
        <v>15</v>
      </c>
      <c r="M22">
        <f>IF(AND(A22&lt;&gt;" ")*(M21=12),1,1+M21)</f>
        <v>11</v>
      </c>
      <c r="N22">
        <f>IF(AND(A22&lt;&gt;" ")*(M22=1),1+N21,N21)</f>
        <v>2026</v>
      </c>
      <c r="O22" s="21"/>
      <c r="P22" s="32"/>
      <c r="Q22" s="39"/>
      <c r="R22" s="41"/>
      <c r="S22" s="39"/>
      <c r="T22" s="39"/>
      <c r="U22" s="39"/>
      <c r="V22" s="39"/>
      <c r="AD22" s="21"/>
    </row>
    <row r="23" spans="1:36">
      <c r="A23" s="11">
        <f>IF(AND(A22&lt;$B$2)*(A22&lt;&gt;0),1+A22," ")</f>
        <v>20</v>
      </c>
      <c r="B23" s="59">
        <f>IF(A23=" "," ",+F22)</f>
        <v>150236281.53676885</v>
      </c>
      <c r="C23" s="59">
        <f>IF(A23=" "," ",+B23*I22)</f>
        <v>2184936.3211497418</v>
      </c>
      <c r="D23" s="61">
        <f>+E23-C23</f>
        <v>7853715.7013303284</v>
      </c>
      <c r="E23" s="61">
        <f>IF(A23=" "," ",+J22)</f>
        <v>10038652.022480071</v>
      </c>
      <c r="F23" s="59">
        <f>+B23-D23</f>
        <v>142382565.83543852</v>
      </c>
      <c r="G23" s="54">
        <v>8.9520000000000002E-2</v>
      </c>
      <c r="H23" s="54">
        <f>IF(A23=" "," ",+H22)</f>
        <v>8.5000000000000006E-2</v>
      </c>
      <c r="I23" s="63">
        <f>IF(A23=" "," ",((G23+H23)/12))</f>
        <v>1.4543333333333333E-2</v>
      </c>
      <c r="J23" s="59">
        <f>PMT(I23,K23,-F23,0)</f>
        <v>10038652.022480071</v>
      </c>
      <c r="K23" s="64">
        <f>IF(A20=" "," ",+$B$2-A23)</f>
        <v>16</v>
      </c>
      <c r="L23">
        <f>IF(A23&lt;&gt;" ",+L22," ")</f>
        <v>15</v>
      </c>
      <c r="M23">
        <f>IF(AND(A23&lt;&gt;" ")*(M22=12),1,1+M22)</f>
        <v>12</v>
      </c>
      <c r="N23">
        <f>IF(AND(A23&lt;&gt;" ")*(M23=1),1+N22,N22)</f>
        <v>2026</v>
      </c>
      <c r="O23" s="21"/>
      <c r="P23" s="32"/>
      <c r="Q23" s="39"/>
      <c r="R23" s="41"/>
      <c r="S23" s="39"/>
      <c r="T23" s="39"/>
      <c r="U23" s="39"/>
      <c r="V23" s="39"/>
    </row>
    <row r="24" spans="1:36">
      <c r="A24" s="11">
        <f>IF(AND(A23&lt;$B$2)*(A23&lt;&gt;0),1+A23," ")</f>
        <v>21</v>
      </c>
      <c r="B24" s="59">
        <f>IF(A24=" "," ",+F23)</f>
        <v>142382565.83543852</v>
      </c>
      <c r="C24" s="59">
        <f>IF(A24=" "," ",+B24*I23)</f>
        <v>2070717.1158000608</v>
      </c>
      <c r="D24" s="61">
        <f>+E24-C24</f>
        <v>7967934.9066800103</v>
      </c>
      <c r="E24" s="61">
        <f>IF(A24=" "," ",+J23)</f>
        <v>10038652.022480071</v>
      </c>
      <c r="F24" s="59">
        <f>+B24-D24</f>
        <v>134414630.9287585</v>
      </c>
      <c r="G24" s="54">
        <v>8.9520000000000002E-2</v>
      </c>
      <c r="H24" s="54">
        <f>IF(A24=" "," ",+H23)</f>
        <v>8.5000000000000006E-2</v>
      </c>
      <c r="I24" s="63">
        <f>IF(A24=" "," ",((G24+H24)/12))</f>
        <v>1.4543333333333333E-2</v>
      </c>
      <c r="J24" s="59">
        <f>PMT(I24,K24,-F24,0)</f>
        <v>10038652.022480071</v>
      </c>
      <c r="K24" s="64">
        <f>IF(A21=" "," ",+$B$2-A24)</f>
        <v>15</v>
      </c>
      <c r="L24">
        <f>IF(A24&lt;&gt;" ",+L23," ")</f>
        <v>15</v>
      </c>
      <c r="M24">
        <f>IF(AND(A24&lt;&gt;" ")*(M23=12),1,1+M23)</f>
        <v>1</v>
      </c>
      <c r="N24">
        <f>IF(AND(A24&lt;&gt;" ")*(M24=1),1+N23,N23)</f>
        <v>2027</v>
      </c>
      <c r="O24" s="21"/>
      <c r="P24" s="32"/>
      <c r="Q24" s="39"/>
      <c r="R24" s="41"/>
      <c r="S24" s="39"/>
      <c r="T24" s="39"/>
      <c r="U24" s="39"/>
      <c r="V24" s="39"/>
    </row>
    <row r="25" spans="1:36">
      <c r="A25" s="11">
        <f>IF(AND(A24&lt;$B$2)*(A24&lt;&gt;0),1+A24," ")</f>
        <v>22</v>
      </c>
      <c r="B25" s="59">
        <f>IF(A25=" "," ",+F24)</f>
        <v>134414630.9287585</v>
      </c>
      <c r="C25" s="59">
        <f>IF(A25=" "," ",+B25*I24)</f>
        <v>1954836.7824739111</v>
      </c>
      <c r="D25" s="61">
        <f>+E25-C25</f>
        <v>8083815.24000616</v>
      </c>
      <c r="E25" s="61">
        <f>IF(A25=" "," ",+J24)</f>
        <v>10038652.022480071</v>
      </c>
      <c r="F25" s="59">
        <f>+B25-D25</f>
        <v>126330815.68875234</v>
      </c>
      <c r="G25" s="54">
        <v>8.9520000000000002E-2</v>
      </c>
      <c r="H25" s="54">
        <f>IF(A25=" "," ",+H24)</f>
        <v>8.5000000000000006E-2</v>
      </c>
      <c r="I25" s="63">
        <f>IF(A25=" "," ",((G25+H25)/12))</f>
        <v>1.4543333333333333E-2</v>
      </c>
      <c r="J25" s="59">
        <f>PMT(I25,K25,-F25,0)</f>
        <v>10038652.022480069</v>
      </c>
      <c r="K25" s="64">
        <f>IF(A22=" "," ",+$B$2-A25)</f>
        <v>14</v>
      </c>
      <c r="L25">
        <f>IF(A25&lt;&gt;" ",+L24," ")</f>
        <v>15</v>
      </c>
      <c r="M25">
        <f>IF(AND(A25&lt;&gt;" ")*(M24=12),1,1+M24)</f>
        <v>2</v>
      </c>
      <c r="N25">
        <f>IF(AND(A25&lt;&gt;" ")*(M25=1),1+N24,N24)</f>
        <v>2027</v>
      </c>
      <c r="O25" s="21"/>
      <c r="P25" s="32"/>
      <c r="Q25" s="39"/>
      <c r="R25" s="41"/>
      <c r="S25" s="39"/>
      <c r="T25" s="39"/>
      <c r="U25" s="39"/>
      <c r="V25" s="39"/>
    </row>
    <row r="26" spans="1:36">
      <c r="A26" s="11">
        <f>IF(AND(A25&lt;$B$2)*(A25&lt;&gt;0),1+A25," ")</f>
        <v>23</v>
      </c>
      <c r="B26" s="59">
        <f>IF(A26=" "," ",+F25)</f>
        <v>126330815.68875234</v>
      </c>
      <c r="C26" s="59">
        <f>IF(A26=" "," ",+B26*I25)</f>
        <v>1837271.1628334215</v>
      </c>
      <c r="D26" s="61">
        <f>+E26-C26</f>
        <v>8201380.8596466472</v>
      </c>
      <c r="E26" s="61">
        <f>IF(A26=" "," ",+J25)</f>
        <v>10038652.022480069</v>
      </c>
      <c r="F26" s="59">
        <f>+B26-D26</f>
        <v>118129434.82910569</v>
      </c>
      <c r="G26" s="54">
        <v>8.9520000000000002E-2</v>
      </c>
      <c r="H26" s="54">
        <f>IF(A26=" "," ",+H25)</f>
        <v>8.5000000000000006E-2</v>
      </c>
      <c r="I26" s="63">
        <f>IF(A26=" "," ",((G26+H26)/12))</f>
        <v>1.4543333333333333E-2</v>
      </c>
      <c r="J26" s="59">
        <f>PMT(I26,K26,-F26,0)</f>
        <v>10038652.022480071</v>
      </c>
      <c r="K26" s="64">
        <f>IF(A23=" "," ",+$B$2-A26)</f>
        <v>13</v>
      </c>
      <c r="L26">
        <f>IF(A26&lt;&gt;" ",+L25," ")</f>
        <v>15</v>
      </c>
      <c r="M26">
        <f>IF(AND(A26&lt;&gt;" ")*(M25=12),1,1+M25)</f>
        <v>3</v>
      </c>
      <c r="N26">
        <f>IF(AND(A26&lt;&gt;" ")*(M26=1),1+N25,N25)</f>
        <v>2027</v>
      </c>
      <c r="O26" s="21"/>
      <c r="P26" s="32"/>
      <c r="Q26" s="39"/>
      <c r="R26" s="41"/>
      <c r="S26" s="39"/>
      <c r="T26" s="39"/>
      <c r="U26" s="39"/>
      <c r="V26" s="39"/>
    </row>
    <row r="27" spans="1:36">
      <c r="A27" s="11">
        <f>IF(AND(A26&lt;$B$2)*(A26&lt;&gt;0),1+A26," ")</f>
        <v>24</v>
      </c>
      <c r="B27" s="59">
        <f>IF(A27=" "," ",+F26)</f>
        <v>118129434.82910569</v>
      </c>
      <c r="C27" s="59">
        <f>IF(A27=" "," ",+B27*I26)</f>
        <v>1717995.7471979605</v>
      </c>
      <c r="D27" s="61">
        <f>+E27-C27</f>
        <v>8320656.2752821101</v>
      </c>
      <c r="E27" s="61">
        <f>IF(A27=" "," ",+J26)</f>
        <v>10038652.022480071</v>
      </c>
      <c r="F27" s="59">
        <f>+B27-D27</f>
        <v>109808778.55382358</v>
      </c>
      <c r="G27" s="54">
        <v>8.9520000000000002E-2</v>
      </c>
      <c r="H27" s="54">
        <f>IF(A27=" "," ",+H26)</f>
        <v>8.5000000000000006E-2</v>
      </c>
      <c r="I27" s="63">
        <f>IF(A27=" "," ",((G27+H27)/12))</f>
        <v>1.4543333333333333E-2</v>
      </c>
      <c r="J27" s="59">
        <f>PMT(I27,K27,-F27,0)</f>
        <v>10038652.022480071</v>
      </c>
      <c r="K27" s="64">
        <f>IF(A24=" "," ",+$B$2-A27)</f>
        <v>12</v>
      </c>
      <c r="L27">
        <f>IF(A27&lt;&gt;" ",+L26," ")</f>
        <v>15</v>
      </c>
      <c r="M27">
        <f>IF(AND(A27&lt;&gt;" ")*(M26=12),1,1+M26)</f>
        <v>4</v>
      </c>
      <c r="N27">
        <f>IF(AND(A27&lt;&gt;" ")*(M27=1),1+N26,N26)</f>
        <v>2027</v>
      </c>
      <c r="O27" s="21"/>
      <c r="P27" s="32"/>
      <c r="Q27" s="39"/>
      <c r="R27" s="41"/>
      <c r="S27" s="39"/>
      <c r="T27" s="39"/>
      <c r="U27" s="39"/>
      <c r="V27" s="39"/>
    </row>
    <row r="28" spans="1:36">
      <c r="A28" s="11">
        <f>IF(AND(A27&lt;$B$2)*(A27&lt;&gt;0),1+A27," ")</f>
        <v>25</v>
      </c>
      <c r="B28" s="59">
        <f>IF(A28=" "," ",+F27)</f>
        <v>109808778.55382358</v>
      </c>
      <c r="C28" s="59">
        <f>IF(A28=" "," ",+B28*I27)</f>
        <v>1596985.6694344408</v>
      </c>
      <c r="D28" s="61">
        <f>+E28-C28</f>
        <v>8441666.3530456293</v>
      </c>
      <c r="E28" s="61">
        <f>IF(A28=" "," ",+J27)</f>
        <v>10038652.022480071</v>
      </c>
      <c r="F28" s="59">
        <f>+B28-D28</f>
        <v>101367112.20077795</v>
      </c>
      <c r="G28" s="54">
        <v>8.9520000000000002E-2</v>
      </c>
      <c r="H28" s="54">
        <f>IF(A28=" "," ",+H27)</f>
        <v>8.5000000000000006E-2</v>
      </c>
      <c r="I28" s="63">
        <f>IF(A28=" "," ",((G28+H28)/12))</f>
        <v>1.4543333333333333E-2</v>
      </c>
      <c r="J28" s="59">
        <f>PMT(I28,K28,-F28,0)</f>
        <v>10038652.022480071</v>
      </c>
      <c r="K28" s="64">
        <f>IF(A25=" "," ",+$B$2-A28)</f>
        <v>11</v>
      </c>
      <c r="L28">
        <f>IF(A28&lt;&gt;" ",+L27," ")</f>
        <v>15</v>
      </c>
      <c r="M28">
        <f>IF(AND(A28&lt;&gt;" ")*(M27=12),1,1+M27)</f>
        <v>5</v>
      </c>
      <c r="N28">
        <f>IF(AND(A28&lt;&gt;" ")*(M28=1),1+N27,N27)</f>
        <v>2027</v>
      </c>
      <c r="O28" s="21"/>
      <c r="P28" s="32"/>
      <c r="Q28" s="39"/>
      <c r="R28" s="41"/>
      <c r="S28" s="39"/>
      <c r="T28" s="39"/>
      <c r="U28" s="39"/>
      <c r="V28" s="39"/>
    </row>
    <row r="29" spans="1:36">
      <c r="A29" s="11">
        <f>IF(AND(A28&lt;$B$2)*(A28&lt;&gt;0),1+A28," ")</f>
        <v>26</v>
      </c>
      <c r="B29" s="59">
        <f>IF(A29=" "," ",+F28)</f>
        <v>101367112.20077795</v>
      </c>
      <c r="C29" s="59">
        <f>IF(A29=" "," ",+B29*I28)</f>
        <v>1474215.701773314</v>
      </c>
      <c r="D29" s="61">
        <f>+E29-C29</f>
        <v>8564436.3207067568</v>
      </c>
      <c r="E29" s="61">
        <f>IF(A29=" "," ",+J28)</f>
        <v>10038652.022480071</v>
      </c>
      <c r="F29" s="59">
        <f>+B29-D29</f>
        <v>92802675.880071193</v>
      </c>
      <c r="G29" s="54">
        <v>8.9520000000000002E-2</v>
      </c>
      <c r="H29" s="54">
        <f>IF(A29=" "," ",+H28)</f>
        <v>8.5000000000000006E-2</v>
      </c>
      <c r="I29" s="63">
        <f>IF(A29=" "," ",((G29+H29)/12))</f>
        <v>1.4543333333333333E-2</v>
      </c>
      <c r="J29" s="59">
        <f>PMT(I29,K29,-F29,0)</f>
        <v>10038652.022480071</v>
      </c>
      <c r="K29" s="64">
        <f>IF(A26=" "," ",+$B$2-A29)</f>
        <v>10</v>
      </c>
      <c r="L29">
        <f>IF(A29&lt;&gt;" ",+L28," ")</f>
        <v>15</v>
      </c>
      <c r="M29">
        <f>IF(AND(A29&lt;&gt;" ")*(M28=12),1,1+M28)</f>
        <v>6</v>
      </c>
      <c r="N29">
        <f>IF(AND(A29&lt;&gt;" ")*(M29=1),1+N28,N28)</f>
        <v>2027</v>
      </c>
      <c r="Q29" s="39"/>
      <c r="R29" s="41"/>
      <c r="S29" s="39"/>
      <c r="T29" s="39"/>
      <c r="U29" s="39"/>
      <c r="V29" s="39"/>
    </row>
    <row r="30" spans="1:36">
      <c r="A30" s="11">
        <f>IF(AND(A29&lt;$B$2)*(A29&lt;&gt;0),1+A29," ")</f>
        <v>27</v>
      </c>
      <c r="B30" s="59">
        <f>IF(A30=" "," ",+F29)</f>
        <v>92802675.880071193</v>
      </c>
      <c r="C30" s="59">
        <f>IF(A30=" "," ",+B30*I29)</f>
        <v>1349660.2495491686</v>
      </c>
      <c r="D30" s="61">
        <f>+E30-C30</f>
        <v>8688991.7729309015</v>
      </c>
      <c r="E30" s="61">
        <f>IF(A30=" "," ",+J29)</f>
        <v>10038652.022480071</v>
      </c>
      <c r="F30" s="59">
        <f>+B30-D30</f>
        <v>84113684.107140288</v>
      </c>
      <c r="G30" s="54">
        <v>8.9520000000000002E-2</v>
      </c>
      <c r="H30" s="54">
        <f>IF(A30=" "," ",+H29)</f>
        <v>8.5000000000000006E-2</v>
      </c>
      <c r="I30" s="63">
        <f>IF(A30=" "," ",((G30+H30)/12))</f>
        <v>1.4543333333333333E-2</v>
      </c>
      <c r="J30" s="59">
        <f>PMT(I30,K30,-F30,0)</f>
        <v>10038652.022480069</v>
      </c>
      <c r="K30" s="64">
        <f>IF(A27=" "," ",+$B$2-A30)</f>
        <v>9</v>
      </c>
      <c r="L30">
        <f>IF(A30&lt;&gt;" ",+L29," ")</f>
        <v>15</v>
      </c>
      <c r="M30">
        <f>IF(AND(A30&lt;&gt;" ")*(M29=12),1,1+M29)</f>
        <v>7</v>
      </c>
      <c r="N30">
        <f>IF(AND(A30&lt;&gt;" ")*(M30=1),1+N29,N29)</f>
        <v>2027</v>
      </c>
      <c r="Q30" s="39"/>
      <c r="R30" s="41"/>
      <c r="S30" s="39"/>
      <c r="T30" s="39"/>
      <c r="U30" s="39"/>
      <c r="V30" s="39"/>
    </row>
    <row r="31" spans="1:36">
      <c r="A31" s="11">
        <f>IF(AND(A30&lt;$B$2)*(A30&lt;&gt;0),1+A30," ")</f>
        <v>28</v>
      </c>
      <c r="B31" s="59">
        <f>IF(A31=" "," ",+F30)</f>
        <v>84113684.107140288</v>
      </c>
      <c r="C31" s="59">
        <f>IF(A31=" "," ",+B31*I30)</f>
        <v>1223293.3458648436</v>
      </c>
      <c r="D31" s="61">
        <f>+E31-C31</f>
        <v>8815358.6766152252</v>
      </c>
      <c r="E31" s="61">
        <f>IF(A31=" "," ",+J30)</f>
        <v>10038652.022480069</v>
      </c>
      <c r="F31" s="59">
        <f>+B31-D31</f>
        <v>75298325.430525064</v>
      </c>
      <c r="G31" s="54">
        <v>8.9520000000000002E-2</v>
      </c>
      <c r="H31" s="54">
        <f>IF(A31=" "," ",+H30)</f>
        <v>8.5000000000000006E-2</v>
      </c>
      <c r="I31" s="63">
        <f>IF(A31=" "," ",((G31+H31)/12))</f>
        <v>1.4543333333333333E-2</v>
      </c>
      <c r="J31" s="59">
        <f>PMT(I31,K31,-F31,0)</f>
        <v>10038652.022480071</v>
      </c>
      <c r="K31" s="64">
        <f>IF(A28=" "," ",+$B$2-A31)</f>
        <v>8</v>
      </c>
      <c r="L31">
        <f>IF(A31&lt;&gt;" ",+L30," ")</f>
        <v>15</v>
      </c>
      <c r="M31">
        <f>IF(AND(A31&lt;&gt;" ")*(M30=12),1,1+M30)</f>
        <v>8</v>
      </c>
      <c r="N31">
        <f>IF(AND(A31&lt;&gt;" ")*(M31=1),1+N30,N30)</f>
        <v>2027</v>
      </c>
      <c r="Q31" s="39"/>
      <c r="R31" s="41"/>
      <c r="S31" s="39"/>
      <c r="T31" s="39"/>
      <c r="U31" s="39"/>
      <c r="V31" s="39"/>
    </row>
    <row r="32" spans="1:36">
      <c r="A32" s="11">
        <f>IF(AND(A31&lt;$B$2)*(A31&lt;&gt;0),1+A31," ")</f>
        <v>29</v>
      </c>
      <c r="B32" s="59">
        <f>IF(A32=" "," ",+F31)</f>
        <v>75298325.430525064</v>
      </c>
      <c r="C32" s="59">
        <f>IF(A32=" "," ",+B32*I31)</f>
        <v>1095088.6461779361</v>
      </c>
      <c r="D32" s="61">
        <f>+E32-C32</f>
        <v>8943563.3763021342</v>
      </c>
      <c r="E32" s="61">
        <f>IF(A32=" "," ",+J31)</f>
        <v>10038652.022480071</v>
      </c>
      <c r="F32" s="59">
        <f>+B32-D32</f>
        <v>66354762.054222926</v>
      </c>
      <c r="G32" s="54">
        <v>8.9520000000000002E-2</v>
      </c>
      <c r="H32" s="54">
        <f>IF(A32=" "," ",+H31)</f>
        <v>8.5000000000000006E-2</v>
      </c>
      <c r="I32" s="63">
        <f>IF(A32=" "," ",((G32+H32)/12))</f>
        <v>1.4543333333333333E-2</v>
      </c>
      <c r="J32" s="59">
        <f>PMT(I32,K32,-F32,0)</f>
        <v>10038652.022480069</v>
      </c>
      <c r="K32" s="64">
        <f>IF(A29=" "," ",+$B$2-A32)</f>
        <v>7</v>
      </c>
      <c r="L32">
        <f>IF(A32&lt;&gt;" ",+L31," ")</f>
        <v>15</v>
      </c>
      <c r="M32">
        <f>IF(AND(A32&lt;&gt;" ")*(M31=12),1,1+M31)</f>
        <v>9</v>
      </c>
      <c r="N32">
        <f>IF(AND(A32&lt;&gt;" ")*(M32=1),1+N31,N31)</f>
        <v>2027</v>
      </c>
      <c r="Q32" s="39"/>
      <c r="R32" s="41"/>
      <c r="S32" s="39"/>
      <c r="T32" s="39"/>
      <c r="U32" s="39"/>
      <c r="V32" s="39"/>
    </row>
    <row r="33" spans="1:22">
      <c r="A33" s="11">
        <f>IF(AND(A32&lt;$B$2)*(A32&lt;&gt;0),1+A32," ")</f>
        <v>30</v>
      </c>
      <c r="B33" s="59">
        <f>IF(A33=" "," ",+F32)</f>
        <v>66354762.054222926</v>
      </c>
      <c r="C33" s="59">
        <f>IF(A33=" "," ",+B33*I32)</f>
        <v>965019.42280858208</v>
      </c>
      <c r="D33" s="61">
        <f>+E33-C33</f>
        <v>9073632.5996714868</v>
      </c>
      <c r="E33" s="61">
        <f>IF(A33=" "," ",+J32)</f>
        <v>10038652.022480069</v>
      </c>
      <c r="F33" s="59">
        <f>+B33-D33</f>
        <v>57281129.454551443</v>
      </c>
      <c r="G33" s="54">
        <v>8.9520000000000002E-2</v>
      </c>
      <c r="H33" s="54">
        <f>IF(A33=" "," ",+H32)</f>
        <v>8.5000000000000006E-2</v>
      </c>
      <c r="I33" s="63">
        <f>IF(A33=" "," ",((G33+H33)/12))</f>
        <v>1.4543333333333333E-2</v>
      </c>
      <c r="J33" s="59">
        <f>PMT(I33,K33,-F33,0)</f>
        <v>10038652.022480071</v>
      </c>
      <c r="K33" s="64">
        <f>IF(A30=" "," ",+$B$2-A33)</f>
        <v>6</v>
      </c>
      <c r="L33">
        <f>IF(A33&lt;&gt;" ",+L32," ")</f>
        <v>15</v>
      </c>
      <c r="M33">
        <f>IF(AND(A33&lt;&gt;" ")*(M32=12),1,1+M32)</f>
        <v>10</v>
      </c>
      <c r="N33">
        <f>IF(AND(A33&lt;&gt;" ")*(M33=1),1+N32,N32)</f>
        <v>2027</v>
      </c>
      <c r="Q33" s="39"/>
      <c r="R33" s="41"/>
      <c r="S33" s="39"/>
      <c r="T33" s="39"/>
      <c r="U33" s="39"/>
      <c r="V33" s="39"/>
    </row>
    <row r="34" spans="1:22">
      <c r="A34" s="11">
        <f>IF(AND(A33&lt;$B$2)*(A33&lt;&gt;0),1+A33," ")</f>
        <v>31</v>
      </c>
      <c r="B34" s="59">
        <f>IF(A34=" "," ",+F33)</f>
        <v>57281129.454551443</v>
      </c>
      <c r="C34" s="59">
        <f>IF(A34=" "," ",+B34*I33)</f>
        <v>833058.55936735985</v>
      </c>
      <c r="D34" s="61">
        <f>+E34-C34</f>
        <v>9205593.46311271</v>
      </c>
      <c r="E34" s="61">
        <f>IF(A34=" "," ",+J33)</f>
        <v>10038652.022480071</v>
      </c>
      <c r="F34" s="59">
        <f>+B34-D34</f>
        <v>48075535.991438732</v>
      </c>
      <c r="G34" s="54">
        <v>8.9520000000000002E-2</v>
      </c>
      <c r="H34" s="54">
        <f>IF(A34=" "," ",+H33)</f>
        <v>8.5000000000000006E-2</v>
      </c>
      <c r="I34" s="63">
        <f>IF(A34=" "," ",((G34+H34)/12))</f>
        <v>1.4543333333333333E-2</v>
      </c>
      <c r="J34" s="59">
        <f>PMT(I34,K34,-F34,0)</f>
        <v>10038652.022480071</v>
      </c>
      <c r="K34" s="64">
        <f>IF(A31=" "," ",+$B$2-A34)</f>
        <v>5</v>
      </c>
      <c r="L34">
        <f>IF(A34&lt;&gt;" ",+L33," ")</f>
        <v>15</v>
      </c>
      <c r="M34">
        <f>IF(AND(A34&lt;&gt;" ")*(M33=12),1,1+M33)</f>
        <v>11</v>
      </c>
      <c r="N34">
        <f>IF(AND(A34&lt;&gt;" ")*(M34=1),1+N33,N33)</f>
        <v>2027</v>
      </c>
      <c r="Q34" s="39"/>
      <c r="R34" s="41"/>
      <c r="S34" s="39"/>
      <c r="T34" s="39"/>
      <c r="U34" s="39"/>
      <c r="V34" s="39"/>
    </row>
    <row r="35" spans="1:22">
      <c r="A35" s="11">
        <f>IF(AND(A34&lt;$B$2)*(A34&lt;&gt;0),1+A34," ")</f>
        <v>32</v>
      </c>
      <c r="B35" s="59">
        <f>IF(A35=" "," ",+F34)</f>
        <v>48075535.991438732</v>
      </c>
      <c r="C35" s="59">
        <f>IF(A35=" "," ",+B35*I34)</f>
        <v>699178.54510215728</v>
      </c>
      <c r="D35" s="61">
        <f>+E35-C35</f>
        <v>9339473.4773779139</v>
      </c>
      <c r="E35" s="61">
        <f>IF(A35=" "," ",+J34)</f>
        <v>10038652.022480071</v>
      </c>
      <c r="F35" s="59">
        <f>+B35-D35</f>
        <v>38736062.514060818</v>
      </c>
      <c r="G35" s="54">
        <v>8.9520000000000002E-2</v>
      </c>
      <c r="H35" s="54">
        <f>IF(A35=" "," ",+H34)</f>
        <v>8.5000000000000006E-2</v>
      </c>
      <c r="I35" s="63">
        <f>IF(A35=" "," ",((G35+H35)/12))</f>
        <v>1.4543333333333333E-2</v>
      </c>
      <c r="J35" s="59">
        <f>PMT(I35,K35,-F35,0)</f>
        <v>10038652.022480069</v>
      </c>
      <c r="K35" s="64">
        <f>IF(A32=" "," ",+$B$2-A35)</f>
        <v>4</v>
      </c>
      <c r="L35">
        <f>IF(A35&lt;&gt;" ",+L34," ")</f>
        <v>15</v>
      </c>
      <c r="M35">
        <f>IF(AND(A35&lt;&gt;" ")*(M34=12),1,1+M34)</f>
        <v>12</v>
      </c>
      <c r="N35">
        <f>IF(AND(A35&lt;&gt;" ")*(M35=1),1+N34,N34)</f>
        <v>2027</v>
      </c>
      <c r="Q35" s="39"/>
      <c r="R35" s="41"/>
      <c r="S35" s="39"/>
      <c r="T35" s="39"/>
      <c r="U35" s="39"/>
      <c r="V35" s="39"/>
    </row>
    <row r="36" spans="1:22">
      <c r="A36" s="11">
        <f>IF(AND(A35&lt;$B$2)*(A35&lt;&gt;0),1+A35," ")</f>
        <v>33</v>
      </c>
      <c r="B36" s="59">
        <f>IF(A36=" "," ",+F35)</f>
        <v>38736062.514060818</v>
      </c>
      <c r="C36" s="59">
        <f>IF(A36=" "," ",+B36*I35)</f>
        <v>563351.46916282445</v>
      </c>
      <c r="D36" s="61">
        <f>+E36-C36</f>
        <v>9475300.5533172451</v>
      </c>
      <c r="E36" s="61">
        <f>IF(A36=" "," ",+J35)</f>
        <v>10038652.022480069</v>
      </c>
      <c r="F36" s="59">
        <f>+B36-D36</f>
        <v>29260761.960743573</v>
      </c>
      <c r="G36" s="54">
        <v>8.9520000000000002E-2</v>
      </c>
      <c r="H36" s="54">
        <f>IF(A36=" "," ",+H35)</f>
        <v>8.5000000000000006E-2</v>
      </c>
      <c r="I36" s="63">
        <f>IF(A36=" "," ",((G36+H36)/12))</f>
        <v>1.4543333333333333E-2</v>
      </c>
      <c r="J36" s="59">
        <f>PMT(I36,K36,-F36,0)</f>
        <v>10038652.022480071</v>
      </c>
      <c r="K36" s="64">
        <f>IF(A33=" "," ",+$B$2-A36)</f>
        <v>3</v>
      </c>
      <c r="L36">
        <f>IF(A36&lt;&gt;" ",+L35," ")</f>
        <v>15</v>
      </c>
      <c r="M36">
        <f>IF(AND(A36&lt;&gt;" ")*(M35=12),1,1+M35)</f>
        <v>1</v>
      </c>
      <c r="N36">
        <f>IF(AND(A36&lt;&gt;" ")*(M36=1),1+N35,N35)</f>
        <v>2028</v>
      </c>
      <c r="Q36" s="39"/>
      <c r="R36" s="41"/>
      <c r="S36" s="39"/>
      <c r="T36" s="39"/>
      <c r="U36" s="39"/>
      <c r="V36" s="39"/>
    </row>
    <row r="37" spans="1:22">
      <c r="A37" s="11">
        <f>IF(AND(A36&lt;$B$2)*(A36&lt;&gt;0),1+A36," ")</f>
        <v>34</v>
      </c>
      <c r="B37" s="59">
        <f>IF(A37=" "," ",+F36)</f>
        <v>29260761.960743573</v>
      </c>
      <c r="C37" s="59">
        <f>IF(A37=" "," ",+B37*I36)</f>
        <v>425549.01478241401</v>
      </c>
      <c r="D37" s="61">
        <f>+E37-C37</f>
        <v>9613103.0076976568</v>
      </c>
      <c r="E37" s="61">
        <f>IF(A37=" "," ",+J36)</f>
        <v>10038652.022480071</v>
      </c>
      <c r="F37" s="59">
        <f>+B37-D37</f>
        <v>19647658.953045916</v>
      </c>
      <c r="G37" s="54">
        <v>8.9520000000000002E-2</v>
      </c>
      <c r="H37" s="54">
        <f>IF(A37=" "," ",+H36)</f>
        <v>8.5000000000000006E-2</v>
      </c>
      <c r="I37" s="63">
        <f>IF(A37=" "," ",((G37+H37)/12))</f>
        <v>1.4543333333333333E-2</v>
      </c>
      <c r="J37" s="59">
        <f>PMT(I37,K37,-F37,0)</f>
        <v>10038652.022480071</v>
      </c>
      <c r="K37" s="64">
        <f>IF(A34=" "," ",+$B$2-A37)</f>
        <v>2</v>
      </c>
      <c r="L37">
        <f>IF(A37&lt;&gt;" ",+L36," ")</f>
        <v>15</v>
      </c>
      <c r="M37">
        <f>IF(AND(A37&lt;&gt;" ")*(M36=12),1,1+M36)</f>
        <v>2</v>
      </c>
      <c r="N37">
        <f>IF(AND(A37&lt;&gt;" ")*(M37=1),1+N36,N36)</f>
        <v>2028</v>
      </c>
      <c r="Q37" s="39"/>
      <c r="R37" s="41"/>
      <c r="S37" s="39"/>
      <c r="T37" s="39"/>
      <c r="U37" s="39"/>
      <c r="V37" s="39"/>
    </row>
    <row r="38" spans="1:22">
      <c r="A38" s="11">
        <f>IF(AND(A37&lt;$B$2)*(A37&lt;&gt;0),1+A37," ")</f>
        <v>35</v>
      </c>
      <c r="B38" s="59">
        <f>IF(A38=" "," ",+F37)</f>
        <v>19647658.953045916</v>
      </c>
      <c r="C38" s="59">
        <f>IF(A38=" "," ",+B38*I37)</f>
        <v>285742.45337379776</v>
      </c>
      <c r="D38" s="61">
        <f>+E38-C38</f>
        <v>9752909.5691062734</v>
      </c>
      <c r="E38" s="61">
        <f>IF(A38=" "," ",+J37)</f>
        <v>10038652.022480071</v>
      </c>
      <c r="F38" s="59">
        <f>+B38-D38</f>
        <v>9894749.3839396425</v>
      </c>
      <c r="G38" s="54">
        <v>8.9520000000000002E-2</v>
      </c>
      <c r="H38" s="54">
        <f>IF(A38=" "," ",+H37)</f>
        <v>8.5000000000000006E-2</v>
      </c>
      <c r="I38" s="63">
        <f>IF(A38=" "," ",((G38+H38)/12))</f>
        <v>1.4543333333333333E-2</v>
      </c>
      <c r="J38" s="59">
        <f>PMT(I38,K38,-F38,0)</f>
        <v>10038652.022480071</v>
      </c>
      <c r="K38" s="64">
        <f>IF(A35=" "," ",+$B$2-A38)</f>
        <v>1</v>
      </c>
      <c r="L38">
        <f>IF(A38&lt;&gt;" ",+L37," ")</f>
        <v>15</v>
      </c>
      <c r="M38">
        <f>IF(AND(A38&lt;&gt;" ")*(M37=12),1,1+M37)</f>
        <v>3</v>
      </c>
      <c r="N38">
        <f>IF(AND(A38&lt;&gt;" ")*(M38=1),1+N37,N37)</f>
        <v>2028</v>
      </c>
      <c r="Q38" s="39"/>
      <c r="R38" s="41"/>
      <c r="S38" s="39"/>
      <c r="T38" s="39"/>
      <c r="U38" s="39"/>
      <c r="V38" s="39"/>
    </row>
    <row r="39" spans="1:22">
      <c r="A39" s="11">
        <f>IF(AND(A38&lt;$B$2)*(A38&lt;&gt;0),1+A38," ")</f>
        <v>36</v>
      </c>
      <c r="B39" s="59">
        <f>IF(A39=" "," ",+F38)</f>
        <v>9894749.3839396425</v>
      </c>
      <c r="C39" s="59">
        <f>IF(A39=" "," ",+B39*I38)</f>
        <v>143902.63854042886</v>
      </c>
      <c r="D39" s="61">
        <f>+E39-C39</f>
        <v>9894749.3839396425</v>
      </c>
      <c r="E39" s="61">
        <f>IF(A39=" "," ",+J38)</f>
        <v>10038652.022480071</v>
      </c>
      <c r="F39" s="59">
        <f>+B39-D39</f>
        <v>0</v>
      </c>
      <c r="G39" s="54">
        <v>8.9520000000000002E-2</v>
      </c>
      <c r="H39" s="54">
        <f>IF(A39=" "," ",+H38)</f>
        <v>8.5000000000000006E-2</v>
      </c>
      <c r="I39" s="63">
        <f>IF(A39=" "," ",((G39+H39)/12))</f>
        <v>1.4543333333333333E-2</v>
      </c>
      <c r="J39" s="59" t="e">
        <f>PMT(I39,K39,-F39,0)</f>
        <v>#NUM!</v>
      </c>
      <c r="K39" s="64">
        <f>IF(A36=" "," ",+$B$2-A39)</f>
        <v>0</v>
      </c>
      <c r="L39">
        <f>IF(A39&lt;&gt;" ",+L38," ")</f>
        <v>15</v>
      </c>
      <c r="M39">
        <f>IF(AND(A39&lt;&gt;" ")*(M38=12),1,1+M38)</f>
        <v>4</v>
      </c>
      <c r="N39">
        <f>IF(AND(A39&lt;&gt;" ")*(M39=1),1+N38,N38)</f>
        <v>2028</v>
      </c>
      <c r="Q39" s="39"/>
      <c r="R39" s="41"/>
      <c r="S39" s="39"/>
      <c r="T39" s="39"/>
      <c r="U39" s="39"/>
      <c r="V39" s="39"/>
    </row>
    <row r="40" spans="1:22">
      <c r="A40" s="11"/>
      <c r="B40" s="2"/>
      <c r="C40" s="2"/>
      <c r="D40" s="2"/>
      <c r="E40" s="2"/>
      <c r="F40" s="2"/>
      <c r="G40" s="12"/>
      <c r="H40" s="12"/>
      <c r="I40" s="8"/>
      <c r="J40" s="2"/>
      <c r="K40" s="34"/>
    </row>
    <row r="41" spans="1:22">
      <c r="A41" s="11"/>
      <c r="B41" s="2"/>
      <c r="C41" s="2"/>
      <c r="D41" s="2"/>
      <c r="E41" s="2"/>
      <c r="F41" s="2"/>
      <c r="G41" s="12"/>
      <c r="H41" s="12"/>
      <c r="I41" s="8"/>
      <c r="J41" s="2"/>
      <c r="K41" s="34"/>
    </row>
    <row r="42" spans="1:22">
      <c r="A42" s="11"/>
      <c r="B42" s="2"/>
      <c r="C42" s="2"/>
      <c r="D42" s="2"/>
      <c r="E42" s="2"/>
      <c r="F42" s="2"/>
      <c r="G42" s="12"/>
      <c r="H42" s="12"/>
      <c r="I42" s="8"/>
      <c r="J42" s="2"/>
      <c r="K42" s="34"/>
    </row>
    <row r="43" spans="1:22">
      <c r="A43" s="11"/>
      <c r="B43" s="2"/>
      <c r="C43" s="2"/>
      <c r="D43" s="2"/>
      <c r="E43" s="2"/>
      <c r="F43" s="2"/>
      <c r="G43" s="12"/>
      <c r="H43" s="12"/>
      <c r="I43" s="8"/>
      <c r="J43" s="2"/>
      <c r="K43" s="34"/>
    </row>
    <row r="44" spans="1:22">
      <c r="A44" s="11"/>
      <c r="B44" s="2"/>
      <c r="C44" s="2"/>
      <c r="D44" s="2"/>
      <c r="E44" s="2"/>
      <c r="F44" s="2"/>
      <c r="G44" s="33"/>
      <c r="H44" s="33"/>
      <c r="I44" s="8"/>
      <c r="J44" s="2"/>
      <c r="K44" s="34"/>
    </row>
    <row r="45" spans="1:22">
      <c r="A45" s="11"/>
      <c r="B45" s="2"/>
      <c r="C45" s="2"/>
      <c r="D45" s="2"/>
      <c r="E45" s="2"/>
      <c r="F45" s="2"/>
      <c r="G45" s="33"/>
      <c r="H45" s="33"/>
      <c r="I45" s="8"/>
      <c r="J45" s="2"/>
      <c r="K45" s="34"/>
    </row>
    <row r="46" spans="1:22">
      <c r="A46" s="11"/>
      <c r="B46" s="2"/>
      <c r="C46" s="2"/>
      <c r="D46" s="2"/>
      <c r="E46" s="2"/>
      <c r="F46" s="2"/>
      <c r="G46" s="33"/>
      <c r="H46" s="33"/>
      <c r="I46" s="8"/>
      <c r="J46" s="2"/>
      <c r="K46" s="34"/>
    </row>
    <row r="47" spans="1:22">
      <c r="A47" s="11"/>
      <c r="B47" s="2"/>
      <c r="C47" s="2"/>
      <c r="D47" s="2"/>
      <c r="E47" s="2"/>
      <c r="F47" s="2"/>
      <c r="G47" s="33"/>
      <c r="H47" s="33"/>
      <c r="I47" s="8"/>
      <c r="J47" s="2"/>
      <c r="K47" s="34"/>
    </row>
    <row r="48" spans="1:22">
      <c r="A48" s="11"/>
      <c r="B48" s="2"/>
      <c r="C48" s="2"/>
      <c r="D48" s="2"/>
      <c r="E48" s="2"/>
      <c r="F48" s="2"/>
      <c r="G48" s="33"/>
      <c r="H48" s="33"/>
      <c r="I48" s="8"/>
      <c r="J48" s="2"/>
      <c r="K48" s="34"/>
    </row>
    <row r="49" spans="1:11">
      <c r="A49" s="11"/>
      <c r="B49" s="2"/>
      <c r="C49" s="2"/>
      <c r="D49" s="2"/>
      <c r="E49" s="2"/>
      <c r="F49" s="2"/>
      <c r="G49" s="33"/>
      <c r="H49" s="33"/>
      <c r="I49" s="8"/>
      <c r="J49" s="2"/>
      <c r="K49" s="34"/>
    </row>
    <row r="50" spans="1:11">
      <c r="A50" s="11"/>
      <c r="B50" s="2"/>
      <c r="C50" s="2"/>
      <c r="D50" s="2"/>
      <c r="E50" s="2"/>
      <c r="F50" s="2"/>
      <c r="G50" s="33"/>
      <c r="H50" s="33"/>
      <c r="I50" s="8"/>
      <c r="J50" s="2"/>
      <c r="K50" s="34"/>
    </row>
    <row r="51" spans="1:11">
      <c r="A51" s="11"/>
      <c r="B51" s="2"/>
      <c r="C51" s="2"/>
      <c r="D51" s="2"/>
      <c r="E51" s="2"/>
      <c r="F51" s="2"/>
      <c r="G51" s="33"/>
      <c r="H51" s="33"/>
      <c r="I51" s="8"/>
      <c r="J51" s="2"/>
      <c r="K51" s="34"/>
    </row>
    <row r="52" spans="1:11">
      <c r="A52" s="11"/>
      <c r="B52" s="2"/>
      <c r="C52" s="2"/>
      <c r="D52" s="2"/>
      <c r="E52" s="2"/>
      <c r="F52" s="2"/>
      <c r="G52" s="33"/>
      <c r="H52" s="33"/>
      <c r="I52" s="8"/>
      <c r="J52" s="2"/>
      <c r="K52" s="34"/>
    </row>
    <row r="53" spans="1:11">
      <c r="A53" s="11"/>
      <c r="B53" s="2"/>
      <c r="C53" s="2"/>
      <c r="D53" s="2"/>
      <c r="E53" s="2"/>
      <c r="F53" s="2"/>
      <c r="G53" s="33"/>
      <c r="H53" s="33"/>
      <c r="I53" s="8"/>
      <c r="J53" s="2"/>
      <c r="K53" s="34"/>
    </row>
    <row r="54" spans="1:11">
      <c r="A54" s="11"/>
      <c r="B54" s="2"/>
      <c r="C54" s="2"/>
      <c r="D54" s="2"/>
      <c r="E54" s="2"/>
      <c r="F54" s="2"/>
      <c r="G54" s="33"/>
      <c r="H54" s="33"/>
      <c r="I54" s="8"/>
      <c r="J54" s="2"/>
      <c r="K54" s="34"/>
    </row>
    <row r="55" spans="1:11">
      <c r="A55" s="11"/>
      <c r="B55" s="2"/>
      <c r="C55" s="2"/>
      <c r="D55" s="2"/>
      <c r="E55" s="2"/>
      <c r="F55" s="2"/>
      <c r="G55" s="33"/>
      <c r="H55" s="33"/>
      <c r="I55" s="8"/>
      <c r="J55" s="2"/>
      <c r="K55" s="34"/>
    </row>
    <row r="56" spans="1:11">
      <c r="A56" s="11"/>
      <c r="B56" s="2"/>
      <c r="C56" s="2"/>
      <c r="D56" s="2"/>
      <c r="E56" s="2"/>
      <c r="F56" s="2"/>
      <c r="G56" s="33"/>
      <c r="H56" s="33"/>
      <c r="I56" s="8"/>
      <c r="J56" s="2"/>
      <c r="K56" s="34"/>
    </row>
    <row r="57" spans="1:11">
      <c r="A57" s="11"/>
      <c r="B57" s="2"/>
      <c r="C57" s="2"/>
      <c r="D57" s="2"/>
      <c r="E57" s="2"/>
      <c r="F57" s="2"/>
      <c r="G57" s="33"/>
      <c r="H57" s="33"/>
      <c r="I57" s="8"/>
      <c r="J57" s="2"/>
      <c r="K57" s="34"/>
    </row>
    <row r="58" spans="1:11">
      <c r="A58" s="11"/>
      <c r="B58" s="2"/>
      <c r="C58" s="2"/>
      <c r="D58" s="2"/>
      <c r="E58" s="2"/>
      <c r="F58" s="2"/>
      <c r="G58" s="33"/>
      <c r="H58" s="33"/>
      <c r="I58" s="8"/>
      <c r="J58" s="2"/>
      <c r="K58" s="34"/>
    </row>
    <row r="59" spans="1:11">
      <c r="A59" s="11"/>
      <c r="B59" s="2"/>
      <c r="C59" s="2"/>
      <c r="D59" s="2"/>
      <c r="E59" s="2"/>
      <c r="F59" s="2"/>
      <c r="G59" s="33"/>
      <c r="H59" s="33"/>
      <c r="I59" s="8"/>
      <c r="J59" s="2"/>
      <c r="K59" s="34"/>
    </row>
    <row r="60" spans="1:11">
      <c r="A60" s="11"/>
      <c r="B60" s="2"/>
      <c r="C60" s="2"/>
      <c r="D60" s="2"/>
      <c r="E60" s="2"/>
      <c r="F60" s="2"/>
      <c r="G60" s="33"/>
      <c r="H60" s="33"/>
      <c r="I60" s="8"/>
      <c r="J60" s="2"/>
      <c r="K60" s="34"/>
    </row>
    <row r="61" spans="1:11">
      <c r="A61" s="11"/>
      <c r="B61" s="2"/>
      <c r="C61" s="2"/>
      <c r="D61" s="2"/>
      <c r="E61" s="2"/>
      <c r="F61" s="2"/>
      <c r="G61" s="33"/>
      <c r="H61" s="33"/>
      <c r="I61" s="8"/>
      <c r="J61" s="2"/>
      <c r="K61" s="34"/>
    </row>
    <row r="62" spans="1:11">
      <c r="A62" s="11"/>
      <c r="B62" s="2"/>
      <c r="C62" s="2"/>
      <c r="D62" s="2"/>
      <c r="E62" s="2"/>
      <c r="F62" s="2"/>
      <c r="G62" s="33"/>
      <c r="H62" s="33"/>
      <c r="I62" s="8"/>
      <c r="J62" s="2"/>
      <c r="K62" s="34"/>
    </row>
    <row r="63" spans="1:11">
      <c r="A63" s="11"/>
      <c r="B63" s="2"/>
      <c r="C63" s="2"/>
      <c r="D63" s="2"/>
      <c r="E63" s="2"/>
      <c r="F63" s="2"/>
      <c r="G63" s="33"/>
      <c r="H63" s="33"/>
      <c r="I63" s="8"/>
      <c r="J63" s="2"/>
      <c r="K63" s="34"/>
    </row>
    <row r="64" spans="1:11">
      <c r="A64" s="11"/>
      <c r="B64" s="2"/>
      <c r="C64" s="2"/>
      <c r="D64" s="2"/>
      <c r="E64" s="2"/>
      <c r="F64" s="2"/>
      <c r="G64" s="33"/>
      <c r="H64" s="33"/>
      <c r="I64" s="8"/>
      <c r="J64" s="2"/>
      <c r="K64" s="34"/>
    </row>
    <row r="65" spans="1:11">
      <c r="A65" s="11"/>
      <c r="B65" s="2"/>
      <c r="C65" s="2"/>
      <c r="D65" s="2"/>
      <c r="E65" s="2"/>
      <c r="F65" s="2"/>
      <c r="G65" s="33"/>
      <c r="H65" s="33"/>
      <c r="I65" s="8"/>
      <c r="J65" s="2"/>
      <c r="K65" s="34"/>
    </row>
    <row r="66" spans="1:11">
      <c r="A66" s="11"/>
      <c r="B66" s="2"/>
      <c r="C66" s="2"/>
      <c r="D66" s="2"/>
      <c r="E66" s="2"/>
      <c r="F66" s="2"/>
      <c r="G66" s="33"/>
      <c r="H66" s="33"/>
      <c r="I66" s="8"/>
      <c r="J66" s="2"/>
      <c r="K66" s="34"/>
    </row>
    <row r="67" spans="1:11">
      <c r="A67" s="11"/>
      <c r="B67" s="2"/>
      <c r="C67" s="2"/>
      <c r="D67" s="2"/>
      <c r="E67" s="2"/>
      <c r="F67" s="2"/>
      <c r="G67" s="33"/>
      <c r="H67" s="33"/>
      <c r="I67" s="8"/>
      <c r="J67" s="2"/>
      <c r="K67" s="34"/>
    </row>
    <row r="68" spans="1:11">
      <c r="A68" s="11"/>
      <c r="B68" s="2"/>
      <c r="C68" s="2"/>
      <c r="D68" s="2"/>
      <c r="E68" s="2"/>
      <c r="F68" s="2"/>
      <c r="G68" s="33"/>
      <c r="H68" s="33"/>
      <c r="I68" s="8"/>
      <c r="J68" s="2"/>
      <c r="K68" s="34"/>
    </row>
    <row r="69" spans="1:11">
      <c r="A69" s="11"/>
      <c r="B69" s="2"/>
      <c r="C69" s="2"/>
      <c r="D69" s="2"/>
      <c r="E69" s="2"/>
      <c r="F69" s="2"/>
      <c r="G69" s="33"/>
      <c r="H69" s="33"/>
      <c r="I69" s="8"/>
      <c r="J69" s="2"/>
      <c r="K69" s="34"/>
    </row>
    <row r="70" spans="1:11">
      <c r="A70" s="11"/>
      <c r="B70" s="2"/>
      <c r="C70" s="2"/>
      <c r="D70" s="2"/>
      <c r="E70" s="2"/>
      <c r="F70" s="2"/>
      <c r="G70" s="33"/>
      <c r="H70" s="33"/>
      <c r="I70" s="8"/>
      <c r="J70" s="2"/>
      <c r="K70" s="34"/>
    </row>
    <row r="71" spans="1:11">
      <c r="A71" s="11"/>
      <c r="B71" s="2"/>
      <c r="C71" s="2"/>
      <c r="D71" s="2"/>
      <c r="E71" s="2"/>
      <c r="F71" s="2"/>
      <c r="G71" s="33"/>
      <c r="H71" s="33"/>
      <c r="I71" s="8"/>
      <c r="J71" s="2"/>
      <c r="K71" s="34"/>
    </row>
    <row r="72" spans="1:11">
      <c r="A72" s="11"/>
      <c r="B72" s="2"/>
      <c r="C72" s="2"/>
      <c r="D72" s="2"/>
      <c r="E72" s="2"/>
      <c r="F72" s="2"/>
      <c r="G72" s="33"/>
      <c r="H72" s="33"/>
      <c r="I72" s="8"/>
      <c r="J72" s="2"/>
      <c r="K72" s="34"/>
    </row>
    <row r="73" spans="1:11">
      <c r="A73" s="11"/>
      <c r="B73" s="2"/>
      <c r="C73" s="2"/>
      <c r="D73" s="2"/>
      <c r="E73" s="2"/>
      <c r="F73" s="2"/>
      <c r="G73" s="33"/>
      <c r="H73" s="33"/>
      <c r="I73" s="8"/>
      <c r="J73" s="2"/>
      <c r="K73" s="34"/>
    </row>
    <row r="74" spans="1:11">
      <c r="A74" s="11"/>
      <c r="B74" s="2"/>
      <c r="C74" s="2"/>
      <c r="D74" s="2"/>
      <c r="E74" s="2"/>
      <c r="F74" s="2"/>
      <c r="G74" s="33"/>
      <c r="H74" s="33"/>
      <c r="I74" s="8"/>
      <c r="J74" s="2"/>
      <c r="K74" s="34"/>
    </row>
    <row r="75" spans="1:11">
      <c r="A75" s="11"/>
      <c r="B75" s="2"/>
      <c r="C75" s="2"/>
      <c r="D75" s="2"/>
      <c r="E75" s="2"/>
      <c r="F75" s="2"/>
      <c r="G75" s="33"/>
      <c r="H75" s="33"/>
      <c r="I75" s="8"/>
      <c r="J75" s="2"/>
      <c r="K75" s="34"/>
    </row>
    <row r="76" spans="1:11">
      <c r="A76" s="11"/>
      <c r="B76" s="2"/>
      <c r="C76" s="2"/>
      <c r="D76" s="2"/>
      <c r="E76" s="2"/>
      <c r="F76" s="2"/>
      <c r="G76" s="33"/>
      <c r="H76" s="33"/>
      <c r="I76" s="8"/>
      <c r="J76" s="2"/>
      <c r="K76" s="34"/>
    </row>
    <row r="77" spans="1:11">
      <c r="A77" s="11"/>
      <c r="B77" s="2"/>
      <c r="C77" s="2"/>
      <c r="D77" s="2"/>
      <c r="E77" s="2"/>
      <c r="F77" s="2"/>
      <c r="G77" s="33"/>
      <c r="H77" s="33"/>
      <c r="I77" s="8"/>
      <c r="J77" s="2"/>
      <c r="K77" s="34"/>
    </row>
    <row r="78" spans="1:11">
      <c r="A78" s="11"/>
      <c r="B78" s="2"/>
      <c r="C78" s="2"/>
      <c r="D78" s="2"/>
      <c r="E78" s="2"/>
      <c r="F78" s="2"/>
      <c r="G78" s="33"/>
      <c r="H78" s="33"/>
      <c r="I78" s="8"/>
      <c r="J78" s="2"/>
      <c r="K78" s="34"/>
    </row>
    <row r="79" spans="1:11">
      <c r="A79" s="11"/>
      <c r="B79" s="2"/>
      <c r="C79" s="2"/>
      <c r="D79" s="2"/>
      <c r="E79" s="2"/>
      <c r="F79" s="2"/>
      <c r="G79" s="33"/>
      <c r="H79" s="33"/>
      <c r="I79" s="8"/>
      <c r="J79" s="2"/>
      <c r="K79" s="34"/>
    </row>
    <row r="80" spans="1:11">
      <c r="A80" s="11"/>
      <c r="B80" s="2"/>
      <c r="C80" s="2"/>
      <c r="D80" s="2"/>
      <c r="E80" s="2"/>
      <c r="F80" s="2"/>
      <c r="G80" s="33"/>
      <c r="H80" s="33"/>
      <c r="I80" s="8"/>
      <c r="J80" s="2"/>
      <c r="K80" s="34"/>
    </row>
    <row r="81" spans="1:11">
      <c r="A81" s="11"/>
      <c r="B81" s="2"/>
      <c r="C81" s="2"/>
      <c r="D81" s="2"/>
      <c r="E81" s="2"/>
      <c r="F81" s="2"/>
      <c r="G81" s="33"/>
      <c r="H81" s="33"/>
      <c r="I81" s="8"/>
      <c r="J81" s="2"/>
      <c r="K81" s="34"/>
    </row>
    <row r="82" spans="1:11">
      <c r="A82" s="11"/>
      <c r="B82" s="2"/>
      <c r="C82" s="2"/>
      <c r="D82" s="2"/>
      <c r="E82" s="2"/>
      <c r="F82" s="2"/>
      <c r="G82" s="33"/>
      <c r="H82" s="33"/>
      <c r="I82" s="8"/>
      <c r="J82" s="2"/>
      <c r="K82" s="34"/>
    </row>
    <row r="83" spans="1:11">
      <c r="A83" s="11"/>
      <c r="B83" s="2"/>
      <c r="C83" s="2"/>
      <c r="D83" s="2"/>
      <c r="E83" s="2"/>
      <c r="F83" s="2"/>
      <c r="G83" s="33"/>
      <c r="H83" s="33"/>
      <c r="I83" s="8"/>
      <c r="J83" s="2"/>
      <c r="K83" s="34"/>
    </row>
    <row r="84" spans="1:11">
      <c r="A84" s="11"/>
      <c r="B84" s="2"/>
      <c r="C84" s="2"/>
      <c r="D84" s="2"/>
      <c r="E84" s="2"/>
      <c r="F84" s="2"/>
      <c r="G84" s="33"/>
      <c r="H84" s="33"/>
      <c r="I84" s="8"/>
      <c r="J84" s="2"/>
      <c r="K84" s="34"/>
    </row>
    <row r="85" spans="1:11">
      <c r="A85" s="11"/>
      <c r="B85" s="2"/>
      <c r="C85" s="2"/>
      <c r="D85" s="2"/>
      <c r="E85" s="2"/>
      <c r="F85" s="2"/>
      <c r="G85" s="33"/>
      <c r="H85" s="33"/>
      <c r="I85" s="8"/>
      <c r="J85" s="2"/>
      <c r="K85" s="34"/>
    </row>
    <row r="86" spans="1:11">
      <c r="A86" s="11"/>
      <c r="B86" s="2"/>
      <c r="C86" s="2"/>
      <c r="D86" s="2"/>
      <c r="E86" s="2"/>
      <c r="F86" s="2"/>
      <c r="G86" s="33"/>
      <c r="H86" s="33"/>
      <c r="I86" s="8"/>
      <c r="J86" s="2"/>
      <c r="K86" s="34"/>
    </row>
    <row r="87" spans="1:11">
      <c r="A87" s="11"/>
      <c r="B87" s="2"/>
      <c r="C87" s="2"/>
      <c r="D87" s="2"/>
      <c r="E87" s="2"/>
      <c r="F87" s="2"/>
      <c r="G87" s="33"/>
      <c r="H87" s="33"/>
      <c r="I87" s="8"/>
      <c r="J87" s="2"/>
      <c r="K87" s="34"/>
    </row>
    <row r="88" spans="1:11">
      <c r="A88" s="11"/>
      <c r="B88" s="2"/>
      <c r="C88" s="2"/>
      <c r="D88" s="2"/>
      <c r="E88" s="2"/>
      <c r="F88" s="2"/>
      <c r="G88" s="33"/>
      <c r="H88" s="33"/>
      <c r="I88" s="8"/>
      <c r="J88" s="2"/>
      <c r="K88" s="34"/>
    </row>
    <row r="89" spans="1:11">
      <c r="A89" s="11"/>
      <c r="B89" s="2"/>
      <c r="C89" s="2"/>
      <c r="D89" s="2"/>
      <c r="E89" s="2"/>
      <c r="F89" s="2"/>
      <c r="G89" s="33"/>
      <c r="H89" s="33"/>
      <c r="I89" s="8"/>
      <c r="J89" s="2"/>
      <c r="K89" s="34"/>
    </row>
    <row r="90" spans="1:11">
      <c r="A90" s="11"/>
      <c r="B90" s="2"/>
      <c r="C90" s="2"/>
      <c r="D90" s="2"/>
      <c r="E90" s="2"/>
      <c r="F90" s="2"/>
      <c r="G90" s="33"/>
      <c r="H90" s="33"/>
      <c r="I90" s="8"/>
      <c r="J90" s="2"/>
      <c r="K90" s="34"/>
    </row>
    <row r="91" spans="1:11">
      <c r="A91" s="11"/>
      <c r="B91" s="2"/>
      <c r="C91" s="2"/>
      <c r="D91" s="2"/>
      <c r="E91" s="2"/>
      <c r="F91" s="2"/>
      <c r="G91" s="33"/>
      <c r="H91" s="33"/>
      <c r="I91" s="8"/>
      <c r="J91" s="2"/>
      <c r="K91" s="34"/>
    </row>
    <row r="92" spans="1:11">
      <c r="A92" s="11"/>
      <c r="B92" s="2"/>
      <c r="C92" s="2"/>
      <c r="D92" s="2"/>
      <c r="E92" s="2"/>
      <c r="F92" s="2"/>
      <c r="G92" s="33"/>
      <c r="H92" s="33"/>
      <c r="I92" s="8"/>
      <c r="J92" s="2"/>
      <c r="K92" s="34"/>
    </row>
    <row r="93" spans="1:11">
      <c r="A93" s="11"/>
      <c r="B93" s="2"/>
      <c r="C93" s="2"/>
      <c r="D93" s="2"/>
      <c r="E93" s="2"/>
      <c r="F93" s="2"/>
      <c r="G93" s="33"/>
      <c r="H93" s="33"/>
      <c r="I93" s="8"/>
      <c r="J93" s="2"/>
      <c r="K93" s="34"/>
    </row>
    <row r="94" spans="1:11">
      <c r="A94" s="11"/>
      <c r="B94" s="2"/>
      <c r="C94" s="2"/>
      <c r="D94" s="2"/>
      <c r="E94" s="2"/>
      <c r="F94" s="2"/>
      <c r="G94" s="33"/>
      <c r="H94" s="33"/>
      <c r="I94" s="8"/>
      <c r="J94" s="2"/>
      <c r="K94" s="34"/>
    </row>
    <row r="95" spans="1:11">
      <c r="A95" s="11"/>
      <c r="B95" s="2"/>
      <c r="C95" s="2"/>
      <c r="D95" s="2"/>
      <c r="E95" s="2"/>
      <c r="F95" s="2"/>
      <c r="G95" s="33"/>
      <c r="H95" s="33"/>
      <c r="I95" s="8"/>
      <c r="J95" s="2"/>
      <c r="K95" s="34"/>
    </row>
    <row r="96" spans="1:11">
      <c r="A96" s="11"/>
      <c r="B96" s="2"/>
      <c r="C96" s="2"/>
      <c r="D96" s="2"/>
      <c r="E96" s="2"/>
      <c r="F96" s="2"/>
      <c r="G96" s="33"/>
      <c r="H96" s="33"/>
      <c r="I96" s="8"/>
      <c r="J96" s="2"/>
      <c r="K96" s="34"/>
    </row>
    <row r="97" spans="1:11">
      <c r="A97" s="11"/>
      <c r="B97" s="2"/>
      <c r="C97" s="2"/>
      <c r="D97" s="2"/>
      <c r="E97" s="2"/>
      <c r="F97" s="2"/>
      <c r="G97" s="33"/>
      <c r="H97" s="33"/>
      <c r="I97" s="8"/>
      <c r="J97" s="2"/>
      <c r="K97" s="34"/>
    </row>
    <row r="98" spans="1:11">
      <c r="A98" s="11"/>
      <c r="B98" s="2"/>
      <c r="C98" s="2"/>
      <c r="D98" s="2"/>
      <c r="E98" s="2"/>
      <c r="F98" s="2"/>
      <c r="G98" s="33"/>
      <c r="H98" s="33"/>
      <c r="I98" s="8"/>
      <c r="J98" s="2"/>
      <c r="K98" s="34"/>
    </row>
    <row r="99" spans="1:11">
      <c r="A99" s="11"/>
      <c r="B99" s="2"/>
      <c r="C99" s="2"/>
      <c r="D99" s="2"/>
      <c r="E99" s="2"/>
      <c r="F99" s="2"/>
      <c r="G99" s="33"/>
      <c r="H99" s="33"/>
      <c r="I99" s="8"/>
      <c r="J99" s="2"/>
      <c r="K99" s="34"/>
    </row>
    <row r="100" spans="1:11">
      <c r="A100" s="11"/>
    </row>
  </sheetData>
  <mergeCells count="1">
    <mergeCell ref="Q2:V2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91" t="s">
        <v>23</v>
      </c>
      <c r="B2" s="95"/>
      <c r="C2" s="95"/>
      <c r="D2" s="96"/>
    </row>
    <row r="3" spans="1:4" ht="27.6" customHeight="1">
      <c r="A3" s="23" t="s">
        <v>36</v>
      </c>
      <c r="B3" s="16" t="s">
        <v>37</v>
      </c>
      <c r="C3" s="17" t="s">
        <v>38</v>
      </c>
      <c r="D3" s="24" t="s">
        <v>41</v>
      </c>
    </row>
    <row r="4" spans="1:4">
      <c r="A4" s="25"/>
      <c r="B4" s="22"/>
      <c r="C4" s="22"/>
      <c r="D4" s="26"/>
    </row>
    <row r="5" spans="1:4">
      <c r="A5" s="25"/>
      <c r="B5" s="22"/>
      <c r="C5" s="22"/>
      <c r="D5" s="27"/>
    </row>
    <row r="6" spans="1:4" ht="15" customHeight="1" thickBot="1">
      <c r="A6" s="28"/>
      <c r="B6" s="29"/>
      <c r="C6" s="30"/>
      <c r="D6" s="31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93" t="s">
        <v>42</v>
      </c>
      <c r="B2" s="97"/>
      <c r="C2" s="97"/>
      <c r="D2" s="98"/>
      <c r="G2" s="92" t="s">
        <v>43</v>
      </c>
      <c r="H2" s="97"/>
      <c r="I2" s="97"/>
      <c r="J2" s="98"/>
    </row>
    <row r="4" spans="1:10" ht="27.6" customHeight="1">
      <c r="A4" s="43" t="s">
        <v>36</v>
      </c>
      <c r="B4" s="44" t="s">
        <v>37</v>
      </c>
      <c r="C4" s="45" t="s">
        <v>38</v>
      </c>
      <c r="D4" s="51" t="s">
        <v>41</v>
      </c>
      <c r="F4" s="46" t="s">
        <v>44</v>
      </c>
      <c r="G4" s="46" t="s">
        <v>36</v>
      </c>
      <c r="H4" s="47" t="s">
        <v>37</v>
      </c>
      <c r="I4" s="48" t="s">
        <v>38</v>
      </c>
      <c r="J4" s="48" t="s">
        <v>45</v>
      </c>
    </row>
    <row r="5" spans="1:10">
      <c r="A5" s="50">
        <v>45092</v>
      </c>
      <c r="B5" s="22">
        <v>11579428</v>
      </c>
      <c r="C5" s="22">
        <v>5047163</v>
      </c>
      <c r="D5" s="22">
        <f>+C5+B5</f>
        <v>16626591</v>
      </c>
      <c r="F5" s="49">
        <v>1</v>
      </c>
      <c r="G5" s="38">
        <v>45092</v>
      </c>
      <c r="H5" s="18">
        <v>11579428</v>
      </c>
      <c r="I5" s="18">
        <v>5047163</v>
      </c>
      <c r="J5" s="40">
        <f>+H5+I5</f>
        <v>16626591</v>
      </c>
    </row>
    <row r="6" spans="1:10">
      <c r="A6" s="38">
        <v>45121</v>
      </c>
      <c r="B6" s="22">
        <v>11095536</v>
      </c>
      <c r="C6" s="52">
        <v>5531054</v>
      </c>
      <c r="D6" s="22">
        <f>+C6+B6</f>
        <v>16626590</v>
      </c>
      <c r="F6" s="37">
        <v>2</v>
      </c>
      <c r="G6" s="38">
        <v>45122</v>
      </c>
      <c r="H6" s="22">
        <v>11478140</v>
      </c>
      <c r="I6" s="22">
        <v>5148450</v>
      </c>
      <c r="J6" s="40">
        <f>SUM(H6:I6)</f>
        <v>16626590</v>
      </c>
    </row>
    <row r="7" spans="1:10">
      <c r="A7" s="38">
        <v>45153</v>
      </c>
      <c r="B7" s="22"/>
      <c r="C7" s="22"/>
      <c r="D7" s="22">
        <f>+C7+B7</f>
        <v>0</v>
      </c>
      <c r="F7" s="37">
        <v>3</v>
      </c>
      <c r="G7" s="38">
        <v>45153</v>
      </c>
      <c r="H7" s="22">
        <v>11368085</v>
      </c>
      <c r="I7" s="22">
        <v>5247935</v>
      </c>
      <c r="J7" s="40">
        <f>SUM(H7:I7)</f>
        <v>16616020</v>
      </c>
    </row>
    <row r="8" spans="1:10">
      <c r="A8" s="39"/>
      <c r="B8" s="41"/>
      <c r="C8" s="40"/>
      <c r="D8" s="40"/>
    </row>
    <row r="11" spans="1:10">
      <c r="A11" s="94" t="s">
        <v>46</v>
      </c>
      <c r="B11" s="97"/>
      <c r="C11" s="97"/>
      <c r="D11" s="98"/>
    </row>
    <row r="13" spans="1:10">
      <c r="A13" s="42">
        <v>45047</v>
      </c>
      <c r="B13" s="42">
        <v>45078</v>
      </c>
      <c r="C13" s="42">
        <v>45108</v>
      </c>
    </row>
    <row r="14" spans="1:10">
      <c r="A14" s="21">
        <v>5789714.166666666</v>
      </c>
      <c r="B14" s="21">
        <v>5789714</v>
      </c>
      <c r="C14" s="21">
        <v>5356465.8998543695</v>
      </c>
    </row>
    <row r="15" spans="1:10">
      <c r="A15" s="35"/>
      <c r="B15" s="36">
        <v>5739070.1001456305</v>
      </c>
      <c r="C15" s="36">
        <v>5684042.6006204812</v>
      </c>
    </row>
    <row r="16" spans="1:10">
      <c r="A16" s="21">
        <f>SUM(A14:A15)</f>
        <v>5789714.166666666</v>
      </c>
      <c r="B16" s="21">
        <f>SUM(B14:B15)</f>
        <v>11528784.100145631</v>
      </c>
      <c r="C16" s="21">
        <f>SUM(C14:C15)</f>
        <v>11040508.500474852</v>
      </c>
    </row>
    <row r="18" spans="1:2">
      <c r="A18" s="21">
        <f>+A16+B14</f>
        <v>11579428.166666666</v>
      </c>
      <c r="B18" s="21">
        <f>+B15+C14</f>
        <v>11095536</v>
      </c>
    </row>
  </sheetData>
  <mergeCells count="3">
    <mergeCell ref="G2:J2"/>
    <mergeCell ref="A2:D2"/>
    <mergeCell ref="A11:D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5"/>
  <sheetData>
    <row r="1" spans="1:2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</row>
    <row r="2" spans="1:21">
      <c r="A2" t="s">
        <v>68</v>
      </c>
      <c r="B2" t="s">
        <v>69</v>
      </c>
      <c r="C2" t="s">
        <v>70</v>
      </c>
      <c r="D2" t="s">
        <v>71</v>
      </c>
      <c r="E2">
        <v>20</v>
      </c>
      <c r="F2" t="s">
        <v>72</v>
      </c>
      <c r="G2" t="s">
        <v>73</v>
      </c>
      <c r="H2" t="s">
        <v>74</v>
      </c>
      <c r="I2" t="s">
        <v>75</v>
      </c>
      <c r="J2">
        <v>20</v>
      </c>
      <c r="K2">
        <v>19</v>
      </c>
      <c r="L2" t="s">
        <v>76</v>
      </c>
      <c r="M2" t="s">
        <v>77</v>
      </c>
      <c r="N2" t="s">
        <v>72</v>
      </c>
      <c r="O2" t="s">
        <v>78</v>
      </c>
      <c r="Q2" t="s">
        <v>79</v>
      </c>
      <c r="R2" t="s">
        <v>78</v>
      </c>
      <c r="S2" t="s">
        <v>80</v>
      </c>
      <c r="T2" t="s">
        <v>81</v>
      </c>
      <c r="U2" t="s">
        <v>82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4369295B-1901-4716-8C77-22CC88AA2234}"/>
</file>

<file path=customXml/itemProps2.xml><?xml version="1.0" encoding="utf-8"?>
<ds:datastoreItem xmlns:ds="http://schemas.openxmlformats.org/officeDocument/2006/customXml" ds:itemID="{56B92915-85D7-4EDD-8A07-F3EABB917289}"/>
</file>

<file path=customXml/itemProps3.xml><?xml version="1.0" encoding="utf-8"?>
<ds:datastoreItem xmlns:ds="http://schemas.openxmlformats.org/officeDocument/2006/customXml" ds:itemID="{D796D6B1-F4DF-4E78-9EB8-2C58E6EB47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