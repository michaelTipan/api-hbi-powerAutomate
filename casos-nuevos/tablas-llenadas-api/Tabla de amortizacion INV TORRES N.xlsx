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xr:revisionPtr revIDLastSave="0" documentId="8_{611C2C19-0438-440B-8609-EA6E6E5E77DF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asaImplicita" sheetId="1" state="hidden" r:id="rId1"/>
    <sheet name="TORRES N" sheetId="2" r:id="rId2"/>
    <sheet name="RETENCIONES" sheetId="3" r:id="rId3"/>
    <sheet name="Hoja1" sheetId="4" r:id="rId4"/>
    <sheet name="Hoja2" sheetId="5" r:id="rId5"/>
    <sheet name="_AUTOMATION_LOG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5" l="1"/>
  <c r="C16" i="5"/>
  <c r="B16" i="5"/>
  <c r="A16" i="5"/>
  <c r="A18" i="5" s="1"/>
  <c r="J7" i="5"/>
  <c r="D7" i="5"/>
  <c r="J6" i="5"/>
  <c r="D6" i="5"/>
  <c r="J5" i="5"/>
  <c r="D5" i="5"/>
  <c r="C105" i="3"/>
  <c r="C103" i="3"/>
  <c r="C98" i="3"/>
  <c r="C96" i="3"/>
  <c r="C91" i="3"/>
  <c r="C89" i="3"/>
  <c r="C84" i="3"/>
  <c r="C82" i="3"/>
  <c r="C77" i="3"/>
  <c r="C75" i="3"/>
  <c r="C70" i="3"/>
  <c r="C68" i="3"/>
  <c r="C63" i="3"/>
  <c r="C61" i="3"/>
  <c r="C56" i="3"/>
  <c r="C54" i="3"/>
  <c r="C49" i="3"/>
  <c r="C47" i="3"/>
  <c r="C42" i="3"/>
  <c r="C40" i="3"/>
  <c r="C35" i="3"/>
  <c r="C33" i="3"/>
  <c r="C28" i="3"/>
  <c r="C26" i="3"/>
  <c r="C21" i="3"/>
  <c r="C19" i="3"/>
  <c r="C14" i="3"/>
  <c r="C12" i="3"/>
  <c r="C7" i="3"/>
  <c r="C5" i="3"/>
  <c r="A13" i="1"/>
  <c r="B11" i="1"/>
  <c r="C11" i="1" s="1"/>
  <c r="B4" i="1"/>
  <c r="B5" i="1" s="1"/>
  <c r="B7" i="1" s="1"/>
  <c r="B12" i="1" s="1"/>
  <c r="G2" i="1"/>
  <c r="K1" i="1"/>
  <c r="K5" i="1" s="1"/>
  <c r="G1" i="1"/>
  <c r="G5" i="1" s="1"/>
  <c r="AA40" i="2"/>
  <c r="AA37" i="2"/>
  <c r="AA41" i="2" s="1"/>
  <c r="AA30" i="2"/>
  <c r="AA27" i="2"/>
  <c r="AA31" i="2" s="1"/>
  <c r="X27" i="2"/>
  <c r="W26" i="2"/>
  <c r="W25" i="2"/>
  <c r="D25" i="2"/>
  <c r="W24" i="2"/>
  <c r="D24" i="2"/>
  <c r="W23" i="2"/>
  <c r="D23" i="2"/>
  <c r="W22" i="2"/>
  <c r="D22" i="2"/>
  <c r="W21" i="2"/>
  <c r="D21" i="2"/>
  <c r="X20" i="2"/>
  <c r="D20" i="2"/>
  <c r="W19" i="2"/>
  <c r="O19" i="2"/>
  <c r="P19" i="2" s="1"/>
  <c r="D19" i="2"/>
  <c r="W18" i="2"/>
  <c r="O18" i="2"/>
  <c r="P18" i="2" s="1"/>
  <c r="D18" i="2"/>
  <c r="W17" i="2"/>
  <c r="O17" i="2"/>
  <c r="P17" i="2" s="1"/>
  <c r="D17" i="2"/>
  <c r="W16" i="2"/>
  <c r="D16" i="2"/>
  <c r="W15" i="2"/>
  <c r="D15" i="2"/>
  <c r="AM14" i="2"/>
  <c r="AL14" i="2"/>
  <c r="AK14" i="2"/>
  <c r="W14" i="2"/>
  <c r="D14" i="2"/>
  <c r="AN13" i="2"/>
  <c r="AM13" i="2"/>
  <c r="AM15" i="2" s="1"/>
  <c r="AL13" i="2"/>
  <c r="AL15" i="2" s="1"/>
  <c r="W13" i="2"/>
  <c r="D13" i="2"/>
  <c r="W12" i="2"/>
  <c r="W11" i="2"/>
  <c r="W10" i="2"/>
  <c r="D10" i="2"/>
  <c r="W9" i="2"/>
  <c r="O9" i="2"/>
  <c r="D9" i="2"/>
  <c r="W8" i="2"/>
  <c r="O8" i="2"/>
  <c r="P8" i="2" s="1"/>
  <c r="AB14" i="2" s="1"/>
  <c r="D8" i="2"/>
  <c r="W7" i="2"/>
  <c r="D7" i="2"/>
  <c r="W6" i="2"/>
  <c r="O6" i="2"/>
  <c r="P6" i="2" s="1"/>
  <c r="Z13" i="2" s="1"/>
  <c r="H6" i="2"/>
  <c r="I6" i="2" s="1"/>
  <c r="D6" i="2"/>
  <c r="B6" i="2"/>
  <c r="A6" i="2"/>
  <c r="J3" i="2"/>
  <c r="F3" i="2"/>
  <c r="F4" i="2" s="1"/>
  <c r="E6" i="2" s="1"/>
  <c r="A7" i="2" l="1"/>
  <c r="K6" i="2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F6" i="2"/>
  <c r="C6" i="2"/>
  <c r="J6" i="2"/>
  <c r="Z15" i="2"/>
  <c r="AA13" i="2"/>
  <c r="AC13" i="2"/>
  <c r="AC11" i="2"/>
  <c r="P9" i="2"/>
  <c r="AC14" i="2" s="1"/>
  <c r="AD13" i="2" s="1"/>
  <c r="C12" i="1"/>
  <c r="A14" i="1"/>
  <c r="B13" i="1"/>
  <c r="C13" i="1" l="1"/>
  <c r="A15" i="1"/>
  <c r="C14" i="1"/>
  <c r="B14" i="1"/>
  <c r="AC15" i="2"/>
  <c r="AC9" i="2"/>
  <c r="AB18" i="2"/>
  <c r="Z18" i="2"/>
  <c r="A8" i="2"/>
  <c r="M7" i="2"/>
  <c r="N7" i="2" s="1"/>
  <c r="K7" i="2"/>
  <c r="H7" i="2"/>
  <c r="I7" i="2" s="1"/>
  <c r="E7" i="2"/>
  <c r="B7" i="2"/>
  <c r="F7" i="2" l="1"/>
  <c r="C7" i="2"/>
  <c r="O7" i="2" s="1"/>
  <c r="P7" i="2" s="1"/>
  <c r="AA14" i="2" s="1"/>
  <c r="J7" i="2"/>
  <c r="A9" i="2"/>
  <c r="M8" i="2"/>
  <c r="N8" i="2" s="1"/>
  <c r="K8" i="2"/>
  <c r="H8" i="2"/>
  <c r="I8" i="2" s="1"/>
  <c r="E8" i="2"/>
  <c r="B8" i="2"/>
  <c r="A16" i="1"/>
  <c r="C15" i="1"/>
  <c r="B15" i="1"/>
  <c r="A17" i="1" l="1"/>
  <c r="C16" i="1"/>
  <c r="B16" i="1"/>
  <c r="F8" i="2"/>
  <c r="C8" i="2"/>
  <c r="J8" i="2"/>
  <c r="A10" i="2"/>
  <c r="M9" i="2"/>
  <c r="N9" i="2" s="1"/>
  <c r="H9" i="2"/>
  <c r="I9" i="2" s="1"/>
  <c r="E9" i="2"/>
  <c r="B9" i="2"/>
  <c r="K9" i="2"/>
  <c r="AA15" i="2"/>
  <c r="AB13" i="2"/>
  <c r="AB15" i="2" l="1"/>
  <c r="AA18" i="2"/>
  <c r="F9" i="2"/>
  <c r="C9" i="2"/>
  <c r="J9" i="2"/>
  <c r="A11" i="2"/>
  <c r="M10" i="2"/>
  <c r="N10" i="2" s="1"/>
  <c r="K10" i="2"/>
  <c r="H10" i="2"/>
  <c r="I10" i="2" s="1"/>
  <c r="E10" i="2"/>
  <c r="B10" i="2"/>
  <c r="A18" i="1"/>
  <c r="C17" i="1"/>
  <c r="B17" i="1"/>
  <c r="A19" i="1" l="1"/>
  <c r="C18" i="1"/>
  <c r="B18" i="1"/>
  <c r="F10" i="2"/>
  <c r="C10" i="2"/>
  <c r="O10" i="2" s="1"/>
  <c r="P10" i="2" s="1"/>
  <c r="AD14" i="2" s="1"/>
  <c r="J10" i="2"/>
  <c r="A12" i="2"/>
  <c r="M11" i="2"/>
  <c r="N11" i="2" s="1"/>
  <c r="H11" i="2"/>
  <c r="I11" i="2" s="1"/>
  <c r="E11" i="2"/>
  <c r="B11" i="2"/>
  <c r="K11" i="2"/>
  <c r="F11" i="2" l="1"/>
  <c r="C11" i="2"/>
  <c r="O11" i="2" s="1"/>
  <c r="P11" i="2" s="1"/>
  <c r="AE14" i="2" s="1"/>
  <c r="AF13" i="2" s="1"/>
  <c r="J11" i="2"/>
  <c r="A13" i="2"/>
  <c r="M12" i="2"/>
  <c r="N12" i="2" s="1"/>
  <c r="K12" i="2"/>
  <c r="H12" i="2"/>
  <c r="I12" i="2" s="1"/>
  <c r="E12" i="2"/>
  <c r="B12" i="2"/>
  <c r="AE13" i="2"/>
  <c r="AE15" i="2" s="1"/>
  <c r="AD15" i="2"/>
  <c r="A20" i="1"/>
  <c r="C19" i="1"/>
  <c r="B19" i="1"/>
  <c r="A21" i="1" l="1"/>
  <c r="C20" i="1"/>
  <c r="B20" i="1"/>
  <c r="F12" i="2"/>
  <c r="C12" i="2"/>
  <c r="O12" i="2" s="1"/>
  <c r="J12" i="2"/>
  <c r="A14" i="2"/>
  <c r="M13" i="2"/>
  <c r="N13" i="2" s="1"/>
  <c r="H13" i="2"/>
  <c r="I13" i="2" s="1"/>
  <c r="E13" i="2"/>
  <c r="B13" i="2"/>
  <c r="K13" i="2"/>
  <c r="F13" i="2" l="1"/>
  <c r="C13" i="2"/>
  <c r="O13" i="2" s="1"/>
  <c r="J13" i="2"/>
  <c r="A15" i="2"/>
  <c r="M14" i="2"/>
  <c r="N14" i="2" s="1"/>
  <c r="K14" i="2"/>
  <c r="H14" i="2"/>
  <c r="I14" i="2" s="1"/>
  <c r="E14" i="2"/>
  <c r="B14" i="2"/>
  <c r="AG13" i="2"/>
  <c r="P12" i="2"/>
  <c r="AF14" i="2" s="1"/>
  <c r="AF15" i="2" s="1"/>
  <c r="A22" i="1"/>
  <c r="C21" i="1"/>
  <c r="B21" i="1"/>
  <c r="A23" i="1" l="1"/>
  <c r="C22" i="1"/>
  <c r="B22" i="1"/>
  <c r="F14" i="2"/>
  <c r="C14" i="2"/>
  <c r="O14" i="2" s="1"/>
  <c r="J14" i="2"/>
  <c r="A16" i="2"/>
  <c r="M15" i="2"/>
  <c r="N15" i="2" s="1"/>
  <c r="H15" i="2"/>
  <c r="I15" i="2" s="1"/>
  <c r="E15" i="2"/>
  <c r="B15" i="2"/>
  <c r="K15" i="2"/>
  <c r="AH13" i="2"/>
  <c r="P13" i="2"/>
  <c r="AG14" i="2" s="1"/>
  <c r="AG15" i="2" s="1"/>
  <c r="F15" i="2" l="1"/>
  <c r="C15" i="2"/>
  <c r="O15" i="2" s="1"/>
  <c r="J15" i="2"/>
  <c r="A17" i="2"/>
  <c r="M16" i="2"/>
  <c r="N16" i="2" s="1"/>
  <c r="K16" i="2"/>
  <c r="H16" i="2"/>
  <c r="I16" i="2" s="1"/>
  <c r="E16" i="2"/>
  <c r="B16" i="2"/>
  <c r="P14" i="2"/>
  <c r="AH14" i="2" s="1"/>
  <c r="AH15" i="2" s="1"/>
  <c r="AI13" i="2"/>
  <c r="A24" i="1"/>
  <c r="C23" i="1"/>
  <c r="B23" i="1"/>
  <c r="A25" i="1" l="1"/>
  <c r="C24" i="1"/>
  <c r="B24" i="1"/>
  <c r="F16" i="2"/>
  <c r="C16" i="2"/>
  <c r="O16" i="2" s="1"/>
  <c r="J16" i="2"/>
  <c r="A18" i="2"/>
  <c r="M17" i="2"/>
  <c r="N17" i="2" s="1"/>
  <c r="H17" i="2"/>
  <c r="I17" i="2" s="1"/>
  <c r="E17" i="2"/>
  <c r="B17" i="2"/>
  <c r="K17" i="2"/>
  <c r="P15" i="2"/>
  <c r="AI14" i="2" s="1"/>
  <c r="AI15" i="2" s="1"/>
  <c r="AJ13" i="2"/>
  <c r="F17" i="2" l="1"/>
  <c r="C17" i="2"/>
  <c r="J17" i="2"/>
  <c r="A19" i="2"/>
  <c r="M18" i="2"/>
  <c r="N18" i="2" s="1"/>
  <c r="K18" i="2"/>
  <c r="H18" i="2"/>
  <c r="I18" i="2" s="1"/>
  <c r="E18" i="2"/>
  <c r="B18" i="2"/>
  <c r="P16" i="2"/>
  <c r="AJ14" i="2" s="1"/>
  <c r="AJ15" i="2" s="1"/>
  <c r="AK13" i="2"/>
  <c r="AK15" i="2" s="1"/>
  <c r="A26" i="1"/>
  <c r="C25" i="1"/>
  <c r="B25" i="1"/>
  <c r="A27" i="1" l="1"/>
  <c r="C26" i="1"/>
  <c r="B26" i="1"/>
  <c r="F18" i="2"/>
  <c r="C18" i="2"/>
  <c r="J18" i="2"/>
  <c r="A20" i="2"/>
  <c r="M19" i="2"/>
  <c r="N19" i="2" s="1"/>
  <c r="H19" i="2"/>
  <c r="I19" i="2" s="1"/>
  <c r="E19" i="2"/>
  <c r="B19" i="2"/>
  <c r="K19" i="2"/>
  <c r="F19" i="2" l="1"/>
  <c r="C19" i="2"/>
  <c r="J19" i="2"/>
  <c r="A21" i="2"/>
  <c r="M20" i="2"/>
  <c r="N20" i="2" s="1"/>
  <c r="K20" i="2"/>
  <c r="H20" i="2"/>
  <c r="I20" i="2" s="1"/>
  <c r="E20" i="2"/>
  <c r="B20" i="2"/>
  <c r="A28" i="1"/>
  <c r="C27" i="1"/>
  <c r="B27" i="1"/>
  <c r="A29" i="1" l="1"/>
  <c r="C28" i="1"/>
  <c r="B28" i="1"/>
  <c r="F20" i="2"/>
  <c r="C20" i="2"/>
  <c r="O20" i="2" s="1"/>
  <c r="J20" i="2"/>
  <c r="A22" i="2"/>
  <c r="M21" i="2"/>
  <c r="N21" i="2" s="1"/>
  <c r="H21" i="2"/>
  <c r="I21" i="2" s="1"/>
  <c r="E21" i="2"/>
  <c r="B21" i="2"/>
  <c r="K21" i="2"/>
  <c r="F21" i="2" l="1"/>
  <c r="C21" i="2"/>
  <c r="O21" i="2" s="1"/>
  <c r="J21" i="2"/>
  <c r="A23" i="2"/>
  <c r="M22" i="2"/>
  <c r="N22" i="2" s="1"/>
  <c r="K22" i="2"/>
  <c r="H22" i="2"/>
  <c r="I22" i="2" s="1"/>
  <c r="E22" i="2"/>
  <c r="B22" i="2"/>
  <c r="P20" i="2"/>
  <c r="AN14" i="2" s="1"/>
  <c r="AN15" i="2" s="1"/>
  <c r="AO13" i="2"/>
  <c r="A30" i="1"/>
  <c r="C29" i="1"/>
  <c r="B29" i="1"/>
  <c r="A31" i="1" l="1"/>
  <c r="C30" i="1"/>
  <c r="B30" i="1"/>
  <c r="F22" i="2"/>
  <c r="C22" i="2"/>
  <c r="O22" i="2" s="1"/>
  <c r="J22" i="2"/>
  <c r="A24" i="2"/>
  <c r="M23" i="2"/>
  <c r="N23" i="2" s="1"/>
  <c r="H23" i="2"/>
  <c r="I23" i="2" s="1"/>
  <c r="E23" i="2"/>
  <c r="B23" i="2"/>
  <c r="K23" i="2"/>
  <c r="P21" i="2"/>
  <c r="AO14" i="2" s="1"/>
  <c r="AO15" i="2" s="1"/>
  <c r="AP13" i="2"/>
  <c r="F23" i="2" l="1"/>
  <c r="C23" i="2"/>
  <c r="O23" i="2" s="1"/>
  <c r="J23" i="2"/>
  <c r="A25" i="2"/>
  <c r="K24" i="2"/>
  <c r="H24" i="2"/>
  <c r="I24" i="2" s="1"/>
  <c r="E24" i="2"/>
  <c r="B24" i="2"/>
  <c r="P22" i="2"/>
  <c r="AP14" i="2" s="1"/>
  <c r="AP15" i="2" s="1"/>
  <c r="AQ13" i="2"/>
  <c r="A32" i="1"/>
  <c r="C31" i="1"/>
  <c r="B31" i="1"/>
  <c r="A33" i="1" l="1"/>
  <c r="C32" i="1"/>
  <c r="B32" i="1"/>
  <c r="F24" i="2"/>
  <c r="C24" i="2"/>
  <c r="O24" i="2" s="1"/>
  <c r="J24" i="2"/>
  <c r="A26" i="2"/>
  <c r="H25" i="2"/>
  <c r="I25" i="2" s="1"/>
  <c r="E25" i="2"/>
  <c r="B25" i="2"/>
  <c r="K25" i="2"/>
  <c r="P23" i="2"/>
  <c r="AQ14" i="2" s="1"/>
  <c r="AQ15" i="2" s="1"/>
  <c r="AR13" i="2"/>
  <c r="F25" i="2" l="1"/>
  <c r="C25" i="2"/>
  <c r="O25" i="2" s="1"/>
  <c r="J25" i="2"/>
  <c r="A27" i="2"/>
  <c r="K26" i="2"/>
  <c r="H26" i="2"/>
  <c r="I26" i="2" s="1"/>
  <c r="E26" i="2"/>
  <c r="B26" i="2"/>
  <c r="M24" i="2"/>
  <c r="N24" i="2" s="1"/>
  <c r="P24" i="2"/>
  <c r="AR14" i="2" s="1"/>
  <c r="AR15" i="2" s="1"/>
  <c r="AS13" i="2"/>
  <c r="A34" i="1"/>
  <c r="C33" i="1"/>
  <c r="B33" i="1"/>
  <c r="A35" i="1" l="1"/>
  <c r="C34" i="1"/>
  <c r="B34" i="1"/>
  <c r="C26" i="2"/>
  <c r="O26" i="2" s="1"/>
  <c r="P26" i="2" s="1"/>
  <c r="AT14" i="2" s="1"/>
  <c r="D26" i="2"/>
  <c r="F26" i="2" s="1"/>
  <c r="J26" i="2"/>
  <c r="A28" i="2"/>
  <c r="H27" i="2"/>
  <c r="I27" i="2" s="1"/>
  <c r="E27" i="2"/>
  <c r="B27" i="2"/>
  <c r="M25" i="2"/>
  <c r="N25" i="2" s="1"/>
  <c r="K27" i="2"/>
  <c r="P25" i="2"/>
  <c r="AS14" i="2" s="1"/>
  <c r="AS15" i="2" s="1"/>
  <c r="AT13" i="2"/>
  <c r="AT15" i="2" s="1"/>
  <c r="C27" i="2" l="1"/>
  <c r="D27" i="2"/>
  <c r="F27" i="2" s="1"/>
  <c r="J27" i="2"/>
  <c r="A29" i="2"/>
  <c r="K28" i="2"/>
  <c r="H28" i="2"/>
  <c r="I28" i="2" s="1"/>
  <c r="E28" i="2"/>
  <c r="B28" i="2"/>
  <c r="M26" i="2"/>
  <c r="N26" i="2" s="1"/>
  <c r="A36" i="1"/>
  <c r="C35" i="1"/>
  <c r="B35" i="1"/>
  <c r="A37" i="1" l="1"/>
  <c r="C36" i="1"/>
  <c r="B36" i="1"/>
  <c r="C28" i="2"/>
  <c r="D28" i="2"/>
  <c r="F28" i="2" s="1"/>
  <c r="J28" i="2"/>
  <c r="A30" i="2"/>
  <c r="H29" i="2"/>
  <c r="I29" i="2" s="1"/>
  <c r="E29" i="2"/>
  <c r="B29" i="2"/>
  <c r="M27" i="2"/>
  <c r="N27" i="2" s="1"/>
  <c r="K29" i="2"/>
  <c r="C29" i="2" l="1"/>
  <c r="D29" i="2"/>
  <c r="F29" i="2" s="1"/>
  <c r="J29" i="2"/>
  <c r="A31" i="2"/>
  <c r="K30" i="2"/>
  <c r="H30" i="2"/>
  <c r="I30" i="2" s="1"/>
  <c r="E30" i="2"/>
  <c r="B30" i="2"/>
  <c r="M28" i="2"/>
  <c r="N28" i="2" s="1"/>
  <c r="A38" i="1"/>
  <c r="C37" i="1"/>
  <c r="B37" i="1"/>
  <c r="A39" i="1" l="1"/>
  <c r="C38" i="1"/>
  <c r="B38" i="1"/>
  <c r="C30" i="2"/>
  <c r="D30" i="2"/>
  <c r="F30" i="2" s="1"/>
  <c r="J30" i="2"/>
  <c r="A32" i="2"/>
  <c r="H31" i="2"/>
  <c r="I31" i="2" s="1"/>
  <c r="E31" i="2"/>
  <c r="B31" i="2"/>
  <c r="M29" i="2"/>
  <c r="N29" i="2" s="1"/>
  <c r="K31" i="2"/>
  <c r="C31" i="2" l="1"/>
  <c r="D31" i="2"/>
  <c r="F31" i="2" s="1"/>
  <c r="J31" i="2"/>
  <c r="A33" i="2"/>
  <c r="K32" i="2"/>
  <c r="H32" i="2"/>
  <c r="I32" i="2" s="1"/>
  <c r="E32" i="2"/>
  <c r="B32" i="2"/>
  <c r="M30" i="2"/>
  <c r="N30" i="2" s="1"/>
  <c r="A40" i="1"/>
  <c r="C39" i="1"/>
  <c r="B39" i="1"/>
  <c r="A41" i="1" l="1"/>
  <c r="C40" i="1"/>
  <c r="B40" i="1"/>
  <c r="C32" i="2"/>
  <c r="D32" i="2"/>
  <c r="F32" i="2" s="1"/>
  <c r="J32" i="2"/>
  <c r="A34" i="2"/>
  <c r="H33" i="2"/>
  <c r="I33" i="2" s="1"/>
  <c r="E33" i="2"/>
  <c r="B33" i="2"/>
  <c r="M31" i="2"/>
  <c r="N31" i="2" s="1"/>
  <c r="K33" i="2"/>
  <c r="C33" i="2" l="1"/>
  <c r="D33" i="2"/>
  <c r="F33" i="2" s="1"/>
  <c r="J33" i="2"/>
  <c r="A35" i="2"/>
  <c r="K34" i="2"/>
  <c r="H34" i="2"/>
  <c r="I34" i="2" s="1"/>
  <c r="E34" i="2"/>
  <c r="B34" i="2"/>
  <c r="M32" i="2"/>
  <c r="N32" i="2" s="1"/>
  <c r="A42" i="1"/>
  <c r="C41" i="1"/>
  <c r="B41" i="1"/>
  <c r="A43" i="1" l="1"/>
  <c r="C42" i="1"/>
  <c r="B42" i="1"/>
  <c r="C34" i="2"/>
  <c r="D34" i="2"/>
  <c r="F34" i="2" s="1"/>
  <c r="J34" i="2"/>
  <c r="A36" i="2"/>
  <c r="H35" i="2"/>
  <c r="I35" i="2" s="1"/>
  <c r="E35" i="2"/>
  <c r="B35" i="2"/>
  <c r="M33" i="2"/>
  <c r="N33" i="2" s="1"/>
  <c r="K35" i="2"/>
  <c r="C35" i="2" l="1"/>
  <c r="D35" i="2"/>
  <c r="F35" i="2" s="1"/>
  <c r="J35" i="2"/>
  <c r="A37" i="2"/>
  <c r="K36" i="2"/>
  <c r="H36" i="2"/>
  <c r="I36" i="2" s="1"/>
  <c r="E36" i="2"/>
  <c r="B36" i="2"/>
  <c r="M34" i="2"/>
  <c r="N34" i="2" s="1"/>
  <c r="A44" i="1"/>
  <c r="C43" i="1"/>
  <c r="B43" i="1"/>
  <c r="A45" i="1" l="1"/>
  <c r="C44" i="1"/>
  <c r="B44" i="1"/>
  <c r="C36" i="2"/>
  <c r="D36" i="2"/>
  <c r="F36" i="2" s="1"/>
  <c r="J36" i="2"/>
  <c r="A38" i="2"/>
  <c r="H37" i="2"/>
  <c r="I37" i="2" s="1"/>
  <c r="E37" i="2"/>
  <c r="B37" i="2"/>
  <c r="M35" i="2"/>
  <c r="N35" i="2" s="1"/>
  <c r="K37" i="2"/>
  <c r="C37" i="2" l="1"/>
  <c r="D37" i="2"/>
  <c r="F37" i="2" s="1"/>
  <c r="J37" i="2"/>
  <c r="A39" i="2"/>
  <c r="K38" i="2"/>
  <c r="H38" i="2"/>
  <c r="I38" i="2" s="1"/>
  <c r="E38" i="2"/>
  <c r="B38" i="2"/>
  <c r="M36" i="2"/>
  <c r="N36" i="2" s="1"/>
  <c r="A46" i="1"/>
  <c r="C45" i="1"/>
  <c r="B45" i="1"/>
  <c r="A47" i="1" l="1"/>
  <c r="C46" i="1"/>
  <c r="B46" i="1"/>
  <c r="C38" i="2"/>
  <c r="D38" i="2"/>
  <c r="F38" i="2" s="1"/>
  <c r="J38" i="2"/>
  <c r="A40" i="2"/>
  <c r="H39" i="2"/>
  <c r="I39" i="2" s="1"/>
  <c r="E39" i="2"/>
  <c r="B39" i="2"/>
  <c r="M37" i="2"/>
  <c r="N37" i="2" s="1"/>
  <c r="K39" i="2"/>
  <c r="C39" i="2" l="1"/>
  <c r="D39" i="2"/>
  <c r="F39" i="2" s="1"/>
  <c r="J39" i="2"/>
  <c r="A41" i="2"/>
  <c r="K40" i="2"/>
  <c r="H40" i="2"/>
  <c r="I40" i="2" s="1"/>
  <c r="E40" i="2"/>
  <c r="B40" i="2"/>
  <c r="M38" i="2"/>
  <c r="N38" i="2" s="1"/>
  <c r="A48" i="1"/>
  <c r="C47" i="1"/>
  <c r="B47" i="1"/>
  <c r="A49" i="1" l="1"/>
  <c r="C48" i="1"/>
  <c r="B48" i="1"/>
  <c r="C40" i="2"/>
  <c r="D40" i="2"/>
  <c r="F40" i="2" s="1"/>
  <c r="J40" i="2"/>
  <c r="A42" i="2"/>
  <c r="H41" i="2"/>
  <c r="I41" i="2" s="1"/>
  <c r="E41" i="2"/>
  <c r="B41" i="2"/>
  <c r="M39" i="2"/>
  <c r="N39" i="2" s="1"/>
  <c r="K41" i="2"/>
  <c r="C41" i="2" l="1"/>
  <c r="D41" i="2"/>
  <c r="F41" i="2" s="1"/>
  <c r="J41" i="2"/>
  <c r="A43" i="2"/>
  <c r="K42" i="2"/>
  <c r="H42" i="2"/>
  <c r="I42" i="2" s="1"/>
  <c r="E42" i="2"/>
  <c r="B42" i="2"/>
  <c r="M40" i="2"/>
  <c r="N40" i="2" s="1"/>
  <c r="A50" i="1"/>
  <c r="C49" i="1"/>
  <c r="B49" i="1"/>
  <c r="A51" i="1" l="1"/>
  <c r="C50" i="1"/>
  <c r="B50" i="1"/>
  <c r="C42" i="2"/>
  <c r="D42" i="2"/>
  <c r="F42" i="2" s="1"/>
  <c r="J42" i="2"/>
  <c r="A44" i="2"/>
  <c r="H43" i="2"/>
  <c r="I43" i="2" s="1"/>
  <c r="E43" i="2"/>
  <c r="B43" i="2"/>
  <c r="M41" i="2"/>
  <c r="N41" i="2" s="1"/>
  <c r="K43" i="2"/>
  <c r="C43" i="2" l="1"/>
  <c r="D43" i="2"/>
  <c r="F43" i="2" s="1"/>
  <c r="J43" i="2"/>
  <c r="A45" i="2"/>
  <c r="K44" i="2"/>
  <c r="H44" i="2"/>
  <c r="I44" i="2" s="1"/>
  <c r="E44" i="2"/>
  <c r="B44" i="2"/>
  <c r="M42" i="2"/>
  <c r="N42" i="2" s="1"/>
  <c r="A52" i="1"/>
  <c r="C51" i="1"/>
  <c r="B51" i="1"/>
  <c r="A53" i="1" l="1"/>
  <c r="C52" i="1"/>
  <c r="B52" i="1"/>
  <c r="C44" i="2"/>
  <c r="D44" i="2"/>
  <c r="F44" i="2" s="1"/>
  <c r="J44" i="2"/>
  <c r="A46" i="2"/>
  <c r="H45" i="2"/>
  <c r="I45" i="2" s="1"/>
  <c r="E45" i="2"/>
  <c r="B45" i="2"/>
  <c r="M43" i="2"/>
  <c r="N43" i="2" s="1"/>
  <c r="K45" i="2"/>
  <c r="C45" i="2" l="1"/>
  <c r="D45" i="2"/>
  <c r="F45" i="2" s="1"/>
  <c r="J45" i="2"/>
  <c r="A47" i="2"/>
  <c r="K46" i="2"/>
  <c r="H46" i="2"/>
  <c r="I46" i="2" s="1"/>
  <c r="E46" i="2"/>
  <c r="B46" i="2"/>
  <c r="M44" i="2"/>
  <c r="N44" i="2" s="1"/>
  <c r="A54" i="1"/>
  <c r="C53" i="1"/>
  <c r="B53" i="1"/>
  <c r="A55" i="1" l="1"/>
  <c r="C54" i="1"/>
  <c r="B54" i="1"/>
  <c r="C46" i="2"/>
  <c r="D46" i="2"/>
  <c r="F46" i="2" s="1"/>
  <c r="J46" i="2"/>
  <c r="A48" i="2"/>
  <c r="H47" i="2"/>
  <c r="I47" i="2" s="1"/>
  <c r="E47" i="2"/>
  <c r="B47" i="2"/>
  <c r="M45" i="2"/>
  <c r="N45" i="2" s="1"/>
  <c r="K47" i="2"/>
  <c r="C47" i="2" l="1"/>
  <c r="D47" i="2"/>
  <c r="F47" i="2" s="1"/>
  <c r="J47" i="2"/>
  <c r="A49" i="2"/>
  <c r="K48" i="2"/>
  <c r="H48" i="2"/>
  <c r="I48" i="2" s="1"/>
  <c r="E48" i="2"/>
  <c r="B48" i="2"/>
  <c r="M46" i="2"/>
  <c r="N46" i="2" s="1"/>
  <c r="A56" i="1"/>
  <c r="C55" i="1"/>
  <c r="B55" i="1"/>
  <c r="A57" i="1" l="1"/>
  <c r="C56" i="1"/>
  <c r="B56" i="1"/>
  <c r="C48" i="2"/>
  <c r="D48" i="2"/>
  <c r="F48" i="2" s="1"/>
  <c r="J48" i="2"/>
  <c r="A50" i="2"/>
  <c r="H49" i="2"/>
  <c r="I49" i="2" s="1"/>
  <c r="E49" i="2"/>
  <c r="B49" i="2"/>
  <c r="M47" i="2"/>
  <c r="N47" i="2" s="1"/>
  <c r="K49" i="2"/>
  <c r="C49" i="2" l="1"/>
  <c r="D49" i="2"/>
  <c r="F49" i="2" s="1"/>
  <c r="J49" i="2"/>
  <c r="A51" i="2"/>
  <c r="K50" i="2"/>
  <c r="H50" i="2"/>
  <c r="I50" i="2" s="1"/>
  <c r="E50" i="2"/>
  <c r="B50" i="2"/>
  <c r="M48" i="2"/>
  <c r="N48" i="2" s="1"/>
  <c r="A58" i="1"/>
  <c r="C57" i="1"/>
  <c r="B57" i="1"/>
  <c r="A59" i="1" l="1"/>
  <c r="C58" i="1"/>
  <c r="B58" i="1"/>
  <c r="C50" i="2"/>
  <c r="D50" i="2"/>
  <c r="F50" i="2" s="1"/>
  <c r="J50" i="2"/>
  <c r="A52" i="2"/>
  <c r="H51" i="2"/>
  <c r="I51" i="2" s="1"/>
  <c r="E51" i="2"/>
  <c r="B51" i="2"/>
  <c r="M49" i="2"/>
  <c r="N49" i="2" s="1"/>
  <c r="K51" i="2"/>
  <c r="C51" i="2" l="1"/>
  <c r="D51" i="2"/>
  <c r="F51" i="2" s="1"/>
  <c r="J51" i="2"/>
  <c r="A53" i="2"/>
  <c r="K52" i="2"/>
  <c r="H52" i="2"/>
  <c r="I52" i="2" s="1"/>
  <c r="E52" i="2"/>
  <c r="B52" i="2"/>
  <c r="M50" i="2"/>
  <c r="N50" i="2" s="1"/>
  <c r="A60" i="1"/>
  <c r="C59" i="1"/>
  <c r="B59" i="1"/>
  <c r="A61" i="1" l="1"/>
  <c r="C60" i="1"/>
  <c r="B60" i="1"/>
  <c r="C52" i="2"/>
  <c r="D52" i="2"/>
  <c r="F52" i="2" s="1"/>
  <c r="J52" i="2"/>
  <c r="A54" i="2"/>
  <c r="H53" i="2"/>
  <c r="I53" i="2" s="1"/>
  <c r="E53" i="2"/>
  <c r="B53" i="2"/>
  <c r="M51" i="2"/>
  <c r="N51" i="2" s="1"/>
  <c r="K53" i="2"/>
  <c r="C53" i="2" l="1"/>
  <c r="D53" i="2"/>
  <c r="F53" i="2" s="1"/>
  <c r="J53" i="2"/>
  <c r="A55" i="2"/>
  <c r="K54" i="2"/>
  <c r="H54" i="2"/>
  <c r="I54" i="2" s="1"/>
  <c r="E54" i="2"/>
  <c r="B54" i="2"/>
  <c r="M52" i="2"/>
  <c r="N52" i="2" s="1"/>
  <c r="A62" i="1"/>
  <c r="C61" i="1"/>
  <c r="B61" i="1"/>
  <c r="A63" i="1" l="1"/>
  <c r="C62" i="1"/>
  <c r="B62" i="1"/>
  <c r="C54" i="2"/>
  <c r="D54" i="2"/>
  <c r="F54" i="2" s="1"/>
  <c r="J54" i="2"/>
  <c r="A56" i="2"/>
  <c r="H55" i="2"/>
  <c r="I55" i="2" s="1"/>
  <c r="E55" i="2"/>
  <c r="B55" i="2"/>
  <c r="M53" i="2"/>
  <c r="N53" i="2" s="1"/>
  <c r="K55" i="2"/>
  <c r="C55" i="2" l="1"/>
  <c r="D55" i="2"/>
  <c r="F55" i="2" s="1"/>
  <c r="J55" i="2"/>
  <c r="A57" i="2"/>
  <c r="K56" i="2"/>
  <c r="H56" i="2"/>
  <c r="I56" i="2" s="1"/>
  <c r="E56" i="2"/>
  <c r="B56" i="2"/>
  <c r="M54" i="2"/>
  <c r="N54" i="2" s="1"/>
  <c r="A64" i="1"/>
  <c r="C63" i="1"/>
  <c r="B63" i="1"/>
  <c r="A65" i="1" l="1"/>
  <c r="C64" i="1"/>
  <c r="B64" i="1"/>
  <c r="C56" i="2"/>
  <c r="D56" i="2"/>
  <c r="F56" i="2" s="1"/>
  <c r="J56" i="2"/>
  <c r="A58" i="2"/>
  <c r="H57" i="2"/>
  <c r="I57" i="2" s="1"/>
  <c r="E57" i="2"/>
  <c r="B57" i="2"/>
  <c r="M55" i="2"/>
  <c r="N55" i="2" s="1"/>
  <c r="K57" i="2"/>
  <c r="C57" i="2" l="1"/>
  <c r="D57" i="2"/>
  <c r="F57" i="2" s="1"/>
  <c r="J57" i="2"/>
  <c r="A59" i="2"/>
  <c r="K58" i="2"/>
  <c r="H58" i="2"/>
  <c r="I58" i="2" s="1"/>
  <c r="E58" i="2"/>
  <c r="B58" i="2"/>
  <c r="M56" i="2"/>
  <c r="N56" i="2" s="1"/>
  <c r="A66" i="1"/>
  <c r="C65" i="1"/>
  <c r="B65" i="1"/>
  <c r="A67" i="1" l="1"/>
  <c r="C66" i="1"/>
  <c r="B66" i="1"/>
  <c r="C58" i="2"/>
  <c r="D58" i="2"/>
  <c r="F58" i="2" s="1"/>
  <c r="J58" i="2"/>
  <c r="A60" i="2"/>
  <c r="H59" i="2"/>
  <c r="I59" i="2" s="1"/>
  <c r="E59" i="2"/>
  <c r="B59" i="2"/>
  <c r="M57" i="2"/>
  <c r="N57" i="2" s="1"/>
  <c r="K59" i="2"/>
  <c r="C59" i="2" l="1"/>
  <c r="D59" i="2"/>
  <c r="F59" i="2" s="1"/>
  <c r="J59" i="2"/>
  <c r="A61" i="2"/>
  <c r="K60" i="2"/>
  <c r="H60" i="2"/>
  <c r="I60" i="2" s="1"/>
  <c r="E60" i="2"/>
  <c r="B60" i="2"/>
  <c r="M58" i="2"/>
  <c r="N58" i="2" s="1"/>
  <c r="A68" i="1"/>
  <c r="C67" i="1"/>
  <c r="B67" i="1"/>
  <c r="A69" i="1" l="1"/>
  <c r="C68" i="1"/>
  <c r="B68" i="1"/>
  <c r="C60" i="2"/>
  <c r="D60" i="2"/>
  <c r="F60" i="2" s="1"/>
  <c r="J60" i="2"/>
  <c r="A62" i="2"/>
  <c r="H61" i="2"/>
  <c r="I61" i="2" s="1"/>
  <c r="E61" i="2"/>
  <c r="B61" i="2"/>
  <c r="M59" i="2"/>
  <c r="N59" i="2" s="1"/>
  <c r="K61" i="2"/>
  <c r="C61" i="2" l="1"/>
  <c r="D61" i="2"/>
  <c r="F61" i="2" s="1"/>
  <c r="J61" i="2"/>
  <c r="A63" i="2"/>
  <c r="K62" i="2"/>
  <c r="H62" i="2"/>
  <c r="I62" i="2" s="1"/>
  <c r="E62" i="2"/>
  <c r="B62" i="2"/>
  <c r="M60" i="2"/>
  <c r="N60" i="2" s="1"/>
  <c r="A70" i="1"/>
  <c r="C69" i="1"/>
  <c r="B69" i="1"/>
  <c r="A71" i="1" l="1"/>
  <c r="C70" i="1"/>
  <c r="B70" i="1"/>
  <c r="C62" i="2"/>
  <c r="D62" i="2"/>
  <c r="F62" i="2" s="1"/>
  <c r="J62" i="2"/>
  <c r="H63" i="2"/>
  <c r="I63" i="2" s="1"/>
  <c r="E63" i="2"/>
  <c r="B63" i="2"/>
  <c r="M61" i="2"/>
  <c r="K63" i="2"/>
  <c r="M62" i="2" l="1"/>
  <c r="N61" i="2"/>
  <c r="C63" i="2"/>
  <c r="D63" i="2"/>
  <c r="F63" i="2" s="1"/>
  <c r="J63" i="2"/>
  <c r="A72" i="1"/>
  <c r="C71" i="1"/>
  <c r="B71" i="1"/>
  <c r="A73" i="1" l="1"/>
  <c r="C72" i="1"/>
  <c r="B72" i="1"/>
  <c r="M63" i="2"/>
  <c r="N62" i="2"/>
  <c r="N63" i="2" l="1"/>
  <c r="A74" i="1"/>
  <c r="C73" i="1"/>
  <c r="B73" i="1"/>
  <c r="A75" i="1" l="1"/>
  <c r="C74" i="1"/>
  <c r="B74" i="1"/>
  <c r="A76" i="1" l="1"/>
  <c r="C75" i="1"/>
  <c r="B75" i="1"/>
  <c r="A77" i="1" l="1"/>
  <c r="C76" i="1"/>
  <c r="B76" i="1"/>
  <c r="A78" i="1" l="1"/>
  <c r="C77" i="1"/>
  <c r="B77" i="1"/>
  <c r="A79" i="1" l="1"/>
  <c r="C78" i="1"/>
  <c r="B78" i="1"/>
  <c r="A80" i="1" l="1"/>
  <c r="C79" i="1"/>
  <c r="B79" i="1"/>
  <c r="A81" i="1" l="1"/>
  <c r="C80" i="1"/>
  <c r="B80" i="1"/>
  <c r="A82" i="1" l="1"/>
  <c r="C81" i="1"/>
  <c r="B81" i="1"/>
  <c r="A83" i="1" l="1"/>
  <c r="C82" i="1"/>
  <c r="B82" i="1"/>
  <c r="A84" i="1" l="1"/>
  <c r="C83" i="1"/>
  <c r="B83" i="1"/>
  <c r="A85" i="1" l="1"/>
  <c r="C84" i="1"/>
  <c r="B84" i="1"/>
  <c r="A86" i="1" l="1"/>
  <c r="C85" i="1"/>
  <c r="B85" i="1"/>
  <c r="A87" i="1" l="1"/>
  <c r="C86" i="1"/>
  <c r="B86" i="1"/>
  <c r="A88" i="1" l="1"/>
  <c r="C87" i="1"/>
  <c r="B87" i="1"/>
  <c r="A89" i="1" l="1"/>
  <c r="C88" i="1"/>
  <c r="B88" i="1"/>
  <c r="A90" i="1" l="1"/>
  <c r="C89" i="1"/>
  <c r="B89" i="1"/>
  <c r="A91" i="1" l="1"/>
  <c r="C90" i="1"/>
  <c r="B90" i="1"/>
  <c r="A92" i="1" l="1"/>
  <c r="C91" i="1"/>
  <c r="B91" i="1"/>
  <c r="A93" i="1" l="1"/>
  <c r="C92" i="1"/>
  <c r="B92" i="1"/>
  <c r="A94" i="1" l="1"/>
  <c r="C93" i="1"/>
  <c r="B93" i="1"/>
  <c r="A95" i="1" l="1"/>
  <c r="C94" i="1"/>
  <c r="B94" i="1"/>
  <c r="A96" i="1" l="1"/>
  <c r="C95" i="1"/>
  <c r="B95" i="1"/>
  <c r="A97" i="1" l="1"/>
  <c r="C96" i="1"/>
  <c r="B96" i="1"/>
  <c r="A98" i="1" l="1"/>
  <c r="C97" i="1"/>
  <c r="B97" i="1"/>
  <c r="A99" i="1" l="1"/>
  <c r="C98" i="1"/>
  <c r="B98" i="1"/>
  <c r="A100" i="1" l="1"/>
  <c r="C99" i="1"/>
  <c r="B99" i="1"/>
  <c r="A101" i="1" l="1"/>
  <c r="C100" i="1"/>
  <c r="B100" i="1"/>
  <c r="A102" i="1" l="1"/>
  <c r="C101" i="1"/>
  <c r="B101" i="1"/>
  <c r="A103" i="1" l="1"/>
  <c r="C102" i="1"/>
  <c r="B102" i="1"/>
  <c r="A104" i="1" l="1"/>
  <c r="C103" i="1"/>
  <c r="B103" i="1"/>
  <c r="A105" i="1" l="1"/>
  <c r="C104" i="1"/>
  <c r="B104" i="1"/>
  <c r="A106" i="1" l="1"/>
  <c r="C105" i="1"/>
  <c r="B105" i="1"/>
  <c r="A107" i="1" l="1"/>
  <c r="C106" i="1"/>
  <c r="B106" i="1"/>
  <c r="A108" i="1" l="1"/>
  <c r="C107" i="1"/>
  <c r="B107" i="1"/>
  <c r="A109" i="1" l="1"/>
  <c r="C108" i="1"/>
  <c r="B108" i="1"/>
  <c r="A110" i="1" l="1"/>
  <c r="C109" i="1"/>
  <c r="B109" i="1"/>
  <c r="A111" i="1" l="1"/>
  <c r="C110" i="1"/>
  <c r="B110" i="1"/>
  <c r="A112" i="1" l="1"/>
  <c r="C111" i="1"/>
  <c r="B111" i="1"/>
  <c r="A113" i="1" l="1"/>
  <c r="C112" i="1"/>
  <c r="B112" i="1"/>
  <c r="A114" i="1" l="1"/>
  <c r="C113" i="1"/>
  <c r="B113" i="1"/>
  <c r="A115" i="1" l="1"/>
  <c r="C114" i="1"/>
  <c r="B114" i="1"/>
  <c r="A116" i="1" l="1"/>
  <c r="C115" i="1"/>
  <c r="B115" i="1"/>
  <c r="A117" i="1" l="1"/>
  <c r="C116" i="1"/>
  <c r="B116" i="1"/>
  <c r="A118" i="1" l="1"/>
  <c r="C117" i="1"/>
  <c r="B117" i="1"/>
  <c r="A119" i="1" l="1"/>
  <c r="C118" i="1"/>
  <c r="B118" i="1"/>
  <c r="A120" i="1" l="1"/>
  <c r="C119" i="1"/>
  <c r="B119" i="1"/>
  <c r="A121" i="1" l="1"/>
  <c r="C120" i="1"/>
  <c r="B120" i="1"/>
  <c r="A122" i="1" l="1"/>
  <c r="C121" i="1"/>
  <c r="B121" i="1"/>
  <c r="A123" i="1" l="1"/>
  <c r="C122" i="1"/>
  <c r="B122" i="1"/>
  <c r="A124" i="1" l="1"/>
  <c r="C123" i="1"/>
  <c r="B123" i="1"/>
  <c r="A125" i="1" l="1"/>
  <c r="C124" i="1"/>
  <c r="B124" i="1"/>
  <c r="A126" i="1" l="1"/>
  <c r="C125" i="1"/>
  <c r="B125" i="1"/>
  <c r="A127" i="1" l="1"/>
  <c r="C126" i="1"/>
  <c r="B126" i="1"/>
  <c r="A128" i="1" l="1"/>
  <c r="C127" i="1"/>
  <c r="B127" i="1"/>
  <c r="A129" i="1" l="1"/>
  <c r="C128" i="1"/>
  <c r="B128" i="1"/>
  <c r="A130" i="1" l="1"/>
  <c r="C129" i="1"/>
  <c r="B129" i="1"/>
  <c r="A131" i="1" l="1"/>
  <c r="C130" i="1"/>
  <c r="B130" i="1"/>
  <c r="A132" i="1" l="1"/>
  <c r="C131" i="1"/>
  <c r="B10" i="1" s="1"/>
  <c r="B131" i="1"/>
  <c r="B9" i="1" s="1"/>
  <c r="C132" i="1" l="1"/>
  <c r="B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</authors>
  <commentList>
    <comment ref="U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Patricia Bello Pedraza:
4219</t>
        </r>
      </text>
    </comment>
    <comment ref="U1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Patricia Bello Pedraza:
4453</t>
        </r>
      </text>
    </comment>
    <comment ref="U19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Patricia Bello Pedraza:
5068</t>
        </r>
      </text>
    </comment>
  </commentList>
</comments>
</file>

<file path=xl/sharedStrings.xml><?xml version="1.0" encoding="utf-8"?>
<sst xmlns="http://schemas.openxmlformats.org/spreadsheetml/2006/main" count="225" uniqueCount="113">
  <si>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</si>
  <si>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</si>
  <si>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</si>
  <si>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</si>
  <si>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</si>
  <si>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</si>
  <si>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</si>
  <si>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</si>
  <si>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</si>
  <si>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</si>
  <si>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</si>
  <si>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</si>
  <si>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</si>
  <si>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</si>
  <si>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</si>
  <si>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</si>
  <si>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FECHA DESEM</t>
  </si>
  <si>
    <t>Capital inicial</t>
  </si>
  <si>
    <t>IBR inicial</t>
  </si>
  <si>
    <t>Tasa inicial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</si>
  <si>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</si>
  <si>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</si>
  <si>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</si>
  <si>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</si>
  <si>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</si>
  <si>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</si>
  <si>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</si>
  <si>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</si>
  <si>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</si>
  <si>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</si>
  <si>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Cuota + i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</si>
  <si>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</si>
  <si>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</si>
  <si>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</si>
  <si>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</si>
  <si>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</si>
  <si>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</si>
  <si>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</si>
  <si>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</si>
  <si>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Abono a capital</t>
  </si>
  <si>
    <t>Intereses de mora</t>
  </si>
  <si>
    <t>Retenciones</t>
  </si>
  <si>
    <t>Valor pagado cliente</t>
  </si>
  <si>
    <t>Saldos Menores</t>
  </si>
  <si>
    <t>RETENCIONES</t>
  </si>
  <si>
    <t>ABRIL</t>
  </si>
  <si>
    <t>Valor extracto</t>
  </si>
  <si>
    <t>Valor pagado</t>
  </si>
  <si>
    <t>Diferencia</t>
  </si>
  <si>
    <t>Intereses extracto</t>
  </si>
  <si>
    <t>Valor retención</t>
  </si>
  <si>
    <t>MAYO</t>
  </si>
  <si>
    <t>JUNIO</t>
  </si>
  <si>
    <t>VALOR EXTRACTO</t>
  </si>
  <si>
    <t>VALOR PAGADO</t>
  </si>
  <si>
    <t>DIFERENCIA</t>
  </si>
  <si>
    <t>INT EXTRACTO</t>
  </si>
  <si>
    <t>RETENCION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</si>
  <si>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</si>
  <si>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</si>
  <si>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</si>
  <si>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</si>
  <si>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</si>
  <si>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</si>
  <si>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</si>
  <si>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</si>
  <si>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JULIO</t>
  </si>
  <si>
    <t xml:space="preserve">APLICACIÓN DEL PAGO </t>
  </si>
  <si>
    <t xml:space="preserve">EXTRACTO </t>
  </si>
  <si>
    <t>Cuota #</t>
  </si>
  <si>
    <t>Valor a pagar</t>
  </si>
  <si>
    <t>FACTURACION</t>
  </si>
  <si>
    <t>Timestamp</t>
  </si>
  <si>
    <t>IdPago</t>
  </si>
  <si>
    <t>Cliente</t>
  </si>
  <si>
    <t>Credito</t>
  </si>
  <si>
    <t>Fila</t>
  </si>
  <si>
    <t>Accion</t>
  </si>
  <si>
    <t>Detalle</t>
  </si>
  <si>
    <t>IdempotencyKey</t>
  </si>
  <si>
    <t>AsientoPdfPath</t>
  </si>
  <si>
    <t>ApplicationRow</t>
  </si>
  <si>
    <t>IbrRow</t>
  </si>
  <si>
    <t>AsientoPdfHash</t>
  </si>
  <si>
    <t>AsientoPdfETag</t>
  </si>
  <si>
    <t>Estado</t>
  </si>
  <si>
    <t>TipoAplicacion</t>
  </si>
  <si>
    <t>ValorPagadoCliente</t>
  </si>
  <si>
    <t>TipoAplicacionOriginal</t>
  </si>
  <si>
    <t>TipoAplicacionCanonica</t>
  </si>
  <si>
    <t>SubtipoAplicacion</t>
  </si>
  <si>
    <t>RolExtracto</t>
  </si>
  <si>
    <t>ActualizaIBR</t>
  </si>
  <si>
    <t>2026-08-21T05:06:03-05:00</t>
  </si>
  <si>
    <t>361e4beb-3462-4ecf-b63b-56199d80212e</t>
  </si>
  <si>
    <t>INVERSIONES TORRES NIÑO</t>
  </si>
  <si>
    <t>128</t>
  </si>
  <si>
    <t>APLICADO</t>
  </si>
  <si>
    <t>apply|WOULD_APPLY|ibr=WOULD_SKIP_IBR_ALREADY_PRESENT|tipo=PAGO|subtipo=CUOTA</t>
  </si>
  <si>
    <t>361e4beb-3462-4ecf-b63b-56199d80212e|128|informacion creditos-clientes/03 comware pruebas- informacion creditos clientes/inversiones torres niño/credito # 128/asientos contables cred 128/cred 128-2.pdf||</t>
  </si>
  <si>
    <t>INFORMACION CREDITOS-CLIENTES/03 COMWARE PRUEBAS- INFORMACION CREDITOS CLIENTES/INVERSIONES TORRES NIÑO/CREDITO # 128/ASIENTOS CONTABLES CRED 128/CRED 128-2.pdf</t>
  </si>
  <si>
    <t>a1fb923374867a931f4c3a9dbdab1b74129bad379132acb93cfb1a2e9b3d0f5f</t>
  </si>
  <si>
    <t>"{E76406E1-FE28-4BD6-ABCD-F601DC49606E},1"</t>
  </si>
  <si>
    <t>PAGO</t>
  </si>
  <si>
    <t>PAGO CUOTA</t>
  </si>
  <si>
    <t>CUOTA</t>
  </si>
  <si>
    <t>CIERRE_CUOTA</t>
  </si>
  <si>
    <t>SI</t>
  </si>
  <si>
    <t>apply|WOULD_APPLY|ibr=WOULD_SKIP_IBR_ALREADY_PLANNED|tipo=PAGO|subtipo=CUOTA</t>
  </si>
  <si>
    <t>361e4beb-3462-4ecf-b63b-56199d80212e|128|informacion creditos-clientes/03 comware pruebas- informacion creditos clientes/inversiones torres niño/credito # 128/asientos contables cred 128/cred 128-1.pdf||</t>
  </si>
  <si>
    <t>INFORMACION CREDITOS-CLIENTES/03 COMWARE PRUEBAS- INFORMACION CREDITOS CLIENTES/INVERSIONES TORRES NIÑO/CREDITO # 128/ASIENTOS CONTABLES CRED 128/CRED 128-1.pdf</t>
  </si>
  <si>
    <t>c8d54b959653e164ad9450e627529c20353a9c3d94819322bb165a3a975c2088</t>
  </si>
  <si>
    <t>"{C34155B7-ED1D-4E5B-BE9A-6CD9D6920AAC},1"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</si>
</sst>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33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165" fontId="0" fillId="0" borderId="0" xfId="2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0" fontId="3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43" fontId="0" fillId="5" borderId="4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4" xfId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wrapText="1"/>
    </xf>
    <xf numFmtId="14" fontId="0" fillId="0" borderId="8" xfId="0" applyNumberFormat="1" applyBorder="1"/>
    <xf numFmtId="43" fontId="5" fillId="6" borderId="9" xfId="1" applyFont="1" applyFill="1" applyBorder="1"/>
    <xf numFmtId="43" fontId="5" fillId="6" borderId="9" xfId="0" applyNumberFormat="1" applyFont="1" applyFill="1" applyBorder="1"/>
    <xf numFmtId="0" fontId="0" fillId="0" borderId="10" xfId="0" applyBorder="1" applyAlignment="1">
      <alignment horizontal="center"/>
    </xf>
    <xf numFmtId="164" fontId="0" fillId="0" borderId="11" xfId="0" applyNumberFormat="1" applyBorder="1"/>
    <xf numFmtId="43" fontId="0" fillId="0" borderId="11" xfId="0" applyNumberFormat="1" applyBorder="1"/>
    <xf numFmtId="43" fontId="5" fillId="6" borderId="12" xfId="0" applyNumberFormat="1" applyFont="1" applyFill="1" applyBorder="1"/>
    <xf numFmtId="43" fontId="0" fillId="7" borderId="0" xfId="1" applyFont="1" applyFill="1"/>
    <xf numFmtId="0" fontId="0" fillId="0" borderId="13" xfId="0" applyBorder="1"/>
    <xf numFmtId="43" fontId="0" fillId="0" borderId="13" xfId="0" applyNumberFormat="1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43" fontId="0" fillId="0" borderId="4" xfId="0" applyNumberFormat="1" applyBorder="1"/>
    <xf numFmtId="164" fontId="0" fillId="0" borderId="4" xfId="0" applyNumberFormat="1" applyBorder="1"/>
    <xf numFmtId="17" fontId="5" fillId="0" borderId="0" xfId="0" applyNumberFormat="1" applyFont="1" applyAlignment="1">
      <alignment horizontal="center"/>
    </xf>
    <xf numFmtId="0" fontId="3" fillId="5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0" fillId="0" borderId="4" xfId="1" applyNumberFormat="1" applyFont="1" applyBorder="1" applyAlignment="1">
      <alignment horizontal="center"/>
    </xf>
    <xf numFmtId="14" fontId="0" fillId="0" borderId="4" xfId="1" applyNumberFormat="1" applyFont="1" applyBorder="1"/>
    <xf numFmtId="0" fontId="3" fillId="5" borderId="4" xfId="0" applyFont="1" applyFill="1" applyBorder="1" applyAlignment="1">
      <alignment horizontal="center" wrapText="1"/>
    </xf>
    <xf numFmtId="43" fontId="5" fillId="3" borderId="4" xfId="1" applyFont="1" applyFill="1" applyBorder="1"/>
    <xf numFmtId="14" fontId="6" fillId="0" borderId="0" xfId="0" applyNumberFormat="1" applyFont="1"/>
    <xf numFmtId="0" fontId="6" fillId="0" borderId="0" xfId="0" applyFont="1"/>
    <xf numFmtId="43" fontId="0" fillId="3" borderId="4" xfId="1" applyFont="1" applyFill="1" applyBorder="1"/>
    <xf numFmtId="14" fontId="0" fillId="3" borderId="4" xfId="0" applyNumberFormat="1" applyFill="1" applyBorder="1"/>
    <xf numFmtId="164" fontId="7" fillId="0" borderId="0" xfId="1" applyNumberFormat="1" applyFont="1"/>
    <xf numFmtId="0" fontId="0" fillId="10" borderId="0" xfId="0" applyFill="1"/>
    <xf numFmtId="164" fontId="7" fillId="3" borderId="0" xfId="1" applyNumberFormat="1" applyFont="1" applyFill="1"/>
    <xf numFmtId="43" fontId="6" fillId="3" borderId="4" xfId="1" applyFont="1" applyFill="1" applyBorder="1"/>
    <xf numFmtId="14" fontId="0" fillId="3" borderId="4" xfId="0" applyNumberFormat="1" applyFill="1" applyBorder="1" applyAlignment="1">
      <alignment horizontal="right"/>
    </xf>
    <xf numFmtId="0" fontId="8" fillId="0" borderId="0" xfId="0" applyFont="1"/>
    <xf numFmtId="165" fontId="7" fillId="0" borderId="0" xfId="2" applyNumberFormat="1" applyFont="1" applyProtection="1">
      <protection locked="0"/>
    </xf>
    <xf numFmtId="165" fontId="7" fillId="3" borderId="0" xfId="2" applyNumberFormat="1" applyFont="1" applyFill="1" applyProtection="1">
      <protection locked="0"/>
    </xf>
    <xf numFmtId="9" fontId="0" fillId="0" borderId="0" xfId="0" applyNumberFormat="1"/>
    <xf numFmtId="0" fontId="7" fillId="0" borderId="0" xfId="0" applyFont="1" applyAlignment="1">
      <alignment horizontal="center"/>
    </xf>
    <xf numFmtId="0" fontId="5" fillId="0" borderId="0" xfId="0" applyFont="1"/>
    <xf numFmtId="0" fontId="3" fillId="3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Continuous"/>
    </xf>
    <xf numFmtId="0" fontId="5" fillId="7" borderId="2" xfId="0" applyFont="1" applyFill="1" applyBorder="1" applyAlignment="1">
      <alignment horizontal="centerContinuous"/>
    </xf>
    <xf numFmtId="0" fontId="5" fillId="7" borderId="5" xfId="0" applyFont="1" applyFill="1" applyBorder="1" applyAlignment="1">
      <alignment horizontal="centerContinuous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43" fontId="5" fillId="0" borderId="0" xfId="1" applyFont="1"/>
    <xf numFmtId="164" fontId="0" fillId="3" borderId="0" xfId="1" applyNumberFormat="1" applyFont="1" applyFill="1"/>
    <xf numFmtId="9" fontId="5" fillId="0" borderId="17" xfId="0" applyNumberFormat="1" applyFont="1" applyBorder="1"/>
    <xf numFmtId="0" fontId="0" fillId="0" borderId="19" xfId="0" applyBorder="1"/>
    <xf numFmtId="43" fontId="0" fillId="0" borderId="20" xfId="0" applyNumberFormat="1" applyBorder="1"/>
    <xf numFmtId="0" fontId="0" fillId="0" borderId="21" xfId="0" applyBorder="1"/>
    <xf numFmtId="9" fontId="5" fillId="0" borderId="18" xfId="0" applyNumberFormat="1" applyFont="1" applyBorder="1" applyAlignment="1">
      <alignment horizontal="center"/>
    </xf>
    <xf numFmtId="9" fontId="5" fillId="11" borderId="17" xfId="0" applyNumberFormat="1" applyFont="1" applyFill="1" applyBorder="1" applyAlignment="1">
      <alignment horizontal="center"/>
    </xf>
    <xf numFmtId="43" fontId="5" fillId="11" borderId="0" xfId="1" applyFont="1" applyFill="1"/>
    <xf numFmtId="0" fontId="5" fillId="0" borderId="14" xfId="0" applyFont="1" applyBorder="1" applyAlignment="1">
      <alignment horizontal="center"/>
    </xf>
    <xf numFmtId="17" fontId="5" fillId="0" borderId="0" xfId="0" applyNumberFormat="1" applyFont="1"/>
    <xf numFmtId="165" fontId="1" fillId="0" borderId="0" xfId="2" applyNumberFormat="1"/>
    <xf numFmtId="164" fontId="1" fillId="0" borderId="0" xfId="1" applyNumberFormat="1"/>
    <xf numFmtId="43" fontId="5" fillId="0" borderId="0" xfId="1" applyFont="1" applyAlignment="1">
      <alignment horizontal="center"/>
    </xf>
    <xf numFmtId="0" fontId="5" fillId="12" borderId="14" xfId="0" applyFont="1" applyFill="1" applyBorder="1"/>
    <xf numFmtId="0" fontId="5" fillId="12" borderId="15" xfId="0" applyFont="1" applyFill="1" applyBorder="1"/>
    <xf numFmtId="9" fontId="5" fillId="12" borderId="16" xfId="0" applyNumberFormat="1" applyFont="1" applyFill="1" applyBorder="1"/>
    <xf numFmtId="164" fontId="0" fillId="0" borderId="20" xfId="1" applyNumberFormat="1" applyFont="1" applyBorder="1"/>
    <xf numFmtId="43" fontId="6" fillId="0" borderId="4" xfId="0" applyNumberFormat="1" applyFont="1" applyBorder="1"/>
    <xf numFmtId="43" fontId="6" fillId="0" borderId="4" xfId="1" applyFont="1" applyBorder="1"/>
    <xf numFmtId="14" fontId="0" fillId="3" borderId="3" xfId="1" applyNumberFormat="1" applyFont="1" applyFill="1" applyBorder="1"/>
    <xf numFmtId="43" fontId="0" fillId="3" borderId="3" xfId="1" applyFont="1" applyFill="1" applyBorder="1"/>
    <xf numFmtId="43" fontId="6" fillId="3" borderId="3" xfId="1" applyFont="1" applyFill="1" applyBorder="1"/>
    <xf numFmtId="165" fontId="1" fillId="0" borderId="0" xfId="2" applyNumberFormat="1" applyProtection="1">
      <protection locked="0"/>
    </xf>
    <xf numFmtId="0" fontId="2" fillId="12" borderId="0" xfId="0" applyFont="1" applyFill="1" applyAlignment="1">
      <alignment horizontal="center"/>
    </xf>
    <xf numFmtId="165" fontId="7" fillId="0" borderId="0" xfId="2" applyNumberFormat="1" applyFont="1"/>
    <xf numFmtId="0" fontId="9" fillId="0" borderId="0" xfId="0" applyFont="1" applyAlignment="1">
      <alignment horizontal="center"/>
    </xf>
    <xf numFmtId="165" fontId="1" fillId="3" borderId="0" xfId="2" applyNumberFormat="1" applyFill="1" applyProtection="1">
      <protection locked="0"/>
    </xf>
    <xf numFmtId="165" fontId="0" fillId="3" borderId="0" xfId="2" applyNumberFormat="1" applyFont="1" applyFill="1" applyProtection="1">
      <protection locked="0"/>
    </xf>
    <xf numFmtId="0" fontId="7" fillId="3" borderId="0" xfId="0" applyFont="1" applyFill="1" applyAlignment="1">
      <alignment horizontal="center"/>
    </xf>
    <xf numFmtId="165" fontId="1" fillId="3" borderId="0" xfId="2" applyNumberFormat="1" applyFill="1"/>
    <xf numFmtId="164" fontId="1" fillId="3" borderId="0" xfId="1" applyNumberFormat="1" applyFill="1"/>
    <xf numFmtId="0" fontId="9" fillId="3" borderId="0" xfId="0" applyFont="1" applyFill="1" applyAlignment="1">
      <alignment horizontal="center"/>
    </xf>
    <xf numFmtId="165" fontId="10" fillId="0" borderId="0" xfId="2" applyNumberFormat="1" applyFont="1" applyProtection="1">
      <protection locked="0"/>
    </xf>
    <xf numFmtId="0" fontId="3" fillId="12" borderId="22" xfId="0" applyFont="1" applyFill="1" applyBorder="1" applyAlignment="1">
      <alignment horizontal="center" vertical="center"/>
    </xf>
    <xf numFmtId="0" fontId="3" fillId="12" borderId="23" xfId="0" applyFont="1" applyFill="1" applyBorder="1" applyAlignment="1">
      <alignment horizontal="center" vertical="center" wrapText="1"/>
    </xf>
    <xf numFmtId="0" fontId="3" fillId="12" borderId="23" xfId="0" applyFont="1" applyFill="1" applyBorder="1" applyAlignment="1">
      <alignment horizontal="center" vertical="center"/>
    </xf>
    <xf numFmtId="0" fontId="3" fillId="12" borderId="24" xfId="0" applyFont="1" applyFill="1" applyBorder="1" applyAlignment="1">
      <alignment horizontal="center" wrapText="1"/>
    </xf>
    <xf numFmtId="0" fontId="3" fillId="12" borderId="16" xfId="0" applyFont="1" applyFill="1" applyBorder="1" applyAlignment="1">
      <alignment horizontal="center" wrapText="1"/>
    </xf>
    <xf numFmtId="43" fontId="0" fillId="3" borderId="0" xfId="1" applyFont="1" applyFill="1"/>
    <xf numFmtId="0" fontId="11" fillId="12" borderId="0" xfId="0" applyFont="1" applyFill="1" applyAlignment="1">
      <alignment horizontal="center"/>
    </xf>
    <xf numFmtId="164" fontId="11" fillId="12" borderId="0" xfId="1" applyNumberFormat="1" applyFont="1" applyFill="1"/>
    <xf numFmtId="165" fontId="11" fillId="12" borderId="0" xfId="2" applyNumberFormat="1" applyFont="1" applyFill="1" applyProtection="1">
      <protection locked="0"/>
    </xf>
    <xf numFmtId="165" fontId="5" fillId="12" borderId="0" xfId="2" applyNumberFormat="1" applyFont="1" applyFill="1"/>
    <xf numFmtId="164" fontId="5" fillId="12" borderId="0" xfId="1" applyNumberFormat="1" applyFont="1" applyFill="1"/>
    <xf numFmtId="0" fontId="5" fillId="12" borderId="0" xfId="0" applyFont="1" applyFill="1"/>
    <xf numFmtId="165" fontId="12" fillId="3" borderId="0" xfId="2" applyNumberFormat="1" applyFont="1" applyFill="1" applyProtection="1">
      <protection locked="0"/>
    </xf>
    <xf numFmtId="14" fontId="8" fillId="0" borderId="4" xfId="0" applyNumberFormat="1" applyFont="1" applyBorder="1"/>
    <xf numFmtId="43" fontId="8" fillId="0" borderId="4" xfId="1" applyFont="1" applyBorder="1"/>
    <xf numFmtId="43" fontId="13" fillId="0" borderId="4" xfId="1" applyFont="1" applyBorder="1"/>
    <xf numFmtId="0" fontId="8" fillId="0" borderId="4" xfId="0" applyFont="1" applyBorder="1"/>
    <xf numFmtId="0" fontId="5" fillId="12" borderId="25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/>
    </xf>
    <xf numFmtId="0" fontId="0" fillId="0" borderId="2" xfId="0" applyBorder="1" applyAlignment="1"/>
    <xf numFmtId="0" fontId="0" fillId="0" borderId="5" xfId="0" applyBorder="1" applyAlignment="1"/>
    <xf numFmtId="0" fontId="0" fillId="0" borderId="26" xfId="0" applyBorder="1" applyAlignment="1"/>
    <xf numFmtId="0" fontId="0" fillId="0" borderId="27" xfId="0" applyBorder="1" applyAlignme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>IF(AND(A13&lt;$B$6)*(A13&lt;&gt;0),1+A13," ")</f>
        <v>3</v>
      </c>
      <c r="B14" s="6">
        <f>IF(A14&lt;&gt;" ",+B13*1," ")</f>
        <v>171000.69483453908</v>
      </c>
      <c r="C14" s="6">
        <f>IF(A14&lt;&gt;" ",+C13*1," ")</f>
        <v>171000.69483453908</v>
      </c>
    </row>
    <row r="15" spans="1:11">
      <c r="A15" s="7">
        <f>IF(AND(A14&lt;$B$6)*(A14&lt;&gt;0),1+A14," ")</f>
        <v>4</v>
      </c>
      <c r="B15" s="6">
        <f>IF(A15&lt;&gt;" ",+B14*1," ")</f>
        <v>171000.69483453908</v>
      </c>
      <c r="C15" s="6">
        <f>IF(A15&lt;&gt;" ",+C14*1," ")</f>
        <v>171000.69483453908</v>
      </c>
    </row>
    <row r="16" spans="1:11">
      <c r="A16" s="7">
        <f>IF(AND(A15&lt;$B$6)*(A15&lt;&gt;0),1+A15," ")</f>
        <v>5</v>
      </c>
      <c r="B16" s="6">
        <f>IF(A16&lt;&gt;" ",+B15*1," ")</f>
        <v>171000.69483453908</v>
      </c>
      <c r="C16" s="6">
        <f>IF(A16&lt;&gt;" ",+C15*1," ")</f>
        <v>171000.69483453908</v>
      </c>
    </row>
    <row r="17" spans="1:3">
      <c r="A17" s="7">
        <f>IF(AND(A16&lt;$B$6)*(A16&lt;&gt;0),1+A16," ")</f>
        <v>6</v>
      </c>
      <c r="B17" s="6">
        <f>IF(A17&lt;&gt;" ",+B16*1," ")</f>
        <v>171000.69483453908</v>
      </c>
      <c r="C17" s="6">
        <f>IF(A17&lt;&gt;" ",+C16*1," ")</f>
        <v>171000.69483453908</v>
      </c>
    </row>
    <row r="18" spans="1:3">
      <c r="A18" s="7">
        <f>IF(AND(A17&lt;$B$6)*(A17&lt;&gt;0),1+A17," ")</f>
        <v>7</v>
      </c>
      <c r="B18" s="6">
        <f>IF(A18&lt;&gt;" ",+B17*1," ")</f>
        <v>171000.69483453908</v>
      </c>
      <c r="C18" s="6">
        <f>IF(A18&lt;&gt;" ",+C17*1," ")</f>
        <v>171000.69483453908</v>
      </c>
    </row>
    <row r="19" spans="1:3">
      <c r="A19" s="7">
        <f>IF(AND(A18&lt;$B$6)*(A18&lt;&gt;0),1+A18," ")</f>
        <v>8</v>
      </c>
      <c r="B19" s="6">
        <f>IF(A19&lt;&gt;" ",+B18*1," ")</f>
        <v>171000.69483453908</v>
      </c>
      <c r="C19" s="6">
        <f>IF(A19&lt;&gt;" ",+C18*1," ")</f>
        <v>171000.69483453908</v>
      </c>
    </row>
    <row r="20" spans="1:3">
      <c r="A20" s="7">
        <f>IF(AND(A19&lt;$B$6)*(A19&lt;&gt;0),1+A19," ")</f>
        <v>9</v>
      </c>
      <c r="B20" s="6">
        <f>IF(A20&lt;&gt;" ",+B19*1," ")</f>
        <v>171000.69483453908</v>
      </c>
      <c r="C20" s="6">
        <f>IF(A20&lt;&gt;" ",+C19*1," ")</f>
        <v>171000.69483453908</v>
      </c>
    </row>
    <row r="21" spans="1:3">
      <c r="A21" s="7">
        <f>IF(AND(A20&lt;$B$6)*(A20&lt;&gt;0),1+A20," ")</f>
        <v>10</v>
      </c>
      <c r="B21" s="6">
        <f>IF(A21&lt;&gt;" ",+B20*1," ")</f>
        <v>171000.69483453908</v>
      </c>
      <c r="C21" s="6">
        <f>IF(A21&lt;&gt;" ",+C20*1," ")</f>
        <v>171000.69483453908</v>
      </c>
    </row>
    <row r="22" spans="1:3">
      <c r="A22" s="7">
        <f>IF(AND(A21&lt;$B$6)*(A21&lt;&gt;0),1+A21," ")</f>
        <v>11</v>
      </c>
      <c r="B22" s="6">
        <f>IF(A22&lt;&gt;" ",+B21*1," ")</f>
        <v>171000.69483453908</v>
      </c>
      <c r="C22" s="6">
        <f>IF(A22&lt;&gt;" ",+C21*1," ")</f>
        <v>171000.69483453908</v>
      </c>
    </row>
    <row r="23" spans="1:3">
      <c r="A23" s="7">
        <f>IF(AND(A22&lt;$B$6)*(A22&lt;&gt;0),1+A22," ")</f>
        <v>12</v>
      </c>
      <c r="B23" s="6">
        <f>IF(A23&lt;&gt;" ",+B22*1," ")</f>
        <v>171000.69483453908</v>
      </c>
      <c r="C23" s="6">
        <f>IF(A23&lt;&gt;" ",+C22*1," ")</f>
        <v>171000.69483453908</v>
      </c>
    </row>
    <row r="24" spans="1:3">
      <c r="A24" s="7">
        <f>IF(AND(A23&lt;$B$6)*(A23&lt;&gt;0),1+A23," ")</f>
        <v>13</v>
      </c>
      <c r="B24" s="6">
        <f>IF(A24&lt;&gt;" ",+B23*1," ")</f>
        <v>171000.69483453908</v>
      </c>
      <c r="C24" s="6">
        <f>IF(A24&lt;&gt;" ",+C23*1," ")</f>
        <v>171000.69483453908</v>
      </c>
    </row>
    <row r="25" spans="1:3">
      <c r="A25" s="7">
        <f>IF(AND(A24&lt;$B$6)*(A24&lt;&gt;0),1+A24," ")</f>
        <v>14</v>
      </c>
      <c r="B25" s="6">
        <f>IF(A25&lt;&gt;" ",+B24*1," ")</f>
        <v>171000.69483453908</v>
      </c>
      <c r="C25" s="6">
        <f>IF(A25&lt;&gt;" ",+C24*1," ")</f>
        <v>171000.69483453908</v>
      </c>
    </row>
    <row r="26" spans="1:3">
      <c r="A26" s="7">
        <f>IF(AND(A25&lt;$B$6)*(A25&lt;&gt;0),1+A25," ")</f>
        <v>15</v>
      </c>
      <c r="B26" s="6">
        <f>IF(A26&lt;&gt;" ",+B25*1," ")</f>
        <v>171000.69483453908</v>
      </c>
      <c r="C26" s="6">
        <f>IF(A26&lt;&gt;" ",+C25*1," ")</f>
        <v>171000.69483453908</v>
      </c>
    </row>
    <row r="27" spans="1:3">
      <c r="A27" s="7">
        <f>IF(AND(A26&lt;$B$6)*(A26&lt;&gt;0),1+A26," ")</f>
        <v>16</v>
      </c>
      <c r="B27" s="6">
        <f>IF(A27&lt;&gt;" ",+B26*1," ")</f>
        <v>171000.69483453908</v>
      </c>
      <c r="C27" s="6">
        <f>IF(A27&lt;&gt;" ",+C26*1," ")</f>
        <v>171000.69483453908</v>
      </c>
    </row>
    <row r="28" spans="1:3">
      <c r="A28" s="7">
        <f>IF(AND(A27&lt;$B$6)*(A27&lt;&gt;0),1+A27," ")</f>
        <v>17</v>
      </c>
      <c r="B28" s="6">
        <f>IF(A28&lt;&gt;" ",+B27*1," ")</f>
        <v>171000.69483453908</v>
      </c>
      <c r="C28" s="6">
        <f>IF(A28&lt;&gt;" ",+C27*1," ")</f>
        <v>171000.69483453908</v>
      </c>
    </row>
    <row r="29" spans="1:3">
      <c r="A29" s="7">
        <f>IF(AND(A28&lt;$B$6)*(A28&lt;&gt;0),1+A28," ")</f>
        <v>18</v>
      </c>
      <c r="B29" s="6">
        <f>IF(A29&lt;&gt;" ",+B28*1," ")</f>
        <v>171000.69483453908</v>
      </c>
      <c r="C29" s="6">
        <f>IF(A29&lt;&gt;" ",+C28*1," ")</f>
        <v>171000.69483453908</v>
      </c>
    </row>
    <row r="30" spans="1:3">
      <c r="A30" s="7">
        <f>IF(AND(A29&lt;$B$6)*(A29&lt;&gt;0),1+A29," ")</f>
        <v>19</v>
      </c>
      <c r="B30" s="6">
        <f>IF(A30&lt;&gt;" ",+B29*1," ")</f>
        <v>171000.69483453908</v>
      </c>
      <c r="C30" s="6">
        <f>IF(A30&lt;&gt;" ",+C29*1," ")</f>
        <v>171000.69483453908</v>
      </c>
    </row>
    <row r="31" spans="1:3">
      <c r="A31" s="7">
        <f>IF(AND(A30&lt;$B$6)*(A30&lt;&gt;0),1+A30," ")</f>
        <v>20</v>
      </c>
      <c r="B31" s="6">
        <f>IF(A31&lt;&gt;" ",+B30*1," ")</f>
        <v>171000.69483453908</v>
      </c>
      <c r="C31" s="6">
        <f>IF(A31&lt;&gt;" ",+C30*1," ")</f>
        <v>171000.69483453908</v>
      </c>
    </row>
    <row r="32" spans="1:3">
      <c r="A32" s="7">
        <f>IF(AND(A31&lt;$B$6)*(A31&lt;&gt;0),1+A31," ")</f>
        <v>21</v>
      </c>
      <c r="B32" s="6">
        <f>IF(A32&lt;&gt;" ",+B31*1," ")</f>
        <v>171000.69483453908</v>
      </c>
      <c r="C32" s="6">
        <f>IF(A32&lt;&gt;" ",+C31*1," ")</f>
        <v>171000.69483453908</v>
      </c>
    </row>
    <row r="33" spans="1:3">
      <c r="A33" s="7">
        <f>IF(AND(A32&lt;$B$6)*(A32&lt;&gt;0),1+A32," ")</f>
        <v>22</v>
      </c>
      <c r="B33" s="6">
        <f>IF(A33&lt;&gt;" ",+B32*1," ")</f>
        <v>171000.69483453908</v>
      </c>
      <c r="C33" s="6">
        <f>IF(A33&lt;&gt;" ",+C32*1," ")</f>
        <v>171000.69483453908</v>
      </c>
    </row>
    <row r="34" spans="1:3">
      <c r="A34" s="7">
        <f>IF(AND(A33&lt;$B$6)*(A33&lt;&gt;0),1+A33," ")</f>
        <v>23</v>
      </c>
      <c r="B34" s="6">
        <f>IF(A34&lt;&gt;" ",+B33*1," ")</f>
        <v>171000.69483453908</v>
      </c>
      <c r="C34" s="6">
        <f>IF(A34&lt;&gt;" ",+C33*1," ")</f>
        <v>171000.69483453908</v>
      </c>
    </row>
    <row r="35" spans="1:3">
      <c r="A35" s="7">
        <f>IF(AND(A34&lt;$B$6)*(A34&lt;&gt;0),1+A34," ")</f>
        <v>24</v>
      </c>
      <c r="B35" s="6">
        <f>IF(A35&lt;&gt;" ",+B34*1," ")</f>
        <v>171000.69483453908</v>
      </c>
      <c r="C35" s="6">
        <f>IF(A35&lt;&gt;" ",+C34*1," ")</f>
        <v>171000.69483453908</v>
      </c>
    </row>
    <row r="36" spans="1:3">
      <c r="A36" s="7">
        <f>IF(AND(A35&lt;$B$6)*(A35&lt;&gt;0),1+A35," ")</f>
        <v>25</v>
      </c>
      <c r="B36" s="6">
        <f>IF(A36&lt;&gt;" ",+B35*1," ")</f>
        <v>171000.69483453908</v>
      </c>
      <c r="C36" s="6">
        <f>IF(A36&lt;&gt;" ",+C35*1," ")</f>
        <v>171000.69483453908</v>
      </c>
    </row>
    <row r="37" spans="1:3">
      <c r="A37" s="7">
        <f>IF(AND(A36&lt;$B$6)*(A36&lt;&gt;0),1+A36," ")</f>
        <v>26</v>
      </c>
      <c r="B37" s="6">
        <f>IF(A37&lt;&gt;" ",+B36*1," ")</f>
        <v>171000.69483453908</v>
      </c>
      <c r="C37" s="6">
        <f>IF(A37&lt;&gt;" ",+C36*1," ")</f>
        <v>171000.69483453908</v>
      </c>
    </row>
    <row r="38" spans="1:3">
      <c r="A38" s="7">
        <f>IF(AND(A37&lt;$B$6)*(A37&lt;&gt;0),1+A37," ")</f>
        <v>27</v>
      </c>
      <c r="B38" s="6">
        <f>IF(A38&lt;&gt;" ",+B37*1," ")</f>
        <v>171000.69483453908</v>
      </c>
      <c r="C38" s="6">
        <f>IF(A38&lt;&gt;" ",+C37*1," ")</f>
        <v>171000.69483453908</v>
      </c>
    </row>
    <row r="39" spans="1:3">
      <c r="A39" s="7">
        <f>IF(AND(A38&lt;$B$6)*(A38&lt;&gt;0),1+A38," ")</f>
        <v>28</v>
      </c>
      <c r="B39" s="6">
        <f>IF(A39&lt;&gt;" ",+B38*1," ")</f>
        <v>171000.69483453908</v>
      </c>
      <c r="C39" s="6">
        <f>IF(A39&lt;&gt;" ",+C38*1," ")</f>
        <v>171000.69483453908</v>
      </c>
    </row>
    <row r="40" spans="1:3">
      <c r="A40" s="7">
        <f>IF(AND(A39&lt;$B$6)*(A39&lt;&gt;0),1+A39," ")</f>
        <v>29</v>
      </c>
      <c r="B40" s="6">
        <f>IF(A40&lt;&gt;" ",+B39*1," ")</f>
        <v>171000.69483453908</v>
      </c>
      <c r="C40" s="6">
        <f>IF(A40&lt;&gt;" ",+C39*1," ")</f>
        <v>171000.69483453908</v>
      </c>
    </row>
    <row r="41" spans="1:3">
      <c r="A41" s="7">
        <f>IF(AND(A40&lt;$B$6)*(A40&lt;&gt;0),1+A40," ")</f>
        <v>30</v>
      </c>
      <c r="B41" s="6">
        <f>IF(A41&lt;&gt;" ",+B40*1," ")</f>
        <v>171000.69483453908</v>
      </c>
      <c r="C41" s="6">
        <f>IF(A41&lt;&gt;" ",+C40*1," ")</f>
        <v>171000.69483453908</v>
      </c>
    </row>
    <row r="42" spans="1:3">
      <c r="A42" s="7">
        <f>IF(AND(A41&lt;$B$6)*(A41&lt;&gt;0),1+A41," ")</f>
        <v>31</v>
      </c>
      <c r="B42" s="6">
        <f>IF(A42&lt;&gt;" ",+B41*1," ")</f>
        <v>171000.69483453908</v>
      </c>
      <c r="C42" s="6">
        <f>IF(A42&lt;&gt;" ",+C41*1," ")</f>
        <v>171000.69483453908</v>
      </c>
    </row>
    <row r="43" spans="1:3">
      <c r="A43" s="7">
        <f>IF(AND(A42&lt;$B$6)*(A42&lt;&gt;0),1+A42," ")</f>
        <v>32</v>
      </c>
      <c r="B43" s="6">
        <f>IF(A43&lt;&gt;" ",+B42*1," ")</f>
        <v>171000.69483453908</v>
      </c>
      <c r="C43" s="6">
        <f>IF(A43&lt;&gt;" ",+C42*1," ")</f>
        <v>171000.69483453908</v>
      </c>
    </row>
    <row r="44" spans="1:3">
      <c r="A44" s="7">
        <f>IF(AND(A43&lt;$B$6)*(A43&lt;&gt;0),1+A43," ")</f>
        <v>33</v>
      </c>
      <c r="B44" s="6">
        <f>IF(A44&lt;&gt;" ",+B43*1," ")</f>
        <v>171000.69483453908</v>
      </c>
      <c r="C44" s="6">
        <f>IF(A44&lt;&gt;" ",+C43*1," ")</f>
        <v>171000.69483453908</v>
      </c>
    </row>
    <row r="45" spans="1:3">
      <c r="A45" s="7">
        <f>IF(AND(A44&lt;$B$6)*(A44&lt;&gt;0),1+A44," ")</f>
        <v>34</v>
      </c>
      <c r="B45" s="6">
        <f>IF(A45&lt;&gt;" ",+B44*1," ")</f>
        <v>171000.69483453908</v>
      </c>
      <c r="C45" s="6">
        <f>IF(A45&lt;&gt;" ",+C44*1," ")</f>
        <v>171000.69483453908</v>
      </c>
    </row>
    <row r="46" spans="1:3">
      <c r="A46" s="7">
        <f>IF(AND(A45&lt;$B$6)*(A45&lt;&gt;0),1+A45," ")</f>
        <v>35</v>
      </c>
      <c r="B46" s="6">
        <f>IF(A46&lt;&gt;" ",+B45*1," ")</f>
        <v>171000.69483453908</v>
      </c>
      <c r="C46" s="6">
        <f>IF(A46&lt;&gt;" ",+C45*1," ")</f>
        <v>171000.69483453908</v>
      </c>
    </row>
    <row r="47" spans="1:3">
      <c r="A47" s="7">
        <f>IF(AND(A46&lt;$B$6)*(A46&lt;&gt;0),1+A46," ")</f>
        <v>36</v>
      </c>
      <c r="B47" s="6">
        <f>IF(A47&lt;&gt;" ",+B46*1," ")</f>
        <v>171000.69483453908</v>
      </c>
      <c r="C47" s="6">
        <f>IF(A47&lt;&gt;" ",+C46*1," ")</f>
        <v>171000.69483453908</v>
      </c>
    </row>
    <row r="48" spans="1:3">
      <c r="A48" s="7">
        <f>IF(AND(A47&lt;$B$6)*(A47&lt;&gt;0),1+A47," ")</f>
        <v>37</v>
      </c>
      <c r="B48" s="6">
        <f>IF(A48&lt;&gt;" ",+B47*1," ")</f>
        <v>171000.69483453908</v>
      </c>
      <c r="C48" s="6">
        <f>IF(A48&lt;&gt;" ",+C47*1," ")</f>
        <v>171000.69483453908</v>
      </c>
    </row>
    <row r="49" spans="1:3">
      <c r="A49" s="7">
        <f>IF(AND(A48&lt;$B$6)*(A48&lt;&gt;0),1+A48," ")</f>
        <v>38</v>
      </c>
      <c r="B49" s="6">
        <f>IF(A49&lt;&gt;" ",+B48*1," ")</f>
        <v>171000.69483453908</v>
      </c>
      <c r="C49" s="6">
        <f>IF(A49&lt;&gt;" ",+C48*1," ")</f>
        <v>171000.69483453908</v>
      </c>
    </row>
    <row r="50" spans="1:3">
      <c r="A50" s="7">
        <f>IF(AND(A49&lt;$B$6)*(A49&lt;&gt;0),1+A49," ")</f>
        <v>39</v>
      </c>
      <c r="B50" s="6">
        <f>IF(A50&lt;&gt;" ",+B49*1," ")</f>
        <v>171000.69483453908</v>
      </c>
      <c r="C50" s="6">
        <f>IF(A50&lt;&gt;" ",+C49*1," ")</f>
        <v>171000.69483453908</v>
      </c>
    </row>
    <row r="51" spans="1:3">
      <c r="A51" s="7">
        <f>IF(AND(A50&lt;$B$6)*(A50&lt;&gt;0),1+A50," ")</f>
        <v>40</v>
      </c>
      <c r="B51" s="6">
        <f>IF(A51&lt;&gt;" ",+B50*1," ")</f>
        <v>171000.69483453908</v>
      </c>
      <c r="C51" s="6">
        <f>IF(A51&lt;&gt;" ",+C50*1," ")</f>
        <v>171000.69483453908</v>
      </c>
    </row>
    <row r="52" spans="1:3">
      <c r="A52" s="7">
        <f>IF(AND(A51&lt;$B$6)*(A51&lt;&gt;0),1+A51," ")</f>
        <v>41</v>
      </c>
      <c r="B52" s="6">
        <f>IF(A52&lt;&gt;" ",+B51*1," ")</f>
        <v>171000.69483453908</v>
      </c>
      <c r="C52" s="6">
        <f>IF(A52&lt;&gt;" ",+C51*1," ")</f>
        <v>171000.69483453908</v>
      </c>
    </row>
    <row r="53" spans="1:3">
      <c r="A53" s="7">
        <f>IF(AND(A52&lt;$B$6)*(A52&lt;&gt;0),1+A52," ")</f>
        <v>42</v>
      </c>
      <c r="B53" s="6">
        <f>IF(A53&lt;&gt;" ",+B52*1," ")</f>
        <v>171000.69483453908</v>
      </c>
      <c r="C53" s="6">
        <f>IF(A53&lt;&gt;" ",+C52*1," ")</f>
        <v>171000.69483453908</v>
      </c>
    </row>
    <row r="54" spans="1:3">
      <c r="A54" s="7">
        <f>IF(AND(A53&lt;$B$6)*(A53&lt;&gt;0),1+A53," ")</f>
        <v>43</v>
      </c>
      <c r="B54" s="6">
        <f>IF(A54&lt;&gt;" ",+B53*1," ")</f>
        <v>171000.69483453908</v>
      </c>
      <c r="C54" s="6">
        <f>IF(A54&lt;&gt;" ",+C53*1," ")</f>
        <v>171000.69483453908</v>
      </c>
    </row>
    <row r="55" spans="1:3">
      <c r="A55" s="7">
        <f>IF(AND(A54&lt;$B$6)*(A54&lt;&gt;0),1+A54," ")</f>
        <v>44</v>
      </c>
      <c r="B55" s="6">
        <f>IF(A55&lt;&gt;" ",+B54*1," ")</f>
        <v>171000.69483453908</v>
      </c>
      <c r="C55" s="6">
        <f>IF(A55&lt;&gt;" ",+C54*1," ")</f>
        <v>171000.69483453908</v>
      </c>
    </row>
    <row r="56" spans="1:3">
      <c r="A56" s="7">
        <f>IF(AND(A55&lt;$B$6)*(A55&lt;&gt;0),1+A55," ")</f>
        <v>45</v>
      </c>
      <c r="B56" s="6">
        <f>IF(A56&lt;&gt;" ",+B55*1," ")</f>
        <v>171000.69483453908</v>
      </c>
      <c r="C56" s="6">
        <f>IF(A56&lt;&gt;" ",+C55*1," ")</f>
        <v>171000.69483453908</v>
      </c>
    </row>
    <row r="57" spans="1:3">
      <c r="A57" s="7">
        <f>IF(AND(A56&lt;$B$6)*(A56&lt;&gt;0),1+A56," ")</f>
        <v>46</v>
      </c>
      <c r="B57" s="6">
        <f>IF(A57&lt;&gt;" ",+B56*1," ")</f>
        <v>171000.69483453908</v>
      </c>
      <c r="C57" s="6">
        <f>IF(A57&lt;&gt;" ",+C56*1," ")</f>
        <v>171000.69483453908</v>
      </c>
    </row>
    <row r="58" spans="1:3">
      <c r="A58" s="7">
        <f>IF(AND(A57&lt;$B$6)*(A57&lt;&gt;0),1+A57," ")</f>
        <v>47</v>
      </c>
      <c r="B58" s="6">
        <f>IF(A58&lt;&gt;" ",+B57*1," ")</f>
        <v>171000.69483453908</v>
      </c>
      <c r="C58" s="6">
        <f>IF(A58&lt;&gt;" ",+C57*1," ")</f>
        <v>171000.69483453908</v>
      </c>
    </row>
    <row r="59" spans="1:3">
      <c r="A59" s="7">
        <f>IF(AND(A58&lt;$B$6)*(A58&lt;&gt;0),1+A58," ")</f>
        <v>48</v>
      </c>
      <c r="B59" s="6">
        <f>IF(A59&lt;&gt;" ",+B58*1," ")</f>
        <v>171000.69483453908</v>
      </c>
      <c r="C59" s="6">
        <f>IF(A59&lt;&gt;" ",+C58*1," ")</f>
        <v>171000.69483453908</v>
      </c>
    </row>
    <row r="60" spans="1:3">
      <c r="A60" s="7">
        <f>IF(AND(A59&lt;$B$6)*(A59&lt;&gt;0),1+A59," ")</f>
        <v>49</v>
      </c>
      <c r="B60" s="6">
        <f>IF(A60&lt;&gt;" ",+B59*1," ")</f>
        <v>171000.69483453908</v>
      </c>
      <c r="C60" s="6">
        <f>IF(A60&lt;&gt;" ",+C59*1," ")</f>
        <v>171000.69483453908</v>
      </c>
    </row>
    <row r="61" spans="1:3">
      <c r="A61" s="7">
        <f>IF(AND(A60&lt;$B$6)*(A60&lt;&gt;0),1+A60," ")</f>
        <v>50</v>
      </c>
      <c r="B61" s="6">
        <f>IF(A61&lt;&gt;" ",+B60*1," ")</f>
        <v>171000.69483453908</v>
      </c>
      <c r="C61" s="6">
        <f>IF(A61&lt;&gt;" ",+C60*1," ")</f>
        <v>171000.69483453908</v>
      </c>
    </row>
    <row r="62" spans="1:3">
      <c r="A62" s="7">
        <f>IF(AND(A61&lt;$B$6)*(A61&lt;&gt;0),1+A61," ")</f>
        <v>51</v>
      </c>
      <c r="B62" s="6">
        <f>IF(A62&lt;&gt;" ",+B61*1," ")</f>
        <v>171000.69483453908</v>
      </c>
      <c r="C62" s="6">
        <f>IF(A62&lt;&gt;" ",+C61*1," ")</f>
        <v>171000.69483453908</v>
      </c>
    </row>
    <row r="63" spans="1:3">
      <c r="A63" s="7">
        <f>IF(AND(A62&lt;$B$6)*(A62&lt;&gt;0),1+A62," ")</f>
        <v>52</v>
      </c>
      <c r="B63" s="6">
        <f>IF(A63&lt;&gt;" ",+B62*1," ")</f>
        <v>171000.69483453908</v>
      </c>
      <c r="C63" s="6">
        <f>IF(A63&lt;&gt;" ",+C62*1," ")</f>
        <v>171000.69483453908</v>
      </c>
    </row>
    <row r="64" spans="1:3">
      <c r="A64" s="7">
        <f>IF(AND(A63&lt;$B$6)*(A63&lt;&gt;0),1+A63," ")</f>
        <v>53</v>
      </c>
      <c r="B64" s="6">
        <f>IF(A64&lt;&gt;" ",+B63*1," ")</f>
        <v>171000.69483453908</v>
      </c>
      <c r="C64" s="6">
        <f>IF(A64&lt;&gt;" ",+C63*1," ")</f>
        <v>171000.69483453908</v>
      </c>
    </row>
    <row r="65" spans="1:3">
      <c r="A65" s="7">
        <f>IF(AND(A64&lt;$B$6)*(A64&lt;&gt;0),1+A64," ")</f>
        <v>54</v>
      </c>
      <c r="B65" s="6">
        <f>IF(A65&lt;&gt;" ",+B64*1," ")</f>
        <v>171000.69483453908</v>
      </c>
      <c r="C65" s="6">
        <f>IF(A65&lt;&gt;" ",+C64*1," ")</f>
        <v>171000.69483453908</v>
      </c>
    </row>
    <row r="66" spans="1:3">
      <c r="A66" s="7">
        <f>IF(AND(A65&lt;$B$6)*(A65&lt;&gt;0),1+A65," ")</f>
        <v>55</v>
      </c>
      <c r="B66" s="6">
        <f>IF(A66&lt;&gt;" ",+B65*1," ")</f>
        <v>171000.69483453908</v>
      </c>
      <c r="C66" s="6">
        <f>IF(A66&lt;&gt;" ",+C65*1," ")</f>
        <v>171000.69483453908</v>
      </c>
    </row>
    <row r="67" spans="1:3">
      <c r="A67" s="7">
        <f>IF(AND(A66&lt;$B$6)*(A66&lt;&gt;0),1+A66," ")</f>
        <v>56</v>
      </c>
      <c r="B67" s="6">
        <f>IF(A67&lt;&gt;" ",+B66*1," ")</f>
        <v>171000.69483453908</v>
      </c>
      <c r="C67" s="6">
        <f>IF(A67&lt;&gt;" ",+C66*1," ")</f>
        <v>171000.69483453908</v>
      </c>
    </row>
    <row r="68" spans="1:3">
      <c r="A68" s="7">
        <f>IF(AND(A67&lt;$B$6)*(A67&lt;&gt;0),1+A67," ")</f>
        <v>57</v>
      </c>
      <c r="B68" s="6">
        <f>IF(A68&lt;&gt;" ",+B67*1," ")</f>
        <v>171000.69483453908</v>
      </c>
      <c r="C68" s="6">
        <f>IF(A68&lt;&gt;" ",+C67*1," ")</f>
        <v>171000.69483453908</v>
      </c>
    </row>
    <row r="69" spans="1:3">
      <c r="A69" s="7">
        <f>IF(AND(A68&lt;$B$6)*(A68&lt;&gt;0),1+A68," ")</f>
        <v>58</v>
      </c>
      <c r="B69" s="6">
        <f>IF(A69&lt;&gt;" ",+B68*1," ")</f>
        <v>171000.69483453908</v>
      </c>
      <c r="C69" s="6">
        <f>IF(A69&lt;&gt;" ",+C68*1," ")</f>
        <v>171000.69483453908</v>
      </c>
    </row>
    <row r="70" spans="1:3">
      <c r="A70" s="7">
        <f>IF(AND(A69&lt;$B$6)*(A69&lt;&gt;0),1+A69," ")</f>
        <v>59</v>
      </c>
      <c r="B70" s="6">
        <f>IF(A70&lt;&gt;" ",+B69*1," ")</f>
        <v>171000.69483453908</v>
      </c>
      <c r="C70" s="6">
        <f>IF(A70&lt;&gt;" ",+C69*1," ")</f>
        <v>171000.69483453908</v>
      </c>
    </row>
    <row r="71" spans="1:3">
      <c r="A71" s="7">
        <f>IF(AND(A70&lt;$B$6)*(A70&lt;&gt;0),1+A70," ")</f>
        <v>60</v>
      </c>
      <c r="B71" s="6">
        <f>IF(A71&lt;&gt;" ",+B70*1," ")</f>
        <v>171000.69483453908</v>
      </c>
      <c r="C71" s="6">
        <f>IF(A71&lt;&gt;" ",+C70*1," ")</f>
        <v>171000.69483453908</v>
      </c>
    </row>
    <row r="72" spans="1:3">
      <c r="A72" s="7">
        <f>IF(AND(A71&lt;$B$6)*(A71&lt;&gt;0),1+A71," ")</f>
        <v>61</v>
      </c>
      <c r="B72" s="6">
        <f>IF(A72&lt;&gt;" ",+B71*1," ")</f>
        <v>171000.69483453908</v>
      </c>
      <c r="C72" s="6">
        <f>IF(A72&lt;&gt;" ",+C71*1," ")</f>
        <v>171000.69483453908</v>
      </c>
    </row>
    <row r="73" spans="1:3">
      <c r="A73" s="7">
        <f>IF(AND(A72&lt;$B$6)*(A72&lt;&gt;0),1+A72," ")</f>
        <v>62</v>
      </c>
      <c r="B73" s="6">
        <f>IF(A73&lt;&gt;" ",+B72*1," ")</f>
        <v>171000.69483453908</v>
      </c>
      <c r="C73" s="6">
        <f>IF(A73&lt;&gt;" ",+C72*1," ")</f>
        <v>171000.69483453908</v>
      </c>
    </row>
    <row r="74" spans="1:3">
      <c r="A74" s="7">
        <f>IF(AND(A73&lt;$B$6)*(A73&lt;&gt;0),1+A73," ")</f>
        <v>63</v>
      </c>
      <c r="B74" s="6">
        <f>IF(A74&lt;&gt;" ",+B73*1," ")</f>
        <v>171000.69483453908</v>
      </c>
      <c r="C74" s="6">
        <f>IF(A74&lt;&gt;" ",+C73*1," ")</f>
        <v>171000.69483453908</v>
      </c>
    </row>
    <row r="75" spans="1:3">
      <c r="A75" s="7">
        <f>IF(AND(A74&lt;$B$6)*(A74&lt;&gt;0),1+A74," ")</f>
        <v>64</v>
      </c>
      <c r="B75" s="6">
        <f>IF(A75&lt;&gt;" ",+B74*1," ")</f>
        <v>171000.69483453908</v>
      </c>
      <c r="C75" s="6">
        <f>IF(A75&lt;&gt;" ",+C74*1," ")</f>
        <v>171000.69483453908</v>
      </c>
    </row>
    <row r="76" spans="1:3">
      <c r="A76" s="7">
        <f>IF(AND(A75&lt;$B$6)*(A75&lt;&gt;0),1+A75," ")</f>
        <v>65</v>
      </c>
      <c r="B76" s="6">
        <f>IF(A76&lt;&gt;" ",+B75*1," ")</f>
        <v>171000.69483453908</v>
      </c>
      <c r="C76" s="6">
        <f>IF(A76&lt;&gt;" ",+C75*1," ")</f>
        <v>171000.69483453908</v>
      </c>
    </row>
    <row r="77" spans="1:3">
      <c r="A77" s="7">
        <f>IF(AND(A76&lt;$B$6)*(A76&lt;&gt;0),1+A76," ")</f>
        <v>66</v>
      </c>
      <c r="B77" s="6">
        <f>IF(A77&lt;&gt;" ",+B76*1," ")</f>
        <v>171000.69483453908</v>
      </c>
      <c r="C77" s="6">
        <f>IF(A77&lt;&gt;" ",+C76*1," ")</f>
        <v>171000.69483453908</v>
      </c>
    </row>
    <row r="78" spans="1:3">
      <c r="A78" s="7">
        <f>IF(AND(A77&lt;$B$6)*(A77&lt;&gt;0),1+A77," ")</f>
        <v>67</v>
      </c>
      <c r="B78" s="6">
        <f>IF(A78&lt;&gt;" ",+B77*1," ")</f>
        <v>171000.69483453908</v>
      </c>
      <c r="C78" s="6">
        <f>IF(A78&lt;&gt;" ",+C77*1," ")</f>
        <v>171000.69483453908</v>
      </c>
    </row>
    <row r="79" spans="1:3">
      <c r="A79" s="7">
        <f>IF(AND(A78&lt;$B$6)*(A78&lt;&gt;0),1+A78," ")</f>
        <v>68</v>
      </c>
      <c r="B79" s="6">
        <f>IF(A79&lt;&gt;" ",+B78*1," ")</f>
        <v>171000.69483453908</v>
      </c>
      <c r="C79" s="6">
        <f>IF(A79&lt;&gt;" ",+C78*1," ")</f>
        <v>171000.69483453908</v>
      </c>
    </row>
    <row r="80" spans="1:3">
      <c r="A80" s="7">
        <f>IF(AND(A79&lt;$B$6)*(A79&lt;&gt;0),1+A79," ")</f>
        <v>69</v>
      </c>
      <c r="B80" s="6">
        <f>IF(A80&lt;&gt;" ",+B79*1," ")</f>
        <v>171000.69483453908</v>
      </c>
      <c r="C80" s="6">
        <f>IF(A80&lt;&gt;" ",+C79*1," ")</f>
        <v>171000.69483453908</v>
      </c>
    </row>
    <row r="81" spans="1:3">
      <c r="A81" s="7">
        <f>IF(AND(A80&lt;$B$6)*(A80&lt;&gt;0),1+A80," ")</f>
        <v>70</v>
      </c>
      <c r="B81" s="6">
        <f>IF(A81&lt;&gt;" ",+B80*1," ")</f>
        <v>171000.69483453908</v>
      </c>
      <c r="C81" s="6">
        <f>IF(A81&lt;&gt;" ",+C80*1," ")</f>
        <v>171000.69483453908</v>
      </c>
    </row>
    <row r="82" spans="1:3">
      <c r="A82" s="7">
        <f>IF(AND(A81&lt;$B$6)*(A81&lt;&gt;0),1+A81," ")</f>
        <v>71</v>
      </c>
      <c r="B82" s="6">
        <f>IF(A82&lt;&gt;" ",+B81*1," ")</f>
        <v>171000.69483453908</v>
      </c>
      <c r="C82" s="6">
        <f>IF(A82&lt;&gt;" ",+C81*1," ")</f>
        <v>171000.69483453908</v>
      </c>
    </row>
    <row r="83" spans="1:3">
      <c r="A83" s="7">
        <f>IF(AND(A82&lt;$B$6)*(A82&lt;&gt;0),1+A82," ")</f>
        <v>72</v>
      </c>
      <c r="B83" s="6">
        <f>IF(A83&lt;&gt;" ",+B82*1," ")</f>
        <v>171000.69483453908</v>
      </c>
      <c r="C83" s="6">
        <f>IF(A83&lt;&gt;" ",+C82*1," ")</f>
        <v>171000.69483453908</v>
      </c>
    </row>
    <row r="84" spans="1:3">
      <c r="A84" s="7">
        <f>IF(AND(A83&lt;$B$6)*(A83&lt;&gt;0),1+A83," ")</f>
        <v>73</v>
      </c>
      <c r="B84" s="6">
        <f>IF(A84&lt;&gt;" ",+B83*1," ")</f>
        <v>171000.69483453908</v>
      </c>
      <c r="C84" s="6">
        <f>IF(A84&lt;&gt;" ",+C83*1," ")</f>
        <v>171000.69483453908</v>
      </c>
    </row>
    <row r="85" spans="1:3">
      <c r="A85" s="7">
        <f>IF(AND(A84&lt;$B$6)*(A84&lt;&gt;0),1+A84," ")</f>
        <v>74</v>
      </c>
      <c r="B85" s="6">
        <f>IF(A85&lt;&gt;" ",+B84*1," ")</f>
        <v>171000.69483453908</v>
      </c>
      <c r="C85" s="6">
        <f>IF(A85&lt;&gt;" ",+C84*1," ")</f>
        <v>171000.69483453908</v>
      </c>
    </row>
    <row r="86" spans="1:3">
      <c r="A86" s="7">
        <f>IF(AND(A85&lt;$B$6)*(A85&lt;&gt;0),1+A85," ")</f>
        <v>75</v>
      </c>
      <c r="B86" s="6">
        <f>IF(A86&lt;&gt;" ",+B85*1," ")</f>
        <v>171000.69483453908</v>
      </c>
      <c r="C86" s="6">
        <f>IF(A86&lt;&gt;" ",+C85*1," ")</f>
        <v>171000.69483453908</v>
      </c>
    </row>
    <row r="87" spans="1:3">
      <c r="A87" s="7">
        <f>IF(AND(A86&lt;$B$6)*(A86&lt;&gt;0),1+A86," ")</f>
        <v>76</v>
      </c>
      <c r="B87" s="6">
        <f>IF(A87&lt;&gt;" ",+B86*1," ")</f>
        <v>171000.69483453908</v>
      </c>
      <c r="C87" s="6">
        <f>IF(A87&lt;&gt;" ",+C86*1," ")</f>
        <v>171000.69483453908</v>
      </c>
    </row>
    <row r="88" spans="1:3">
      <c r="A88" s="7">
        <f>IF(AND(A87&lt;$B$6)*(A87&lt;&gt;0),1+A87," ")</f>
        <v>77</v>
      </c>
      <c r="B88" s="6">
        <f>IF(A88&lt;&gt;" ",+B87*1," ")</f>
        <v>171000.69483453908</v>
      </c>
      <c r="C88" s="6">
        <f>IF(A88&lt;&gt;" ",+C87*1," ")</f>
        <v>171000.69483453908</v>
      </c>
    </row>
    <row r="89" spans="1:3">
      <c r="A89" s="7">
        <f>IF(AND(A88&lt;$B$6)*(A88&lt;&gt;0),1+A88," ")</f>
        <v>78</v>
      </c>
      <c r="B89" s="6">
        <f>IF(A89&lt;&gt;" ",+B88*1," ")</f>
        <v>171000.69483453908</v>
      </c>
      <c r="C89" s="6">
        <f>IF(A89&lt;&gt;" ",+C88*1," ")</f>
        <v>171000.69483453908</v>
      </c>
    </row>
    <row r="90" spans="1:3">
      <c r="A90" s="7">
        <f>IF(AND(A89&lt;$B$6)*(A89&lt;&gt;0),1+A89," ")</f>
        <v>79</v>
      </c>
      <c r="B90" s="6">
        <f>IF(A90&lt;&gt;" ",+B89*1," ")</f>
        <v>171000.69483453908</v>
      </c>
      <c r="C90" s="6">
        <f>IF(A90&lt;&gt;" ",+C89*1," ")</f>
        <v>171000.69483453908</v>
      </c>
    </row>
    <row r="91" spans="1:3">
      <c r="A91" s="7">
        <f>IF(AND(A90&lt;$B$6)*(A90&lt;&gt;0),1+A90," ")</f>
        <v>80</v>
      </c>
      <c r="B91" s="6">
        <f>IF(A91&lt;&gt;" ",+B90*1," ")</f>
        <v>171000.69483453908</v>
      </c>
      <c r="C91" s="6">
        <f>IF(A91&lt;&gt;" ",+C90*1," ")</f>
        <v>171000.69483453908</v>
      </c>
    </row>
    <row r="92" spans="1:3">
      <c r="A92" s="7">
        <f>IF(AND(A91&lt;$B$6)*(A91&lt;&gt;0),1+A91," ")</f>
        <v>81</v>
      </c>
      <c r="B92" s="6">
        <f>IF(A92&lt;&gt;" ",+B91*1," ")</f>
        <v>171000.69483453908</v>
      </c>
      <c r="C92" s="6">
        <f>IF(A92&lt;&gt;" ",+C91*1," ")</f>
        <v>171000.69483453908</v>
      </c>
    </row>
    <row r="93" spans="1:3">
      <c r="A93" s="7">
        <f>IF(AND(A92&lt;$B$6)*(A92&lt;&gt;0),1+A92," ")</f>
        <v>82</v>
      </c>
      <c r="B93" s="6">
        <f>IF(A93&lt;&gt;" ",+B92*1," ")</f>
        <v>171000.69483453908</v>
      </c>
      <c r="C93" s="6">
        <f>IF(A93&lt;&gt;" ",+C92*1," ")</f>
        <v>171000.69483453908</v>
      </c>
    </row>
    <row r="94" spans="1:3">
      <c r="A94" s="7">
        <f>IF(AND(A93&lt;$B$6)*(A93&lt;&gt;0),1+A93," ")</f>
        <v>83</v>
      </c>
      <c r="B94" s="6">
        <f>IF(A94&lt;&gt;" ",+B93*1," ")</f>
        <v>171000.69483453908</v>
      </c>
      <c r="C94" s="6">
        <f>IF(A94&lt;&gt;" ",+C93*1," ")</f>
        <v>171000.69483453908</v>
      </c>
    </row>
    <row r="95" spans="1:3">
      <c r="A95" s="7">
        <f>IF(AND(A94&lt;$B$6)*(A94&lt;&gt;0),1+A94," ")</f>
        <v>84</v>
      </c>
      <c r="B95" s="6">
        <f>IF(A95&lt;&gt;" ",+B94*1," ")</f>
        <v>171000.69483453908</v>
      </c>
      <c r="C95" s="6">
        <f>IF(A95&lt;&gt;" ",+C94*1," ")</f>
        <v>171000.69483453908</v>
      </c>
    </row>
    <row r="96" spans="1:3">
      <c r="A96" s="7">
        <f>IF(AND(A95&lt;$B$6)*(A95&lt;&gt;0),1+A95," ")</f>
        <v>85</v>
      </c>
      <c r="B96" s="6">
        <f>IF(A96&lt;&gt;" ",+B95*1," ")</f>
        <v>171000.69483453908</v>
      </c>
      <c r="C96" s="6">
        <f>IF(A96&lt;&gt;" ",+C95*1," ")</f>
        <v>171000.69483453908</v>
      </c>
    </row>
    <row r="97" spans="1:3">
      <c r="A97" s="7">
        <f>IF(AND(A96&lt;$B$6)*(A96&lt;&gt;0),1+A96," ")</f>
        <v>86</v>
      </c>
      <c r="B97" s="6">
        <f>IF(A97&lt;&gt;" ",+B96*1," ")</f>
        <v>171000.69483453908</v>
      </c>
      <c r="C97" s="6">
        <f>IF(A97&lt;&gt;" ",+C96*1," ")</f>
        <v>171000.69483453908</v>
      </c>
    </row>
    <row r="98" spans="1:3">
      <c r="A98" s="7">
        <f>IF(AND(A97&lt;$B$6)*(A97&lt;&gt;0),1+A97," ")</f>
        <v>87</v>
      </c>
      <c r="B98" s="6">
        <f>IF(A98&lt;&gt;" ",+B97*1," ")</f>
        <v>171000.69483453908</v>
      </c>
      <c r="C98" s="6">
        <f>IF(A98&lt;&gt;" ",+C97*1," ")</f>
        <v>171000.69483453908</v>
      </c>
    </row>
    <row r="99" spans="1:3">
      <c r="A99" s="7">
        <f>IF(AND(A98&lt;$B$6)*(A98&lt;&gt;0),1+A98," ")</f>
        <v>88</v>
      </c>
      <c r="B99" s="6">
        <f>IF(A99&lt;&gt;" ",+B98*1," ")</f>
        <v>171000.69483453908</v>
      </c>
      <c r="C99" s="6">
        <f>IF(A99&lt;&gt;" ",+C98*1," ")</f>
        <v>171000.69483453908</v>
      </c>
    </row>
    <row r="100" spans="1:3">
      <c r="A100" s="7">
        <f>IF(AND(A99&lt;$B$6)*(A99&lt;&gt;0),1+A99," ")</f>
        <v>89</v>
      </c>
      <c r="B100" s="6">
        <f>IF(A100&lt;&gt;" ",+B99*1," ")</f>
        <v>171000.69483453908</v>
      </c>
      <c r="C100" s="6">
        <f>IF(A100&lt;&gt;" ",+C99*1," ")</f>
        <v>171000.69483453908</v>
      </c>
    </row>
    <row r="101" spans="1:3">
      <c r="A101" s="7">
        <f>IF(AND(A100&lt;$B$6)*(A100&lt;&gt;0),1+A100," ")</f>
        <v>90</v>
      </c>
      <c r="B101" s="6">
        <f>IF(A101&lt;&gt;" ",+B100*1," ")</f>
        <v>171000.69483453908</v>
      </c>
      <c r="C101" s="6">
        <f>IF(A101&lt;&gt;" ",+C100*1," ")</f>
        <v>171000.69483453908</v>
      </c>
    </row>
    <row r="102" spans="1:3">
      <c r="A102" s="7">
        <f>IF(AND(A101&lt;$B$6)*(A101&lt;&gt;0),1+A101," ")</f>
        <v>91</v>
      </c>
      <c r="B102" s="6">
        <f>IF(A102&lt;&gt;" ",+B101*1," ")</f>
        <v>171000.69483453908</v>
      </c>
      <c r="C102" s="6">
        <f>IF(A102&lt;&gt;" ",+C101*1," ")</f>
        <v>171000.69483453908</v>
      </c>
    </row>
    <row r="103" spans="1:3">
      <c r="A103" s="7">
        <f>IF(AND(A102&lt;$B$6)*(A102&lt;&gt;0),1+A102," ")</f>
        <v>92</v>
      </c>
      <c r="B103" s="6">
        <f>IF(A103&lt;&gt;" ",+B102*1," ")</f>
        <v>171000.69483453908</v>
      </c>
      <c r="C103" s="6">
        <f>IF(A103&lt;&gt;" ",+C102*1," ")</f>
        <v>171000.69483453908</v>
      </c>
    </row>
    <row r="104" spans="1:3">
      <c r="A104" s="7">
        <f>IF(AND(A103&lt;$B$6)*(A103&lt;&gt;0),1+A103," ")</f>
        <v>93</v>
      </c>
      <c r="B104" s="6">
        <f>IF(A104&lt;&gt;" ",+B103*1," ")</f>
        <v>171000.69483453908</v>
      </c>
      <c r="C104" s="6">
        <f>IF(A104&lt;&gt;" ",+C103*1," ")</f>
        <v>171000.69483453908</v>
      </c>
    </row>
    <row r="105" spans="1:3">
      <c r="A105" s="7">
        <f>IF(AND(A104&lt;$B$6)*(A104&lt;&gt;0),1+A104," ")</f>
        <v>94</v>
      </c>
      <c r="B105" s="6">
        <f>IF(A105&lt;&gt;" ",+B104*1," ")</f>
        <v>171000.69483453908</v>
      </c>
      <c r="C105" s="6">
        <f>IF(A105&lt;&gt;" ",+C104*1," ")</f>
        <v>171000.69483453908</v>
      </c>
    </row>
    <row r="106" spans="1:3">
      <c r="A106" s="7">
        <f>IF(AND(A105&lt;$B$6)*(A105&lt;&gt;0),1+A105," ")</f>
        <v>95</v>
      </c>
      <c r="B106" s="6">
        <f>IF(A106&lt;&gt;" ",+B105*1," ")</f>
        <v>171000.69483453908</v>
      </c>
      <c r="C106" s="6">
        <f>IF(A106&lt;&gt;" ",+C105*1," ")</f>
        <v>171000.69483453908</v>
      </c>
    </row>
    <row r="107" spans="1:3">
      <c r="A107" s="7">
        <f>IF(AND(A106&lt;$B$6)*(A106&lt;&gt;0),1+A106," ")</f>
        <v>96</v>
      </c>
      <c r="B107" s="6">
        <f>IF(A107&lt;&gt;" ",+B106*1," ")</f>
        <v>171000.69483453908</v>
      </c>
      <c r="C107" s="6">
        <f>IF(A107&lt;&gt;" ",+C106*1," ")</f>
        <v>171000.69483453908</v>
      </c>
    </row>
    <row r="108" spans="1:3">
      <c r="A108" s="7">
        <f>IF(AND(A107&lt;$B$6)*(A107&lt;&gt;0),1+A107," ")</f>
        <v>97</v>
      </c>
      <c r="B108" s="6">
        <f>IF(A108&lt;&gt;" ",+B107*1," ")</f>
        <v>171000.69483453908</v>
      </c>
      <c r="C108" s="6">
        <f>IF(A108&lt;&gt;" ",+C107*1," ")</f>
        <v>171000.69483453908</v>
      </c>
    </row>
    <row r="109" spans="1:3">
      <c r="A109" s="7">
        <f>IF(AND(A108&lt;$B$6)*(A108&lt;&gt;0),1+A108," ")</f>
        <v>98</v>
      </c>
      <c r="B109" s="6">
        <f>IF(A109&lt;&gt;" ",+B108*1," ")</f>
        <v>171000.69483453908</v>
      </c>
      <c r="C109" s="6">
        <f>IF(A109&lt;&gt;" ",+C108*1," ")</f>
        <v>171000.69483453908</v>
      </c>
    </row>
    <row r="110" spans="1:3">
      <c r="A110" s="7">
        <f>IF(AND(A109&lt;$B$6)*(A109&lt;&gt;0),1+A109," ")</f>
        <v>99</v>
      </c>
      <c r="B110" s="6">
        <f>IF(A110&lt;&gt;" ",+B109*1," ")</f>
        <v>171000.69483453908</v>
      </c>
      <c r="C110" s="6">
        <f>IF(A110&lt;&gt;" ",+C109*1," ")</f>
        <v>171000.69483453908</v>
      </c>
    </row>
    <row r="111" spans="1:3">
      <c r="A111" s="7">
        <f>IF(AND(A110&lt;$B$6)*(A110&lt;&gt;0),1+A110," ")</f>
        <v>100</v>
      </c>
      <c r="B111" s="6">
        <f>IF(A111&lt;&gt;" ",+B110*1," ")</f>
        <v>171000.69483453908</v>
      </c>
      <c r="C111" s="6">
        <f>IF(A111&lt;&gt;" ",+C110*1," ")</f>
        <v>171000.69483453908</v>
      </c>
    </row>
    <row r="112" spans="1:3">
      <c r="A112" s="7">
        <f>IF(AND(A111&lt;$B$6)*(A111&lt;&gt;0),1+A111," ")</f>
        <v>101</v>
      </c>
      <c r="B112" s="6">
        <f>IF(A112&lt;&gt;" ",+B111*1," ")</f>
        <v>171000.69483453908</v>
      </c>
      <c r="C112" s="6">
        <f>IF(A112&lt;&gt;" ",+C111*1," ")</f>
        <v>171000.69483453908</v>
      </c>
    </row>
    <row r="113" spans="1:3">
      <c r="A113" s="7">
        <f>IF(AND(A112&lt;$B$6)*(A112&lt;&gt;0),1+A112," ")</f>
        <v>102</v>
      </c>
      <c r="B113" s="6">
        <f>IF(A113&lt;&gt;" ",+B112*1," ")</f>
        <v>171000.69483453908</v>
      </c>
      <c r="C113" s="6">
        <f>IF(A113&lt;&gt;" ",+C112*1," ")</f>
        <v>171000.69483453908</v>
      </c>
    </row>
    <row r="114" spans="1:3">
      <c r="A114" s="7">
        <f>IF(AND(A113&lt;$B$6)*(A113&lt;&gt;0),1+A113," ")</f>
        <v>103</v>
      </c>
      <c r="B114" s="6">
        <f>IF(A114&lt;&gt;" ",+B113*1," ")</f>
        <v>171000.69483453908</v>
      </c>
      <c r="C114" s="6">
        <f>IF(A114&lt;&gt;" ",+C113*1," ")</f>
        <v>171000.69483453908</v>
      </c>
    </row>
    <row r="115" spans="1:3">
      <c r="A115" s="7">
        <f>IF(AND(A114&lt;$B$6)*(A114&lt;&gt;0),1+A114," ")</f>
        <v>104</v>
      </c>
      <c r="B115" s="6">
        <f>IF(A115&lt;&gt;" ",+B114*1," ")</f>
        <v>171000.69483453908</v>
      </c>
      <c r="C115" s="6">
        <f>IF(A115&lt;&gt;" ",+C114*1," ")</f>
        <v>171000.69483453908</v>
      </c>
    </row>
    <row r="116" spans="1:3">
      <c r="A116" s="7">
        <f>IF(AND(A115&lt;$B$6)*(A115&lt;&gt;0),1+A115," ")</f>
        <v>105</v>
      </c>
      <c r="B116" s="6">
        <f>IF(A116&lt;&gt;" ",+B115*1," ")</f>
        <v>171000.69483453908</v>
      </c>
      <c r="C116" s="6">
        <f>IF(A116&lt;&gt;" ",+C115*1," ")</f>
        <v>171000.69483453908</v>
      </c>
    </row>
    <row r="117" spans="1:3">
      <c r="A117" s="7">
        <f>IF(AND(A116&lt;$B$6)*(A116&lt;&gt;0),1+A116," ")</f>
        <v>106</v>
      </c>
      <c r="B117" s="6">
        <f>IF(A117&lt;&gt;" ",+B116*1," ")</f>
        <v>171000.69483453908</v>
      </c>
      <c r="C117" s="6">
        <f>IF(A117&lt;&gt;" ",+C116*1," ")</f>
        <v>171000.69483453908</v>
      </c>
    </row>
    <row r="118" spans="1:3">
      <c r="A118" s="7">
        <f>IF(AND(A117&lt;$B$6)*(A117&lt;&gt;0),1+A117," ")</f>
        <v>107</v>
      </c>
      <c r="B118" s="6">
        <f>IF(A118&lt;&gt;" ",+B117*1," ")</f>
        <v>171000.69483453908</v>
      </c>
      <c r="C118" s="6">
        <f>IF(A118&lt;&gt;" ",+C117*1," ")</f>
        <v>171000.69483453908</v>
      </c>
    </row>
    <row r="119" spans="1:3">
      <c r="A119" s="7">
        <f>IF(AND(A118&lt;$B$6)*(A118&lt;&gt;0),1+A118," ")</f>
        <v>108</v>
      </c>
      <c r="B119" s="6">
        <f>IF(A119&lt;&gt;" ",+B118*1," ")</f>
        <v>171000.69483453908</v>
      </c>
      <c r="C119" s="6">
        <f>IF(A119&lt;&gt;" ",+C118*1," ")</f>
        <v>171000.69483453908</v>
      </c>
    </row>
    <row r="120" spans="1:3">
      <c r="A120" s="7">
        <f>IF(AND(A119&lt;$B$6)*(A119&lt;&gt;0),1+A119," ")</f>
        <v>109</v>
      </c>
      <c r="B120" s="6">
        <f>IF(A120&lt;&gt;" ",+B119*1," ")</f>
        <v>171000.69483453908</v>
      </c>
      <c r="C120" s="6">
        <f>IF(A120&lt;&gt;" ",+C119*1," ")</f>
        <v>171000.69483453908</v>
      </c>
    </row>
    <row r="121" spans="1:3">
      <c r="A121" s="7">
        <f>IF(AND(A120&lt;$B$6)*(A120&lt;&gt;0),1+A120," ")</f>
        <v>110</v>
      </c>
      <c r="B121" s="6">
        <f>IF(A121&lt;&gt;" ",+B120*1," ")</f>
        <v>171000.69483453908</v>
      </c>
      <c r="C121" s="6">
        <f>IF(A121&lt;&gt;" ",+C120*1," ")</f>
        <v>171000.69483453908</v>
      </c>
    </row>
    <row r="122" spans="1:3">
      <c r="A122" s="7">
        <f>IF(AND(A121&lt;$B$6)*(A121&lt;&gt;0),1+A121," ")</f>
        <v>111</v>
      </c>
      <c r="B122" s="6">
        <f>IF(A122&lt;&gt;" ",+B121*1," ")</f>
        <v>171000.69483453908</v>
      </c>
      <c r="C122" s="6">
        <f>IF(A122&lt;&gt;" ",+C121*1," ")</f>
        <v>171000.69483453908</v>
      </c>
    </row>
    <row r="123" spans="1:3">
      <c r="A123" s="7">
        <f>IF(AND(A122&lt;$B$6)*(A122&lt;&gt;0),1+A122," ")</f>
        <v>112</v>
      </c>
      <c r="B123" s="6">
        <f>IF(A123&lt;&gt;" ",+B122*1," ")</f>
        <v>171000.69483453908</v>
      </c>
      <c r="C123" s="6">
        <f>IF(A123&lt;&gt;" ",+C122*1," ")</f>
        <v>171000.69483453908</v>
      </c>
    </row>
    <row r="124" spans="1:3">
      <c r="A124" s="7">
        <f>IF(AND(A123&lt;$B$6)*(A123&lt;&gt;0),1+A123," ")</f>
        <v>113</v>
      </c>
      <c r="B124" s="6">
        <f>IF(A124&lt;&gt;" ",+B123*1," ")</f>
        <v>171000.69483453908</v>
      </c>
      <c r="C124" s="6">
        <f>IF(A124&lt;&gt;" ",+C123*1," ")</f>
        <v>171000.69483453908</v>
      </c>
    </row>
    <row r="125" spans="1:3">
      <c r="A125" s="7">
        <f>IF(AND(A124&lt;$B$6)*(A124&lt;&gt;0),1+A124," ")</f>
        <v>114</v>
      </c>
      <c r="B125" s="6">
        <f>IF(A125&lt;&gt;" ",+B124*1," ")</f>
        <v>171000.69483453908</v>
      </c>
      <c r="C125" s="6">
        <f>IF(A125&lt;&gt;" ",+C124*1," ")</f>
        <v>171000.69483453908</v>
      </c>
    </row>
    <row r="126" spans="1:3">
      <c r="A126" s="7">
        <f>IF(AND(A125&lt;$B$6)*(A125&lt;&gt;0),1+A125," ")</f>
        <v>115</v>
      </c>
      <c r="B126" s="6">
        <f>IF(A126&lt;&gt;" ",+B125*1," ")</f>
        <v>171000.69483453908</v>
      </c>
      <c r="C126" s="6">
        <f>IF(A126&lt;&gt;" ",+C125*1," ")</f>
        <v>171000.69483453908</v>
      </c>
    </row>
    <row r="127" spans="1:3">
      <c r="A127" s="7">
        <f>IF(AND(A126&lt;$B$6)*(A126&lt;&gt;0),1+A126," ")</f>
        <v>116</v>
      </c>
      <c r="B127" s="6">
        <f>IF(A127&lt;&gt;" ",+B126*1," ")</f>
        <v>171000.69483453908</v>
      </c>
      <c r="C127" s="6">
        <f>IF(A127&lt;&gt;" ",+C126*1," ")</f>
        <v>171000.69483453908</v>
      </c>
    </row>
    <row r="128" spans="1:3">
      <c r="A128" s="7">
        <f>IF(AND(A127&lt;$B$6)*(A127&lt;&gt;0),1+A127," ")</f>
        <v>117</v>
      </c>
      <c r="B128" s="6">
        <f>IF(A128&lt;&gt;" ",+B127*1," ")</f>
        <v>171000.69483453908</v>
      </c>
      <c r="C128" s="6">
        <f>IF(A128&lt;&gt;" ",+C127*1," ")</f>
        <v>171000.69483453908</v>
      </c>
    </row>
    <row r="129" spans="1:3">
      <c r="A129" s="7">
        <f>IF(AND(A128&lt;$B$6)*(A128&lt;&gt;0),1+A128," ")</f>
        <v>118</v>
      </c>
      <c r="B129" s="6">
        <f>IF(A129&lt;&gt;" ",+B128*1," ")</f>
        <v>171000.69483453908</v>
      </c>
      <c r="C129" s="6">
        <f>IF(A129&lt;&gt;" ",+C128*1," ")</f>
        <v>171000.69483453908</v>
      </c>
    </row>
    <row r="130" spans="1:3">
      <c r="A130" s="7">
        <f>IF(AND(A129&lt;$B$6)*(A129&lt;&gt;0),1+A129," ")</f>
        <v>119</v>
      </c>
      <c r="B130" s="6">
        <f>IF(A130&lt;&gt;" ",+B129*1," ")</f>
        <v>171000.69483453908</v>
      </c>
      <c r="C130" s="6">
        <f>IF(A130&lt;&gt;" ",+C129*1," ")</f>
        <v>171000.69483453908</v>
      </c>
    </row>
    <row r="131" spans="1:3">
      <c r="A131" s="7">
        <f>IF(AND(A130&lt;$B$6)*(A130&lt;&gt;0),1+A130," ")</f>
        <v>120</v>
      </c>
      <c r="B131" s="6">
        <f>IF(A131&lt;&gt;" ",+B130*1," ")</f>
        <v>171000.69483453908</v>
      </c>
      <c r="C131" s="6">
        <f>IF(A131&lt;&gt;" ",+C130*1," ")</f>
        <v>171000.69483453908</v>
      </c>
    </row>
    <row r="132" spans="1:3">
      <c r="A132" s="7" t="str">
        <f>IF(AND(A131&lt;$B$6)*(A131&lt;&gt;0),1+A131," ")</f>
        <v xml:space="preserve"> </v>
      </c>
      <c r="B132" s="6" t="str">
        <f>IF(A132&lt;&gt;" ",+B131*1," ")</f>
        <v xml:space="preserve"> </v>
      </c>
      <c r="C132" s="6" t="str">
        <f>IF(A132&lt;&gt;" ",+C131*1," ")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71"/>
  <sheetViews>
    <sheetView showGridLines="0" tabSelected="1" zoomScaleNormal="100" workbookViewId="0">
      <pane ySplit="5" topLeftCell="K11" activePane="bottomLeft" state="frozen"/>
      <selection pane="bottomLeft" activeCell="T27" sqref="T27"/>
    </sheetView>
  </sheetViews>
  <sheetFormatPr defaultColWidth="11.42578125" defaultRowHeight="15" customHeight="1"/>
  <cols>
    <col min="1" max="1" width="11.5703125" customWidth="1"/>
    <col min="2" max="2" width="14.140625" bestFit="1" customWidth="1"/>
    <col min="3" max="3" width="12.85546875" bestFit="1" customWidth="1"/>
    <col min="4" max="4" width="12.140625" bestFit="1" customWidth="1"/>
    <col min="5" max="5" width="12.85546875" bestFit="1" customWidth="1"/>
    <col min="6" max="6" width="13.7109375" bestFit="1" customWidth="1"/>
    <col min="7" max="7" width="13.85546875" customWidth="1"/>
    <col min="8" max="8" width="10.42578125" customWidth="1"/>
    <col min="9" max="9" width="11.5703125" customWidth="1"/>
    <col min="10" max="10" width="12.85546875" bestFit="1" customWidth="1"/>
    <col min="11" max="11" width="8.28515625" customWidth="1"/>
    <col min="12" max="12" width="3.28515625" bestFit="1" customWidth="1"/>
    <col min="13" max="13" width="4.28515625" bestFit="1" customWidth="1"/>
    <col min="14" max="14" width="5.42578125" bestFit="1" customWidth="1"/>
    <col min="15" max="15" width="12.5703125" bestFit="1" customWidth="1"/>
    <col min="16" max="16" width="25" customWidth="1"/>
    <col min="17" max="17" width="14.7109375" customWidth="1"/>
    <col min="18" max="18" width="14.7109375" bestFit="1" customWidth="1"/>
    <col min="19" max="19" width="16.7109375" customWidth="1"/>
    <col min="20" max="20" width="16.28515625" customWidth="1"/>
    <col min="21" max="21" width="13.5703125" customWidth="1"/>
    <col min="22" max="22" width="13.42578125" customWidth="1"/>
    <col min="23" max="23" width="15.85546875" bestFit="1" customWidth="1"/>
    <col min="24" max="24" width="14.5703125" customWidth="1"/>
    <col min="25" max="25" width="12.85546875" customWidth="1"/>
    <col min="26" max="26" width="18.140625" customWidth="1"/>
    <col min="27" max="27" width="14.140625" customWidth="1"/>
    <col min="28" max="28" width="15.85546875" customWidth="1"/>
    <col min="29" max="36" width="13.7109375" bestFit="1" customWidth="1"/>
    <col min="37" max="37" width="12.5703125" bestFit="1" customWidth="1"/>
    <col min="38" max="46" width="13.7109375" bestFit="1" customWidth="1"/>
  </cols>
  <sheetData>
    <row r="1" spans="1:46" ht="14.45" customHeight="1">
      <c r="A1" s="18" t="s">
        <v>16</v>
      </c>
      <c r="C1" s="50">
        <v>45587</v>
      </c>
    </row>
    <row r="2" spans="1:46"/>
    <row r="3" spans="1:46" thickBot="1">
      <c r="A3" s="10" t="s">
        <v>17</v>
      </c>
      <c r="B3" s="12">
        <v>495540991</v>
      </c>
      <c r="C3" s="10" t="s">
        <v>18</v>
      </c>
      <c r="D3" s="11">
        <v>9.2939999999999995E-2</v>
      </c>
      <c r="E3" s="10" t="s">
        <v>19</v>
      </c>
      <c r="F3" s="8">
        <f>((D3+D4)/12)</f>
        <v>1.3994999999999999E-2</v>
      </c>
      <c r="H3" s="18" t="s">
        <v>16</v>
      </c>
      <c r="J3" s="50">
        <f>+C1</f>
        <v>45587</v>
      </c>
      <c r="O3" s="50"/>
    </row>
    <row r="4" spans="1:46" thickBot="1">
      <c r="A4" s="10" t="s">
        <v>20</v>
      </c>
      <c r="B4" s="13">
        <v>58</v>
      </c>
      <c r="C4" s="10" t="s">
        <v>21</v>
      </c>
      <c r="D4" s="11">
        <v>7.4999999999999997E-2</v>
      </c>
      <c r="E4" s="10" t="s">
        <v>22</v>
      </c>
      <c r="F4" s="2">
        <f>+PMT(F3,B4,-B3,0)</f>
        <v>12531891.910289641</v>
      </c>
      <c r="G4" s="2"/>
      <c r="J4" s="51">
        <v>128</v>
      </c>
      <c r="O4" s="51"/>
      <c r="Q4" s="124" t="s">
        <v>23</v>
      </c>
      <c r="R4" s="129"/>
      <c r="S4" s="129"/>
      <c r="T4" s="129"/>
      <c r="U4" s="129"/>
      <c r="V4" s="129"/>
      <c r="W4" s="129"/>
      <c r="X4" s="130"/>
    </row>
    <row r="5" spans="1:46" ht="27" customHeight="1" thickBot="1">
      <c r="A5" s="64"/>
      <c r="B5" s="65" t="s">
        <v>24</v>
      </c>
      <c r="C5" s="65" t="s">
        <v>25</v>
      </c>
      <c r="D5" s="65" t="s">
        <v>26</v>
      </c>
      <c r="E5" s="65" t="s">
        <v>13</v>
      </c>
      <c r="F5" s="65" t="s">
        <v>27</v>
      </c>
      <c r="G5" s="65" t="s">
        <v>28</v>
      </c>
      <c r="H5" s="9" t="s">
        <v>6</v>
      </c>
      <c r="I5" s="9" t="s">
        <v>29</v>
      </c>
      <c r="J5" s="9" t="s">
        <v>30</v>
      </c>
      <c r="K5" s="9" t="s">
        <v>31</v>
      </c>
      <c r="L5" s="9" t="s">
        <v>32</v>
      </c>
      <c r="M5" s="9" t="s">
        <v>33</v>
      </c>
      <c r="N5" s="9" t="s">
        <v>34</v>
      </c>
      <c r="O5" s="9" t="s">
        <v>32</v>
      </c>
      <c r="P5" s="14" t="s">
        <v>35</v>
      </c>
      <c r="Q5" s="107" t="s">
        <v>36</v>
      </c>
      <c r="R5" s="108" t="s">
        <v>37</v>
      </c>
      <c r="S5" s="109" t="s">
        <v>38</v>
      </c>
      <c r="T5" s="109" t="s">
        <v>39</v>
      </c>
      <c r="U5" s="108" t="s">
        <v>40</v>
      </c>
      <c r="V5" s="108" t="s">
        <v>41</v>
      </c>
      <c r="W5" s="110" t="s">
        <v>42</v>
      </c>
      <c r="X5" s="111" t="s">
        <v>43</v>
      </c>
      <c r="Y5" s="55"/>
    </row>
    <row r="6" spans="1:46" ht="14.45" customHeight="1">
      <c r="A6" s="63">
        <f>+TasaImplicita!A12</f>
        <v>1</v>
      </c>
      <c r="B6" s="56">
        <f>+B3</f>
        <v>495540991</v>
      </c>
      <c r="C6" s="56">
        <f>+B6*F3</f>
        <v>6935096.1690449994</v>
      </c>
      <c r="D6" s="56">
        <f>+S6</f>
        <v>5643524</v>
      </c>
      <c r="E6" s="56">
        <f>+F4</f>
        <v>12531891.910289641</v>
      </c>
      <c r="F6" s="56">
        <f>+B6-D6</f>
        <v>489897467</v>
      </c>
      <c r="G6" s="61">
        <v>8.8870000000000005E-2</v>
      </c>
      <c r="H6" s="60">
        <f>+D4</f>
        <v>7.4999999999999997E-2</v>
      </c>
      <c r="I6" s="8">
        <f>((G6+H6)/12)</f>
        <v>1.3655833333333334E-2</v>
      </c>
      <c r="J6" s="2">
        <f>PMT(I6,K6,-F6,0)</f>
        <v>12424998.531781277</v>
      </c>
      <c r="K6" s="7">
        <f>+$B$4-A6</f>
        <v>57</v>
      </c>
      <c r="L6">
        <v>22</v>
      </c>
      <c r="M6">
        <v>1</v>
      </c>
      <c r="N6">
        <v>2025</v>
      </c>
      <c r="O6" s="19">
        <f>6805843/30</f>
        <v>226861.43333333332</v>
      </c>
      <c r="P6" s="31">
        <f>+O6*8</f>
        <v>1814891.4666666666</v>
      </c>
      <c r="Q6" s="93">
        <v>45680</v>
      </c>
      <c r="R6" s="94">
        <v>6805843</v>
      </c>
      <c r="S6" s="94">
        <v>5643524</v>
      </c>
      <c r="T6" s="94">
        <f>+B6-S6</f>
        <v>489897467</v>
      </c>
      <c r="U6" s="95">
        <v>3232</v>
      </c>
      <c r="V6" s="95"/>
      <c r="W6" s="94">
        <f>+R6+S6+U6-V6</f>
        <v>12452599</v>
      </c>
      <c r="X6" s="52"/>
    </row>
    <row r="7" spans="1:46" ht="14.45" customHeight="1">
      <c r="A7" s="63">
        <f>IF(AND(A6&lt;$B$4)*(A6&lt;&gt;0),1+A6," ")</f>
        <v>2</v>
      </c>
      <c r="B7" s="54">
        <f>IF(A7=" "," ",+F6)</f>
        <v>489897467</v>
      </c>
      <c r="C7" s="54">
        <f>IF(A7=" "," ",+B7*I6)</f>
        <v>6689958.1597741675</v>
      </c>
      <c r="D7" s="54">
        <f>+S7</f>
        <v>6721985</v>
      </c>
      <c r="E7" s="54">
        <f>IF(A7=" "," ",+J6)</f>
        <v>12424998.531781277</v>
      </c>
      <c r="F7" s="54">
        <f>+B7-D7</f>
        <v>483175482</v>
      </c>
      <c r="G7" s="60">
        <v>8.9730000000000004E-2</v>
      </c>
      <c r="H7" s="60">
        <f>IF(A7=" "," ",+H6)</f>
        <v>7.4999999999999997E-2</v>
      </c>
      <c r="I7" s="8">
        <f>IF(A7=" "," ",((G7+H7)/12))</f>
        <v>1.3727499999999998E-2</v>
      </c>
      <c r="J7" s="2">
        <f>PMT(I7,K7,-F7,0)</f>
        <v>12421589.577428265</v>
      </c>
      <c r="K7" s="7">
        <f>IF(A4=" "," ",+$B$4-A7)</f>
        <v>56</v>
      </c>
      <c r="L7">
        <v>22</v>
      </c>
      <c r="M7">
        <f>IF(AND(A7&lt;&gt;" ")*(M6=12),1,1+M6)</f>
        <v>2</v>
      </c>
      <c r="N7">
        <f>IF(AND(A7&lt;&gt;" ")*(M7=1),1+N6,N6)</f>
        <v>2025</v>
      </c>
      <c r="O7" s="19">
        <f>+C7/30</f>
        <v>222998.60532580558</v>
      </c>
      <c r="P7" s="31">
        <f>+O7*8</f>
        <v>1783988.8426064446</v>
      </c>
      <c r="Q7" s="53">
        <v>45705</v>
      </c>
      <c r="R7" s="52">
        <v>5574285</v>
      </c>
      <c r="S7" s="52">
        <v>6721985</v>
      </c>
      <c r="T7" s="52">
        <f>+T6-S7</f>
        <v>483175482</v>
      </c>
      <c r="U7" s="57"/>
      <c r="V7" s="57">
        <v>941470</v>
      </c>
      <c r="W7" s="94">
        <f>+R7+S7+U7-V7</f>
        <v>11354800</v>
      </c>
      <c r="X7" s="52"/>
    </row>
    <row r="8" spans="1:46" ht="14.45" customHeight="1">
      <c r="A8" s="63">
        <f>IF(AND(A7&lt;$B$4)*(A7&lt;&gt;0),1+A7," ")</f>
        <v>3</v>
      </c>
      <c r="B8" s="54">
        <f>IF(A8=" "," ",+F7)</f>
        <v>483175482</v>
      </c>
      <c r="C8" s="54">
        <f>IF(A8=" "," ",+B8*I7)</f>
        <v>6632791.4291549996</v>
      </c>
      <c r="D8" s="54">
        <f>+S8</f>
        <v>5780595</v>
      </c>
      <c r="E8" s="54">
        <f>IF(A8=" "," ",+J7)</f>
        <v>12421589.577428265</v>
      </c>
      <c r="F8" s="54">
        <f>+B8-D8</f>
        <v>477394887</v>
      </c>
      <c r="G8" s="60">
        <v>8.9169999999999999E-2</v>
      </c>
      <c r="H8" s="60">
        <f>IF(A8=" "," ",+H7)</f>
        <v>7.4999999999999997E-2</v>
      </c>
      <c r="I8" s="8">
        <f>IF(A8=" "," ",((G8+H8)/12))</f>
        <v>1.3680833333333331E-2</v>
      </c>
      <c r="J8" s="2">
        <f>PMT(I8,K8,-F8,0)</f>
        <v>12407742.609889595</v>
      </c>
      <c r="K8" s="7">
        <f>+$B$4-A8</f>
        <v>55</v>
      </c>
      <c r="L8">
        <v>22</v>
      </c>
      <c r="M8">
        <f>IF(AND(A8&lt;&gt;" ")*(M7=12),1,1+M7)</f>
        <v>3</v>
      </c>
      <c r="N8">
        <f>IF(AND(A8&lt;&gt;" ")*(M8=1),1+N7,N7)</f>
        <v>2025</v>
      </c>
      <c r="O8" s="19">
        <f>7732591/35</f>
        <v>220931.17142857143</v>
      </c>
      <c r="P8" s="31">
        <f>+O8*13</f>
        <v>2872105.2285714285</v>
      </c>
      <c r="Q8" s="53">
        <v>45741</v>
      </c>
      <c r="R8" s="52">
        <v>7730591</v>
      </c>
      <c r="S8" s="52">
        <v>5780595</v>
      </c>
      <c r="T8" s="52">
        <f>+T7-S8</f>
        <v>477394887</v>
      </c>
      <c r="U8" s="57">
        <v>9964</v>
      </c>
      <c r="V8" s="57">
        <v>412981</v>
      </c>
      <c r="W8" s="94">
        <f>+R8+S8+U8-V8</f>
        <v>13108169</v>
      </c>
      <c r="X8" s="52"/>
    </row>
    <row r="9" spans="1:46" ht="14.45" customHeight="1">
      <c r="A9" s="63">
        <f>IF(AND(A8&lt;$B$4)*(A8&lt;&gt;0),1+A8," ")</f>
        <v>4</v>
      </c>
      <c r="B9" s="54">
        <f>IF(A9=" "," ",+F8)</f>
        <v>477394887</v>
      </c>
      <c r="C9" s="54">
        <f>IF(A9=" "," ",+B9*I8)</f>
        <v>6531159.8832324995</v>
      </c>
      <c r="D9" s="54">
        <f>+S9</f>
        <v>6227475</v>
      </c>
      <c r="E9" s="54">
        <f>IF(A9=" "," ",+J8)</f>
        <v>12407742.609889595</v>
      </c>
      <c r="F9" s="54">
        <f>+B9-D9</f>
        <v>471167412</v>
      </c>
      <c r="G9" s="60">
        <v>8.9550000000000005E-2</v>
      </c>
      <c r="H9" s="60">
        <f>IF(A9=" "," ",+H8)</f>
        <v>7.4999999999999997E-2</v>
      </c>
      <c r="I9" s="84">
        <f>IF(A9=" "," ",((G9+H9)/12))</f>
        <v>1.3712500000000001E-2</v>
      </c>
      <c r="J9" s="85">
        <f>PMT(I9,K9,-F9,0)</f>
        <v>12407895.236939253</v>
      </c>
      <c r="K9" s="7">
        <f>IF(A6=" "," ",+$B$4-A9)</f>
        <v>54</v>
      </c>
      <c r="L9">
        <v>22</v>
      </c>
      <c r="M9">
        <f>IF(AND(A9&lt;&gt;" ")*(M8=12),1,1+M8)</f>
        <v>4</v>
      </c>
      <c r="N9">
        <f>IF(AND(A9&lt;&gt;" ")*(M9=1),1+N8,N8)</f>
        <v>2025</v>
      </c>
      <c r="O9" s="19">
        <f>6529315/30</f>
        <v>217643.83333333334</v>
      </c>
      <c r="P9" s="31">
        <f>+O9*8</f>
        <v>1741150.6666666667</v>
      </c>
      <c r="Q9" s="58">
        <v>45768</v>
      </c>
      <c r="R9" s="52">
        <v>6311671</v>
      </c>
      <c r="S9" s="52">
        <v>6227475</v>
      </c>
      <c r="T9" s="52">
        <f>+T8-S9</f>
        <v>471167412</v>
      </c>
      <c r="U9" s="57">
        <v>2299</v>
      </c>
      <c r="V9" s="57">
        <v>457052</v>
      </c>
      <c r="W9" s="94">
        <f>+R9+S9+U9-V9</f>
        <v>12084393</v>
      </c>
      <c r="X9" s="52"/>
      <c r="AA9" s="4"/>
      <c r="AB9" s="20"/>
      <c r="AC9" s="20">
        <f>+AC13/22</f>
        <v>220840.26233766237</v>
      </c>
      <c r="AD9" s="20"/>
      <c r="AJ9" s="39"/>
    </row>
    <row r="10" spans="1:46" ht="14.45" customHeight="1">
      <c r="A10" s="63">
        <f>IF(AND(A9&lt;$B$4)*(A9&lt;&gt;0),1+A9," ")</f>
        <v>5</v>
      </c>
      <c r="B10" s="54">
        <f>IF(A10=" "," ",+F9)</f>
        <v>471167412</v>
      </c>
      <c r="C10" s="54">
        <f>IF(A10=" "," ",+B10*I9)</f>
        <v>6460883.13705</v>
      </c>
      <c r="D10" s="54">
        <f>+S10</f>
        <v>5947012</v>
      </c>
      <c r="E10" s="54">
        <f>IF(A10=" "," ",+J9)</f>
        <v>12407895.236939253</v>
      </c>
      <c r="F10" s="54">
        <f>+B10-D10</f>
        <v>465220400</v>
      </c>
      <c r="G10" s="60">
        <v>8.7609999999999993E-2</v>
      </c>
      <c r="H10" s="60">
        <f>IF(A10=" "," ",+H9)</f>
        <v>7.4999999999999997E-2</v>
      </c>
      <c r="I10" s="84">
        <f>IF(A10=" "," ",((G10+H10)/12))</f>
        <v>1.3550833333333331E-2</v>
      </c>
      <c r="J10" s="85">
        <f>PMT(I10,K10,-F10,0)</f>
        <v>12360769.572152339</v>
      </c>
      <c r="K10" s="7">
        <f>+$B$4-A10</f>
        <v>53</v>
      </c>
      <c r="L10">
        <v>22</v>
      </c>
      <c r="M10">
        <f>IF(AND(A10&lt;&gt;" ")*(M9=12),1,1+M9)</f>
        <v>5</v>
      </c>
      <c r="N10">
        <f>IF(AND(A10&lt;&gt;" ")*(M10=1),1+N9,N9)</f>
        <v>2025</v>
      </c>
      <c r="O10" s="19">
        <f>+C10/30</f>
        <v>215362.77123499999</v>
      </c>
      <c r="P10" s="31">
        <f>+O10*9</f>
        <v>1938264.9411149998</v>
      </c>
      <c r="Q10" s="53">
        <v>45798</v>
      </c>
      <c r="R10" s="52">
        <v>6460883</v>
      </c>
      <c r="S10" s="52">
        <v>5947012</v>
      </c>
      <c r="T10" s="52">
        <f>+T9-S10</f>
        <v>465220400</v>
      </c>
      <c r="U10" s="57"/>
      <c r="V10" s="57">
        <v>467337</v>
      </c>
      <c r="W10" s="94">
        <f>+R10+S10+U10-V10</f>
        <v>11940558</v>
      </c>
      <c r="X10" s="52"/>
      <c r="AA10" s="4"/>
      <c r="AC10" s="20"/>
      <c r="AJ10" s="20"/>
    </row>
    <row r="11" spans="1:46" ht="14.45" customHeight="1">
      <c r="A11" s="63">
        <f>IF(AND(A10&lt;$B$4)*(A10&lt;&gt;0),1+A10," ")</f>
        <v>6</v>
      </c>
      <c r="B11" s="54">
        <f>IF(A11=" "," ",+F10)</f>
        <v>465220400</v>
      </c>
      <c r="C11" s="54">
        <f>IF(A11=" "," ",+B11*I10)</f>
        <v>6304124.103666666</v>
      </c>
      <c r="D11" s="54">
        <v>6266783</v>
      </c>
      <c r="E11" s="54">
        <f>IF(A11=" "," ",+J10)</f>
        <v>12360769.572152339</v>
      </c>
      <c r="F11" s="54">
        <f>+B11-D11</f>
        <v>458953617</v>
      </c>
      <c r="G11" s="60">
        <v>8.7379999999999999E-2</v>
      </c>
      <c r="H11" s="60">
        <f>IF(A11=" "," ",+H10)</f>
        <v>7.4999999999999997E-2</v>
      </c>
      <c r="I11" s="84">
        <f>IF(A11=" "," ",((G11+H11)/12))</f>
        <v>1.3531666666666666E-2</v>
      </c>
      <c r="J11" s="85">
        <f>PMT(I11,K11,-F11,0)</f>
        <v>12349624.484846557</v>
      </c>
      <c r="K11" s="7">
        <f>IF(A8=" "," ",+$B$4-A11)</f>
        <v>52</v>
      </c>
      <c r="L11">
        <v>22</v>
      </c>
      <c r="M11">
        <f>IF(AND(A11&lt;&gt;" ")*(M10=12),1,1+M10)</f>
        <v>6</v>
      </c>
      <c r="N11">
        <f>IF(AND(A11&lt;&gt;" ")*(M11=1),1+N10,N10)</f>
        <v>2025</v>
      </c>
      <c r="O11" s="19">
        <f>+C11/30</f>
        <v>210137.47012222221</v>
      </c>
      <c r="P11" s="31">
        <f>+O11*9</f>
        <v>1891237.2311</v>
      </c>
      <c r="Q11" s="35">
        <v>45828</v>
      </c>
      <c r="R11" s="21">
        <v>6093987</v>
      </c>
      <c r="S11" s="21">
        <v>6266783</v>
      </c>
      <c r="T11" s="52">
        <f>+T10-S11</f>
        <v>458953617</v>
      </c>
      <c r="U11" s="37"/>
      <c r="V11" s="91">
        <v>455998</v>
      </c>
      <c r="W11" s="94">
        <f>+R11+S11+U11-V11</f>
        <v>11904772</v>
      </c>
      <c r="X11" s="52"/>
      <c r="AA11" s="4"/>
      <c r="AC11" s="20">
        <f>+O9*8</f>
        <v>1741150.6666666667</v>
      </c>
      <c r="AE11" s="86">
        <v>-6</v>
      </c>
      <c r="AF11" s="86">
        <v>14</v>
      </c>
      <c r="AJ11" s="20"/>
    </row>
    <row r="12" spans="1:46">
      <c r="A12" s="63">
        <f>IF(AND(A11&lt;$B$4)*(A11&lt;&gt;0),1+A11," ")</f>
        <v>7</v>
      </c>
      <c r="B12" s="54">
        <f>IF(A12=" "," ",+F11)</f>
        <v>458953617</v>
      </c>
      <c r="C12" s="54">
        <f>IF(A12=" "," ",+B12*I11)</f>
        <v>6210407.3607049994</v>
      </c>
      <c r="D12" s="54">
        <v>5932203</v>
      </c>
      <c r="E12" s="54">
        <f>IF(A12=" "," ",+J11)</f>
        <v>12349624.484846557</v>
      </c>
      <c r="F12" s="54">
        <f>+B12-D12</f>
        <v>453021414</v>
      </c>
      <c r="G12" s="60">
        <v>8.6730000000000002E-2</v>
      </c>
      <c r="H12" s="60">
        <f>IF(A12=" "," ",+H11)</f>
        <v>7.4999999999999997E-2</v>
      </c>
      <c r="I12" s="84">
        <f>IF(A12=" "," ",((G12+H12)/12))</f>
        <v>1.3477499999999998E-2</v>
      </c>
      <c r="J12" s="85">
        <f>PMT(I12,K12,-F12,0)</f>
        <v>12340015.697268024</v>
      </c>
      <c r="K12" s="7">
        <f>+$B$4-A12</f>
        <v>51</v>
      </c>
      <c r="L12">
        <v>22</v>
      </c>
      <c r="M12">
        <f>IF(AND(A12&lt;&gt;" ")*(M11=12),1,1+M11)</f>
        <v>7</v>
      </c>
      <c r="N12">
        <f>IF(AND(A12&lt;&gt;" ")*(M12=1),1+N11,N11)</f>
        <v>2025</v>
      </c>
      <c r="O12" s="19">
        <f>+C12/30</f>
        <v>207013.57869016664</v>
      </c>
      <c r="P12" s="31">
        <f>+O12*10</f>
        <v>2070135.7869016663</v>
      </c>
      <c r="Q12" s="35">
        <v>45859</v>
      </c>
      <c r="R12" s="21">
        <v>6417421</v>
      </c>
      <c r="S12" s="21">
        <v>5932203</v>
      </c>
      <c r="T12" s="52">
        <f>+T11-S12</f>
        <v>453021414</v>
      </c>
      <c r="U12" s="21">
        <v>0</v>
      </c>
      <c r="V12" s="92">
        <v>463710</v>
      </c>
      <c r="W12" s="94">
        <f>+R12+S12+U12-V12</f>
        <v>11885914</v>
      </c>
      <c r="X12" s="52"/>
      <c r="Z12" s="39">
        <v>45627</v>
      </c>
      <c r="AA12" s="39">
        <v>45658</v>
      </c>
      <c r="AB12" s="39">
        <v>45689</v>
      </c>
      <c r="AC12" s="39">
        <v>45717</v>
      </c>
      <c r="AD12" s="39">
        <v>45748</v>
      </c>
      <c r="AE12" s="83">
        <v>45778</v>
      </c>
      <c r="AF12" s="39">
        <v>45809</v>
      </c>
      <c r="AG12" s="83">
        <v>45839</v>
      </c>
      <c r="AH12" s="83">
        <v>45870</v>
      </c>
      <c r="AI12" s="83">
        <v>45901</v>
      </c>
      <c r="AJ12" s="83">
        <v>45931</v>
      </c>
      <c r="AK12" s="83">
        <v>45962</v>
      </c>
      <c r="AL12" s="83">
        <v>45992</v>
      </c>
      <c r="AM12" s="83">
        <v>46023</v>
      </c>
      <c r="AN12" s="83">
        <v>46054</v>
      </c>
      <c r="AO12" s="83">
        <v>46082</v>
      </c>
      <c r="AP12" s="83">
        <v>46113</v>
      </c>
      <c r="AQ12" s="83">
        <v>46143</v>
      </c>
      <c r="AR12" s="83">
        <v>46174</v>
      </c>
      <c r="AS12" s="83">
        <v>46204</v>
      </c>
      <c r="AT12" s="83">
        <v>46235</v>
      </c>
    </row>
    <row r="13" spans="1:46" ht="14.45" customHeight="1">
      <c r="A13" s="63">
        <f>IF(AND(A12&lt;$B$4)*(A12&lt;&gt;0),1+A12," ")</f>
        <v>8</v>
      </c>
      <c r="B13" s="54">
        <f>IF(A13=" "," ",+F12)</f>
        <v>453021414</v>
      </c>
      <c r="C13" s="54">
        <f>IF(A13=" "," ",+B13*I12)</f>
        <v>6105596.1071849996</v>
      </c>
      <c r="D13" s="54">
        <f>+S13</f>
        <v>6437940</v>
      </c>
      <c r="E13" s="54">
        <f>IF(A13=" "," ",+J12)</f>
        <v>12340015.697268024</v>
      </c>
      <c r="F13" s="54">
        <f>+B13-D13</f>
        <v>446583474</v>
      </c>
      <c r="G13" s="96">
        <v>8.7590000000000001E-2</v>
      </c>
      <c r="H13" s="60">
        <f>IF(A13=" "," ",+H12)</f>
        <v>7.4999999999999997E-2</v>
      </c>
      <c r="I13" s="84">
        <f>IF(A13=" "," ",((G13+H13)/12))</f>
        <v>1.3549166666666668E-2</v>
      </c>
      <c r="J13" s="85">
        <f>PMT(I13,K13,-F13,0)</f>
        <v>12354231.177433915</v>
      </c>
      <c r="K13" s="7">
        <f>IF(A10=" "," ",+$B$4-A13)</f>
        <v>50</v>
      </c>
      <c r="L13">
        <v>22</v>
      </c>
      <c r="M13">
        <f>IF(AND(A13&lt;&gt;" ")*(M12=12),1,1+M12)</f>
        <v>8</v>
      </c>
      <c r="N13">
        <f>IF(AND(A13&lt;&gt;" ")*(M13=1),1+N12,N12)</f>
        <v>2025</v>
      </c>
      <c r="O13" s="19">
        <f>+C13/30</f>
        <v>203519.87023949999</v>
      </c>
      <c r="P13" s="31">
        <f>+O13*9</f>
        <v>1831678.8321554998</v>
      </c>
      <c r="Q13" s="35">
        <v>45889</v>
      </c>
      <c r="R13" s="21">
        <v>5902076</v>
      </c>
      <c r="S13" s="21">
        <v>6437940</v>
      </c>
      <c r="T13" s="52">
        <f>+T12-S13</f>
        <v>446583474</v>
      </c>
      <c r="U13" s="21">
        <v>0</v>
      </c>
      <c r="V13" s="92">
        <v>441638</v>
      </c>
      <c r="W13" s="94">
        <f>+R13+S13+U13-V13</f>
        <v>11898378</v>
      </c>
      <c r="X13" s="52"/>
      <c r="Z13" s="20">
        <f>+P6</f>
        <v>1814891.4666666666</v>
      </c>
      <c r="AA13" s="20">
        <f>+R6-Z13</f>
        <v>4990951.5333333332</v>
      </c>
      <c r="AB13" s="20">
        <f>+R7-AA14</f>
        <v>3790296.1573935552</v>
      </c>
      <c r="AC13" s="20">
        <f>+R8-AB14</f>
        <v>4858485.771428572</v>
      </c>
      <c r="AD13" s="20">
        <f>+R9-AC14</f>
        <v>4570520.333333333</v>
      </c>
      <c r="AE13" s="20">
        <f>+R10-AD14+AE11</f>
        <v>4522612.0588850006</v>
      </c>
      <c r="AF13" s="20">
        <f>+R11-AE14+AF11</f>
        <v>4202763.7688999996</v>
      </c>
      <c r="AG13" s="20">
        <f>+O12*21</f>
        <v>4347285.1524934992</v>
      </c>
      <c r="AH13" s="20">
        <f>+O13*20-550</f>
        <v>4069847.4047899996</v>
      </c>
      <c r="AI13" s="20">
        <f>+O14*22+2</f>
        <v>4437280.2078570006</v>
      </c>
      <c r="AJ13" s="20">
        <f>+O15*20-3</f>
        <v>3977654.9289455554</v>
      </c>
      <c r="AK13" s="20">
        <f>+O16*22-1</f>
        <v>4311147.7958605001</v>
      </c>
      <c r="AL13" s="20">
        <f>+O17*22</f>
        <v>4251749.333333334</v>
      </c>
      <c r="AM13" s="20">
        <f>+O18*22</f>
        <v>4189042</v>
      </c>
      <c r="AN13" s="20">
        <f>+O19*22-1</f>
        <v>4212028.8</v>
      </c>
      <c r="AO13" s="20">
        <f>+O20*22+1</f>
        <v>4277821.8545563333</v>
      </c>
      <c r="AP13" s="20">
        <f>+O21*20</f>
        <v>1989256.0187777779</v>
      </c>
      <c r="AQ13" s="20">
        <f>+O22*22-3</f>
        <v>2218103.3927916666</v>
      </c>
      <c r="AR13" s="20">
        <f>+O23*22-1</f>
        <v>2147886.4598133331</v>
      </c>
      <c r="AS13" s="20">
        <f>+O24*22</f>
        <v>2151766.6965135001</v>
      </c>
      <c r="AT13" s="20">
        <f>+O25*19</f>
        <v>741973.93208333314</v>
      </c>
    </row>
    <row r="14" spans="1:46" ht="14.45" customHeight="1">
      <c r="A14" s="63">
        <f>IF(AND(A13&lt;$B$4)*(A13&lt;&gt;0),1+A13," ")</f>
        <v>9</v>
      </c>
      <c r="B14" s="54">
        <f>IF(A14=" "," ",+F13)</f>
        <v>446583474</v>
      </c>
      <c r="C14" s="54">
        <f>IF(A14=" "," ",+B14*I13)</f>
        <v>6050833.9198050005</v>
      </c>
      <c r="D14" s="54">
        <f>+S14</f>
        <v>5900008</v>
      </c>
      <c r="E14" s="54">
        <f>IF(A14=" "," ",+J13)</f>
        <v>12354231.177433915</v>
      </c>
      <c r="F14" s="54">
        <f>+B14-D14</f>
        <v>440683466</v>
      </c>
      <c r="G14" s="60">
        <v>8.7470000000000006E-2</v>
      </c>
      <c r="H14" s="60">
        <f>IF(A14=" "," ",+H13)</f>
        <v>7.4999999999999997E-2</v>
      </c>
      <c r="I14" s="98">
        <f>IF(A14=" "," ",((G14+H14)/12))</f>
        <v>1.3539166666666666E-2</v>
      </c>
      <c r="J14" s="54">
        <f>PMT(I14,K14,-F14,0)</f>
        <v>12362826.391535634</v>
      </c>
      <c r="K14" s="7">
        <f>+$B$4-A14</f>
        <v>49</v>
      </c>
      <c r="L14">
        <v>22</v>
      </c>
      <c r="M14">
        <f>IF(AND(A14&lt;&gt;" ")*(M13=12),1,1+M13)</f>
        <v>9</v>
      </c>
      <c r="N14">
        <f>IF(AND(A14&lt;&gt;" ")*(M14=1),1+N13,N13)</f>
        <v>2025</v>
      </c>
      <c r="O14" s="19">
        <f>+C14/30</f>
        <v>201694.46399350002</v>
      </c>
      <c r="P14" s="31">
        <f>+O14*10</f>
        <v>2016944.6399350001</v>
      </c>
      <c r="Q14" s="35">
        <v>45922</v>
      </c>
      <c r="R14" s="21">
        <v>6454223</v>
      </c>
      <c r="S14" s="21">
        <v>5900008</v>
      </c>
      <c r="T14" s="52">
        <f>+T13-S14</f>
        <v>440683466</v>
      </c>
      <c r="U14" s="36"/>
      <c r="V14" s="91">
        <v>451795</v>
      </c>
      <c r="W14" s="94">
        <f>+R14+S14+U14-V14</f>
        <v>11902436</v>
      </c>
      <c r="X14" s="52"/>
      <c r="Z14" s="32"/>
      <c r="AA14" s="33">
        <f>+P7</f>
        <v>1783988.8426064446</v>
      </c>
      <c r="AB14" s="33">
        <f>+P8</f>
        <v>2872105.2285714285</v>
      </c>
      <c r="AC14" s="33">
        <f>+P9</f>
        <v>1741150.6666666667</v>
      </c>
      <c r="AD14" s="33">
        <f>+P10</f>
        <v>1938264.9411149998</v>
      </c>
      <c r="AE14" s="33">
        <f>+P11</f>
        <v>1891237.2311</v>
      </c>
      <c r="AF14" s="33">
        <f>+P12</f>
        <v>2070135.7869016663</v>
      </c>
      <c r="AG14" s="33">
        <f>+P13</f>
        <v>1831678.8321554998</v>
      </c>
      <c r="AH14" s="33">
        <f>+P14</f>
        <v>2016944.6399350001</v>
      </c>
      <c r="AI14" s="33">
        <f>+P15</f>
        <v>1591063.1715782222</v>
      </c>
      <c r="AJ14" s="33">
        <f>+P16</f>
        <v>1959613.0890275</v>
      </c>
      <c r="AK14" s="33">
        <f>+P17</f>
        <v>1546090.6666666667</v>
      </c>
      <c r="AL14" s="33">
        <f>+P18</f>
        <v>1523288</v>
      </c>
      <c r="AM14" s="33">
        <f>+P19</f>
        <v>1531647.2</v>
      </c>
      <c r="AN14" s="33">
        <f>+P20</f>
        <v>1555571.2198386667</v>
      </c>
      <c r="AO14" s="33">
        <f>+P21</f>
        <v>795702.40751111112</v>
      </c>
      <c r="AP14" s="33">
        <f>+P22</f>
        <v>1008230.1785416667</v>
      </c>
      <c r="AQ14" s="33">
        <f>+P23</f>
        <v>781049.98538666661</v>
      </c>
      <c r="AR14" s="33">
        <f>+P24</f>
        <v>782460.61691400001</v>
      </c>
      <c r="AS14" s="33">
        <f>+P25</f>
        <v>312410.0766666666</v>
      </c>
      <c r="AT14" s="33">
        <f>+P26</f>
        <v>429563.8554166666</v>
      </c>
    </row>
    <row r="15" spans="1:46" ht="14.45" customHeight="1">
      <c r="A15" s="63">
        <f>IF(AND(A14&lt;$B$4)*(A14&lt;&gt;0),1+A14," ")</f>
        <v>10</v>
      </c>
      <c r="B15" s="54">
        <f>IF(A15=" "," ",+F14)</f>
        <v>440683466</v>
      </c>
      <c r="C15" s="54">
        <f>IF(A15=" "," ",+B15*I14)</f>
        <v>5966486.8934183335</v>
      </c>
      <c r="D15" s="54">
        <f>+S15</f>
        <v>6794105</v>
      </c>
      <c r="E15" s="54">
        <f>IF(A15=" "," ",+J14)</f>
        <v>12362826.391535634</v>
      </c>
      <c r="F15" s="54">
        <f>+B15-D15</f>
        <v>433889361</v>
      </c>
      <c r="G15" s="100">
        <v>8.7590000000000001E-2</v>
      </c>
      <c r="H15" s="60">
        <f>IF(A15=" "," ",+H14)</f>
        <v>7.4999999999999997E-2</v>
      </c>
      <c r="I15" s="84">
        <f>IF(A15=" "," ",((G15+H15)/12))</f>
        <v>1.3549166666666668E-2</v>
      </c>
      <c r="J15" s="85">
        <f>PMT(I15,K15,-F15,0)</f>
        <v>12354176.716793962</v>
      </c>
      <c r="K15" s="99">
        <f>IF(A12=" "," ",+$B$4-A15)</f>
        <v>48</v>
      </c>
      <c r="L15">
        <v>22</v>
      </c>
      <c r="M15">
        <f>IF(AND(A15&lt;&gt;" ")*(M14=12),1,1+M14)</f>
        <v>10</v>
      </c>
      <c r="N15">
        <f>IF(AND(A15&lt;&gt;" ")*(M15=1),1+N14,N14)</f>
        <v>2025</v>
      </c>
      <c r="O15" s="19">
        <f>+C15/30</f>
        <v>198882.89644727777</v>
      </c>
      <c r="P15" s="31">
        <f>+O15*8</f>
        <v>1591063.1715782222</v>
      </c>
      <c r="Q15" s="35">
        <v>45950</v>
      </c>
      <c r="R15" s="21">
        <v>5568721</v>
      </c>
      <c r="S15" s="21">
        <v>6794105</v>
      </c>
      <c r="T15" s="52">
        <f>+T14-S15</f>
        <v>433889361</v>
      </c>
      <c r="U15" s="21"/>
      <c r="V15" s="92">
        <v>417654</v>
      </c>
      <c r="W15" s="94">
        <f>+R15+S15+U15-V15</f>
        <v>11945172</v>
      </c>
      <c r="X15" s="52"/>
      <c r="Z15" s="20">
        <f>+Z13</f>
        <v>1814891.4666666666</v>
      </c>
      <c r="AA15" s="20">
        <f>+AA14+AA13</f>
        <v>6774940.3759397781</v>
      </c>
      <c r="AB15" s="20">
        <f>+AB13+AB14</f>
        <v>6662401.3859649841</v>
      </c>
      <c r="AC15" s="20">
        <f>+AC13+AC14</f>
        <v>6599636.438095239</v>
      </c>
      <c r="AD15" s="20">
        <f>+AD13+AD14</f>
        <v>6508785.2744483333</v>
      </c>
      <c r="AE15" s="20">
        <f>SUM(AE13:AE14)</f>
        <v>6413849.2899850011</v>
      </c>
      <c r="AF15" s="20">
        <f>SUM(AF13:AF14)</f>
        <v>6272899.5558016654</v>
      </c>
      <c r="AG15" s="20">
        <f>SUM(AG13:AG14)</f>
        <v>6178963.9846489988</v>
      </c>
      <c r="AH15" s="20">
        <f>SUM(AH13:AH14)</f>
        <v>6086792.0447249999</v>
      </c>
      <c r="AI15" s="20">
        <f>SUM(AI13:AI14)</f>
        <v>6028343.3794352226</v>
      </c>
      <c r="AJ15" s="20">
        <f>SUM(AJ13:AJ14)</f>
        <v>5937268.0179730551</v>
      </c>
      <c r="AK15" s="20">
        <f>SUM(AK13:AK14)</f>
        <v>5857238.4625271671</v>
      </c>
      <c r="AL15" s="20">
        <f>SUM(AL13:AL14)</f>
        <v>5775037.333333334</v>
      </c>
      <c r="AM15" s="20">
        <f>SUM(AM13:AM14)</f>
        <v>5720689.2000000002</v>
      </c>
      <c r="AN15" s="20">
        <f>SUM(AN13:AN14)</f>
        <v>5767600.0198386665</v>
      </c>
      <c r="AO15" s="20">
        <f>SUM(AO13:AO14)</f>
        <v>5073524.2620674446</v>
      </c>
      <c r="AP15" s="20">
        <f>SUM(AP13:AP14)</f>
        <v>2997486.1973194447</v>
      </c>
      <c r="AQ15" s="20">
        <f>SUM(AQ13:AQ14)</f>
        <v>2999153.3781783329</v>
      </c>
      <c r="AR15" s="20">
        <f>SUM(AR13:AR14)</f>
        <v>2930347.076727333</v>
      </c>
      <c r="AS15" s="20">
        <f>SUM(AS13:AS14)</f>
        <v>2464176.7731801667</v>
      </c>
      <c r="AT15" s="20">
        <f>SUM(AT13:AT14)</f>
        <v>1171537.7874999996</v>
      </c>
    </row>
    <row r="16" spans="1:46" ht="14.45" customHeight="1">
      <c r="A16" s="63">
        <f>IF(AND(A15&lt;$B$4)*(A15&lt;&gt;0),1+A15," ")</f>
        <v>11</v>
      </c>
      <c r="B16" s="54">
        <f>IF(A16=" "," ",+F15)</f>
        <v>433889361</v>
      </c>
      <c r="C16" s="54">
        <f>IF(A16=" "," ",+B16*I15)</f>
        <v>5878839.2670825003</v>
      </c>
      <c r="D16" s="54">
        <f>+S16+10500</f>
        <v>6083415</v>
      </c>
      <c r="E16" s="54">
        <f>IF(A16=" "," ",+J15)</f>
        <v>12354176.716793962</v>
      </c>
      <c r="F16" s="54">
        <f>+B16-D16</f>
        <v>427805946</v>
      </c>
      <c r="G16" s="101">
        <v>8.763E-2</v>
      </c>
      <c r="H16" s="60">
        <f>IF(A16=" "," ",+H15)</f>
        <v>7.4999999999999997E-2</v>
      </c>
      <c r="I16" s="8">
        <f>IF(A16=" "," ",((G16+H16)/12))</f>
        <v>1.35525E-2</v>
      </c>
      <c r="J16" s="2">
        <f>PMT(I16,K16,-F16,0)</f>
        <v>12366381.022651339</v>
      </c>
      <c r="K16" s="99">
        <f>+$B$4-A16</f>
        <v>47</v>
      </c>
      <c r="L16">
        <v>22</v>
      </c>
      <c r="M16">
        <f>IF(AND(A16&lt;&gt;" ")*(M15=12),1,1+M15)</f>
        <v>11</v>
      </c>
      <c r="N16">
        <f>IF(AND(A16&lt;&gt;" ")*(M16=1),1+N15,N15)</f>
        <v>2025</v>
      </c>
      <c r="O16" s="19">
        <f>+C16/30</f>
        <v>195961.30890275</v>
      </c>
      <c r="P16" s="31">
        <f>+O16*10</f>
        <v>1959613.0890275</v>
      </c>
      <c r="Q16" s="35">
        <v>45986</v>
      </c>
      <c r="R16" s="21">
        <v>6270762</v>
      </c>
      <c r="S16" s="21">
        <v>6072915</v>
      </c>
      <c r="T16" s="52">
        <f>+T15-S16</f>
        <v>427816446</v>
      </c>
      <c r="U16" s="92">
        <v>10500</v>
      </c>
      <c r="V16" s="91">
        <v>438953</v>
      </c>
      <c r="W16" s="94">
        <f>+R16+S16+U16-V16</f>
        <v>11915224</v>
      </c>
      <c r="X16" s="52"/>
      <c r="Z16" s="20"/>
      <c r="AA16" s="59"/>
      <c r="AC16" s="20"/>
    </row>
    <row r="17" spans="1:45" ht="14.45" customHeight="1">
      <c r="A17" s="102">
        <f>IF(AND(A16&lt;$B$4)*(A16&lt;&gt;0),1+A16," ")</f>
        <v>12</v>
      </c>
      <c r="B17" s="56">
        <f>IF(A17=" "," ",+F16)</f>
        <v>427805946</v>
      </c>
      <c r="C17" s="56">
        <f>IF(A17=" "," ",+B17*I16)</f>
        <v>5797840.0831650002</v>
      </c>
      <c r="D17" s="56">
        <f>6564754</f>
        <v>6564754</v>
      </c>
      <c r="E17" s="56">
        <f>IF(A17=" "," ",+J16)</f>
        <v>12366381.022651339</v>
      </c>
      <c r="F17" s="56">
        <f>+B17-D17</f>
        <v>421241192</v>
      </c>
      <c r="G17" s="100">
        <v>8.7730000000000002E-2</v>
      </c>
      <c r="H17" s="61">
        <f>IF(A17=" "," ",+H16)</f>
        <v>7.4999999999999997E-2</v>
      </c>
      <c r="I17" s="103">
        <f>IF(A17=" "," ",((G17+H17)/12))</f>
        <v>1.3560833333333333E-2</v>
      </c>
      <c r="J17" s="104">
        <f>PMT(I17,K17,-F17,0)</f>
        <v>12368641.984756552</v>
      </c>
      <c r="K17" s="105">
        <f>IF(A14=" "," ",+$B$4-A17)</f>
        <v>46</v>
      </c>
      <c r="L17" s="5">
        <v>22</v>
      </c>
      <c r="M17" s="5">
        <f>IF(AND(A17&lt;&gt;" ")*(M16=12),1,1+M16)</f>
        <v>12</v>
      </c>
      <c r="N17" s="5">
        <f>IF(AND(A17&lt;&gt;" ")*(M17=1),1+N16,N16)</f>
        <v>2025</v>
      </c>
      <c r="O17" s="19">
        <f>5797840/30</f>
        <v>193261.33333333334</v>
      </c>
      <c r="P17" s="31">
        <f>+O17*8</f>
        <v>1546090.6666666667</v>
      </c>
      <c r="Q17" s="35">
        <v>46014</v>
      </c>
      <c r="R17" s="21">
        <v>5797840</v>
      </c>
      <c r="S17" s="21">
        <v>6575254</v>
      </c>
      <c r="T17" s="52">
        <f>+T16-S17</f>
        <v>421241192</v>
      </c>
      <c r="U17" s="92">
        <v>3969</v>
      </c>
      <c r="V17" s="92">
        <v>405848</v>
      </c>
      <c r="W17" s="21">
        <f>+R17+S17+U17-V17</f>
        <v>11971215</v>
      </c>
      <c r="X17" s="21"/>
    </row>
    <row r="18" spans="1:45" ht="14.45" customHeight="1">
      <c r="A18" s="63">
        <f>IF(AND(A17&lt;$B$4)*(A17&lt;&gt;0),1+A17," ")</f>
        <v>13</v>
      </c>
      <c r="B18" s="54">
        <f>IF(A18=" "," ",+F17)</f>
        <v>421241192</v>
      </c>
      <c r="C18" s="54">
        <f>IF(A18=" "," ",+B18*I17)</f>
        <v>5712381.5978466664</v>
      </c>
      <c r="D18" s="54">
        <f>S18+18692</f>
        <v>6659988</v>
      </c>
      <c r="E18" s="54">
        <f>IF(A18=" "," ",+J17)</f>
        <v>12368641.984756552</v>
      </c>
      <c r="F18" s="54">
        <f>+B18-D18</f>
        <v>414581204</v>
      </c>
      <c r="G18" s="106">
        <v>9.1249999999999998E-2</v>
      </c>
      <c r="H18" s="60">
        <f>IF(A18=" "," ",+H17)</f>
        <v>7.4999999999999997E-2</v>
      </c>
      <c r="I18" s="84">
        <f>IF(A18=" "," ",((G18+H18)/12))</f>
        <v>1.3854166666666667E-2</v>
      </c>
      <c r="J18" s="85">
        <f>PMT(I18,K18,-F18,0)</f>
        <v>12442903.924418714</v>
      </c>
      <c r="K18" s="99">
        <f>+$B$4-A18</f>
        <v>45</v>
      </c>
      <c r="L18">
        <v>22</v>
      </c>
      <c r="M18">
        <f>IF(AND(A18&lt;&gt;" ")*(M17=12),1,1+M17)</f>
        <v>1</v>
      </c>
      <c r="N18">
        <f>IF(AND(A18&lt;&gt;" ")*(M18=1),1+N17,N17)</f>
        <v>2026</v>
      </c>
      <c r="O18" s="19">
        <f>5712330/30</f>
        <v>190411</v>
      </c>
      <c r="P18" s="31">
        <f>+O18*8</f>
        <v>1523288</v>
      </c>
      <c r="Q18" s="35">
        <v>46049</v>
      </c>
      <c r="R18" s="37">
        <v>5712330</v>
      </c>
      <c r="S18" s="37">
        <v>6641296</v>
      </c>
      <c r="T18" s="52">
        <f>+T17-S18</f>
        <v>414599896</v>
      </c>
      <c r="U18" s="91">
        <v>18757</v>
      </c>
      <c r="V18" s="91">
        <v>399863</v>
      </c>
      <c r="W18" s="21">
        <f>+R18+S18+U18-V18</f>
        <v>11972520</v>
      </c>
      <c r="X18" s="21"/>
      <c r="Z18">
        <f>+Z15+AA13</f>
        <v>6805843</v>
      </c>
      <c r="AA18" s="20">
        <f>+AA14+AB13</f>
        <v>5574285</v>
      </c>
      <c r="AB18" s="20">
        <f>+AB14+AC13</f>
        <v>7730591</v>
      </c>
      <c r="AL18" s="20"/>
      <c r="AP18" s="20"/>
      <c r="AS18" s="20"/>
    </row>
    <row r="19" spans="1:45" ht="14.45" customHeight="1">
      <c r="A19" s="63">
        <f>IF(AND(A18&lt;$B$4)*(A18&lt;&gt;0),1+A18," ")</f>
        <v>14</v>
      </c>
      <c r="B19" s="54">
        <f>IF(A19=" "," ",+F18)</f>
        <v>414581204</v>
      </c>
      <c r="C19" s="54">
        <f>IF(A19=" "," ",+B19*I18)</f>
        <v>5743677.0970833339</v>
      </c>
      <c r="D19" s="54">
        <f>6695319+S20</f>
        <v>6699227</v>
      </c>
      <c r="E19" s="54">
        <f>IF(A19=" "," ",+J18)</f>
        <v>12442903.924418714</v>
      </c>
      <c r="F19" s="54">
        <f>+B19-D19</f>
        <v>407881977</v>
      </c>
      <c r="G19" s="60">
        <v>9.6619999999999998E-2</v>
      </c>
      <c r="H19" s="60">
        <f>IF(A19=" "," ",+H18)</f>
        <v>7.4999999999999997E-2</v>
      </c>
      <c r="I19" s="84">
        <f>IF(A19=" "," ",((G19+H19)/12))</f>
        <v>1.4301666666666666E-2</v>
      </c>
      <c r="J19" s="85">
        <f>PMT(I19,K19,-F19,0)</f>
        <v>12554647.592511551</v>
      </c>
      <c r="K19" s="99">
        <f>IF(A16=" "," ",+$B$4-A19)</f>
        <v>44</v>
      </c>
      <c r="L19">
        <v>22</v>
      </c>
      <c r="M19">
        <f>IF(AND(A19&lt;&gt;" ")*(M18=12),1,1+M18)</f>
        <v>2</v>
      </c>
      <c r="N19">
        <f>IF(AND(A19&lt;&gt;" ")*(M19=1),1+N18,N18)</f>
        <v>2026</v>
      </c>
      <c r="O19" s="19">
        <f>5743677/30</f>
        <v>191455.9</v>
      </c>
      <c r="P19" s="31">
        <f>+O19*8</f>
        <v>1531647.2</v>
      </c>
      <c r="Q19" s="35">
        <v>46076</v>
      </c>
      <c r="R19" s="21">
        <v>5743677</v>
      </c>
      <c r="S19" s="21">
        <v>6714011</v>
      </c>
      <c r="T19" s="21">
        <f>+T18-S19</f>
        <v>407885885</v>
      </c>
      <c r="U19" s="92">
        <v>4223</v>
      </c>
      <c r="V19" s="92">
        <v>402057</v>
      </c>
      <c r="W19" s="21">
        <f>+R19+S19+U19-V19</f>
        <v>12059854</v>
      </c>
      <c r="X19" s="21"/>
      <c r="AF19" s="19"/>
      <c r="AG19" s="19"/>
      <c r="AH19" s="20"/>
    </row>
    <row r="20" spans="1:45" ht="14.45" customHeight="1">
      <c r="A20" s="63">
        <f>IF(AND(A19&lt;$B$4)*(A19&lt;&gt;0),1+A19," ")</f>
        <v>15</v>
      </c>
      <c r="B20" s="54">
        <f>IF(A20=" "," ",+F19)</f>
        <v>407881977</v>
      </c>
      <c r="C20" s="54">
        <f>IF(A20=" "," ",+B20*I19)</f>
        <v>5833392.074395</v>
      </c>
      <c r="D20" s="54">
        <f>+S21</f>
        <v>6721256</v>
      </c>
      <c r="E20" s="54">
        <f>IF(A20=" "," ",+J19)</f>
        <v>12554647.592511551</v>
      </c>
      <c r="F20" s="54">
        <f>+B20-D20-S22</f>
        <v>201160721</v>
      </c>
      <c r="G20" s="60">
        <v>0.10299999999999999</v>
      </c>
      <c r="H20" s="60">
        <f>IF(A20=" "," ",+H19)</f>
        <v>7.4999999999999997E-2</v>
      </c>
      <c r="I20" s="84">
        <f>IF(A20=" "," ",((G20+H20)/12))</f>
        <v>1.4833333333333332E-2</v>
      </c>
      <c r="J20" s="85">
        <f>PMT(I20,K20,-F20,0)</f>
        <v>6361104.4862775309</v>
      </c>
      <c r="K20" s="99">
        <f>+$B$4-A20</f>
        <v>43</v>
      </c>
      <c r="L20">
        <v>22</v>
      </c>
      <c r="M20">
        <f>IF(AND(A20&lt;&gt;" ")*(M19=12),1,1+M19)</f>
        <v>3</v>
      </c>
      <c r="N20">
        <f>IF(AND(A20&lt;&gt;" ")*(M20=1),1+N19,N19)</f>
        <v>2026</v>
      </c>
      <c r="O20" s="19">
        <f>+C20/30</f>
        <v>194446.40247983334</v>
      </c>
      <c r="P20" s="31">
        <f>+O20*8</f>
        <v>1555571.2198386667</v>
      </c>
      <c r="Q20" s="35">
        <v>46076</v>
      </c>
      <c r="R20" s="21">
        <v>0</v>
      </c>
      <c r="S20" s="21">
        <v>3908</v>
      </c>
      <c r="T20" s="21">
        <f>+T19-S20</f>
        <v>407881977</v>
      </c>
      <c r="U20" s="21">
        <v>0</v>
      </c>
      <c r="V20" s="21"/>
      <c r="W20" s="21"/>
      <c r="X20" s="21">
        <f>+S20</f>
        <v>3908</v>
      </c>
      <c r="AF20" s="19"/>
      <c r="AG20" s="19"/>
      <c r="AH20" s="20"/>
      <c r="AJ20" s="20"/>
      <c r="AK20" s="20"/>
      <c r="AM20" s="20"/>
      <c r="AO20" s="20"/>
      <c r="AQ20" s="20"/>
      <c r="AR20" s="20"/>
    </row>
    <row r="21" spans="1:45" ht="14.45" customHeight="1">
      <c r="A21" s="63">
        <f>IF(AND(A20&lt;$B$4)*(A20&lt;&gt;0),1+A20," ")</f>
        <v>16</v>
      </c>
      <c r="B21" s="54">
        <f>IF(A21=" "," ",+F20)</f>
        <v>201160721</v>
      </c>
      <c r="C21" s="54">
        <f>IF(A21=" "," ",+B21*I20)</f>
        <v>2983884.0281666666</v>
      </c>
      <c r="D21" s="54">
        <f>+S23</f>
        <v>3576146</v>
      </c>
      <c r="E21" s="54">
        <f>IF(A21=" "," ",+J20)</f>
        <v>6361104.4862775309</v>
      </c>
      <c r="F21" s="54">
        <f>+B21-D21</f>
        <v>197584575</v>
      </c>
      <c r="G21" s="60">
        <v>0.1087</v>
      </c>
      <c r="H21" s="60">
        <f>IF(A21=" "," ",+H20)</f>
        <v>7.4999999999999997E-2</v>
      </c>
      <c r="I21" s="84">
        <f>IF(A21=" "," ",((G21+H21)/12))</f>
        <v>1.5308333333333334E-2</v>
      </c>
      <c r="J21" s="85">
        <f>PMT(I21,K21,-F21,0)</f>
        <v>6412408.5401665075</v>
      </c>
      <c r="K21" s="99">
        <f>IF(A18=" "," ",+$B$4-A21)</f>
        <v>42</v>
      </c>
      <c r="L21">
        <v>22</v>
      </c>
      <c r="M21">
        <f>IF(AND(A21&lt;&gt;" ")*(M20=12),1,1+M20)</f>
        <v>4</v>
      </c>
      <c r="N21">
        <f>IF(AND(A21&lt;&gt;" ")*(M21=1),1+N20,N20)</f>
        <v>2026</v>
      </c>
      <c r="O21" s="19">
        <f>+C21/30</f>
        <v>99462.80093888889</v>
      </c>
      <c r="P21" s="31">
        <f>+O21*8</f>
        <v>795702.40751111112</v>
      </c>
      <c r="Q21" s="35">
        <v>46105</v>
      </c>
      <c r="R21" s="21">
        <v>5833392</v>
      </c>
      <c r="S21" s="21">
        <v>6721256</v>
      </c>
      <c r="T21" s="21">
        <f>+T20-S21</f>
        <v>401160721</v>
      </c>
      <c r="U21" s="21">
        <v>0</v>
      </c>
      <c r="V21" s="21">
        <v>408337</v>
      </c>
      <c r="W21" s="21">
        <f>+R21+S21+U21-V21</f>
        <v>12146311</v>
      </c>
      <c r="X21" s="36"/>
      <c r="AF21" s="19"/>
      <c r="AG21" s="19"/>
      <c r="AH21" s="20"/>
      <c r="AN21" s="20"/>
    </row>
    <row r="22" spans="1:45" ht="14.45" customHeight="1">
      <c r="A22" s="102">
        <f>IF(AND(A21&lt;$B$4)*(A21&lt;&gt;0),1+A21," ")</f>
        <v>17</v>
      </c>
      <c r="B22" s="56">
        <f>IF(A22=" "," ",+F21)</f>
        <v>197584575</v>
      </c>
      <c r="C22" s="56">
        <f>IF(A22=" "," ",+B22*I21)</f>
        <v>3024690.535625</v>
      </c>
      <c r="D22" s="56">
        <f>+S24</f>
        <v>3186072</v>
      </c>
      <c r="E22" s="56">
        <f>IF(A22=" "," ",+J21)</f>
        <v>6412408.5401665075</v>
      </c>
      <c r="F22" s="56">
        <f>+B22-D22</f>
        <v>194398503</v>
      </c>
      <c r="G22" s="61">
        <v>0.10580000000000001</v>
      </c>
      <c r="H22" s="61">
        <f>IF(A22=" "," ",+H21)</f>
        <v>7.4999999999999997E-2</v>
      </c>
      <c r="I22" s="103">
        <f>IF(A22=" "," ",((G22+H22)/12))</f>
        <v>1.5066666666666667E-2</v>
      </c>
      <c r="J22" s="104">
        <f>PMT(I22,K22,-F22,0)</f>
        <v>6390246.6769841844</v>
      </c>
      <c r="K22" s="105">
        <f>+$B$4-A22</f>
        <v>41</v>
      </c>
      <c r="L22" s="5">
        <v>22</v>
      </c>
      <c r="M22" s="5">
        <f>IF(AND(A22&lt;&gt;" ")*(M21=12),1,1+M21)</f>
        <v>5</v>
      </c>
      <c r="N22" s="5">
        <f>IF(AND(A22&lt;&gt;" ")*(M22=1),1+N21,N21)</f>
        <v>2026</v>
      </c>
      <c r="O22" s="112">
        <f>+C22/30</f>
        <v>100823.01785416667</v>
      </c>
      <c r="P22" s="31">
        <f>+O22*10</f>
        <v>1008230.1785416667</v>
      </c>
      <c r="Q22" s="35">
        <v>46106</v>
      </c>
      <c r="R22" s="21">
        <v>0</v>
      </c>
      <c r="S22" s="21">
        <v>200000000</v>
      </c>
      <c r="T22" s="21">
        <f>+T21-S22</f>
        <v>201160721</v>
      </c>
      <c r="U22" s="21"/>
      <c r="V22" s="21"/>
      <c r="W22" s="21">
        <f>+S22</f>
        <v>200000000</v>
      </c>
      <c r="X22" s="36"/>
      <c r="Z22" s="66" t="s">
        <v>44</v>
      </c>
      <c r="AA22" s="67"/>
      <c r="AB22" s="68"/>
      <c r="AF22" s="19"/>
      <c r="AG22" s="19"/>
      <c r="AH22" s="20"/>
    </row>
    <row r="23" spans="1:45" ht="14.45" customHeight="1">
      <c r="A23" s="102">
        <f>IF(AND(A22&lt;$B$4)*(A22&lt;&gt;0),1+A22," ")</f>
        <v>18</v>
      </c>
      <c r="B23" s="56">
        <f>IF(A23=" "," ",+F22)</f>
        <v>194398503</v>
      </c>
      <c r="C23" s="56">
        <f>IF(A23=" "," ",+B23*I22)</f>
        <v>2928937.4452</v>
      </c>
      <c r="D23" s="56">
        <f>+S25</f>
        <v>3461310</v>
      </c>
      <c r="E23" s="56">
        <f>IF(A23=" "," ",+J22)</f>
        <v>6390246.6769841844</v>
      </c>
      <c r="F23" s="56">
        <f>+B23-D23</f>
        <v>190937193</v>
      </c>
      <c r="G23" s="61">
        <v>0.10940999999999999</v>
      </c>
      <c r="H23" s="61">
        <f>IF(A23=" "," ",+H22)</f>
        <v>7.4999999999999997E-2</v>
      </c>
      <c r="I23" s="103">
        <f>IF(A23=" "," ",((G23+H23)/12))</f>
        <v>1.5367499999999999E-2</v>
      </c>
      <c r="J23" s="104">
        <f>PMT(I23,K23,-F23,0)</f>
        <v>6425373.666239636</v>
      </c>
      <c r="K23" s="105">
        <f>IF(A20=" "," ",+$B$4-A23)</f>
        <v>40</v>
      </c>
      <c r="L23" s="5">
        <v>22</v>
      </c>
      <c r="M23" s="5">
        <f>IF(AND(A23&lt;&gt;" ")*(M22=12),1,1+M22)</f>
        <v>6</v>
      </c>
      <c r="N23" s="5">
        <f>IF(AND(A23&lt;&gt;" ")*(M23=1),1+N22,N22)</f>
        <v>2026</v>
      </c>
      <c r="O23" s="112">
        <f>+C23/30</f>
        <v>97631.248173333326</v>
      </c>
      <c r="P23" s="31">
        <f>+O23*8</f>
        <v>781049.98538666661</v>
      </c>
      <c r="Q23" s="35">
        <v>46132</v>
      </c>
      <c r="R23" s="21">
        <v>2784958</v>
      </c>
      <c r="S23" s="21">
        <v>3576146</v>
      </c>
      <c r="T23" s="21">
        <f>+T22-S23</f>
        <v>197584575</v>
      </c>
      <c r="U23" s="21"/>
      <c r="V23" s="21">
        <v>208871</v>
      </c>
      <c r="W23" s="21">
        <f>+R23+S23+U23-V23</f>
        <v>6152233</v>
      </c>
      <c r="X23" s="36"/>
      <c r="AF23" s="19"/>
      <c r="AG23" s="19"/>
      <c r="AH23" s="20"/>
    </row>
    <row r="24" spans="1:45">
      <c r="A24" s="102">
        <f>IF(AND(A23&lt;$B$4)*(A23&lt;&gt;0),1+A23," ")</f>
        <v>19</v>
      </c>
      <c r="B24" s="56">
        <f>IF(A24=" "," ",+F23)</f>
        <v>190937193</v>
      </c>
      <c r="C24" s="56">
        <f>IF(A24=" "," ",+B24*I23)</f>
        <v>2934227.3134275</v>
      </c>
      <c r="D24" s="56">
        <f>+S26+S27</f>
        <v>3491147</v>
      </c>
      <c r="E24" s="56">
        <f>IF(A24=" "," ",+J23)</f>
        <v>6425373.666239636</v>
      </c>
      <c r="F24" s="56">
        <f>+B24-D24</f>
        <v>187446046</v>
      </c>
      <c r="G24" s="61">
        <v>0</v>
      </c>
      <c r="H24" s="61">
        <f>IF(A24=" "," ",+H23)</f>
        <v>7.4999999999999997E-2</v>
      </c>
      <c r="I24" s="103">
        <f>IF(A24=" "," ",((G24+H24)/12))</f>
        <v>6.2499999999999995E-3</v>
      </c>
      <c r="J24" s="104">
        <f>PMT(I24,K24,-F24,0)</f>
        <v>5430781.3760765335</v>
      </c>
      <c r="K24" s="105">
        <f>+$B$4-A24</f>
        <v>39</v>
      </c>
      <c r="L24" s="5">
        <v>22</v>
      </c>
      <c r="M24" s="5">
        <f>IF(AND(A26&lt;&gt;" ")*(M23=12),1,1+M23)</f>
        <v>7</v>
      </c>
      <c r="N24" s="5">
        <f>IF(AND(A26&lt;&gt;" ")*(M24=1),1+N23,N23)</f>
        <v>2026</v>
      </c>
      <c r="O24" s="112">
        <f>+C24/30</f>
        <v>97807.577114250002</v>
      </c>
      <c r="P24" s="31">
        <f>+O24*8</f>
        <v>782460.61691400001</v>
      </c>
      <c r="Q24" s="35">
        <v>46164</v>
      </c>
      <c r="R24" s="21">
        <v>3226337</v>
      </c>
      <c r="S24" s="21">
        <v>3186072</v>
      </c>
      <c r="T24" s="21">
        <f>+T23-S24</f>
        <v>194398503</v>
      </c>
      <c r="U24" s="36"/>
      <c r="V24" s="21">
        <v>225843</v>
      </c>
      <c r="W24" s="21">
        <f>+R24+S24+U24-V24</f>
        <v>6186566</v>
      </c>
      <c r="X24" s="36"/>
      <c r="Z24" s="82" t="s">
        <v>45</v>
      </c>
      <c r="AA24" s="69"/>
      <c r="AB24" s="70"/>
      <c r="AF24" s="19"/>
      <c r="AG24" s="19"/>
      <c r="AH24" s="20"/>
    </row>
    <row r="25" spans="1:45">
      <c r="A25" s="102">
        <f>IF(AND(A24&lt;$B$4)*(A24&lt;&gt;0),1+A24," ")</f>
        <v>20</v>
      </c>
      <c r="B25" s="56">
        <f>IF(A25=" "," ",+F24)</f>
        <v>187446046</v>
      </c>
      <c r="C25" s="56">
        <f>IF(A25=" "," ",+B25*I24)</f>
        <v>1171537.7874999999</v>
      </c>
      <c r="D25" s="56">
        <f>+S28</f>
        <v>0</v>
      </c>
      <c r="E25" s="56">
        <f>IF(A25=" "," ",+J24)</f>
        <v>5430781.3760765335</v>
      </c>
      <c r="F25" s="56">
        <f>+B25-D25</f>
        <v>187446046</v>
      </c>
      <c r="G25" s="119">
        <v>0</v>
      </c>
      <c r="H25" s="61">
        <f>IF(A25=" "," ",+H24)</f>
        <v>7.4999999999999997E-2</v>
      </c>
      <c r="I25" s="103">
        <f>IF(A25=" "," ",((G25+H25)/12))</f>
        <v>6.2499999999999995E-3</v>
      </c>
      <c r="J25" s="104">
        <f>PMT(I25,K25,-F25,0)</f>
        <v>5557051.5028134165</v>
      </c>
      <c r="K25" s="105">
        <f>IF(A22=" "," ",+$B$4-A25)</f>
        <v>38</v>
      </c>
      <c r="L25" s="5">
        <v>22</v>
      </c>
      <c r="M25" s="5">
        <f>IF(AND(A27&lt;&gt;" ")*(M24=12),1,1+M24)</f>
        <v>8</v>
      </c>
      <c r="N25" s="5">
        <f>IF(AND(A27&lt;&gt;" ")*(M25=1),1+N24,N24)</f>
        <v>2026</v>
      </c>
      <c r="O25" s="112">
        <f>+C25/30</f>
        <v>39051.259583333325</v>
      </c>
      <c r="P25" s="31">
        <f>+O25*8</f>
        <v>312410.0766666666</v>
      </c>
      <c r="Q25" s="35">
        <v>46195</v>
      </c>
      <c r="R25" s="21">
        <v>2928937</v>
      </c>
      <c r="S25" s="21">
        <v>3461310</v>
      </c>
      <c r="T25" s="21">
        <f>+T24-S25</f>
        <v>190937193</v>
      </c>
      <c r="U25" s="36"/>
      <c r="V25" s="21">
        <v>205025</v>
      </c>
      <c r="W25" s="21">
        <f>+R25+S25+U25-V25</f>
        <v>6185222</v>
      </c>
      <c r="X25" s="36"/>
      <c r="Z25" s="71" t="s">
        <v>46</v>
      </c>
      <c r="AA25" s="2">
        <v>12541445</v>
      </c>
      <c r="AB25" s="72"/>
      <c r="AC25" s="62"/>
      <c r="AF25" s="19"/>
      <c r="AG25" s="19"/>
      <c r="AH25" s="20"/>
    </row>
    <row r="26" spans="1:45">
      <c r="A26" s="113">
        <f>IF(AND(A25&lt;$B$4)*(A25&lt;&gt;0),1+A25," ")</f>
        <v>21</v>
      </c>
      <c r="B26" s="114">
        <f>IF(A26=" "," ",+F25)</f>
        <v>187446046</v>
      </c>
      <c r="C26" s="114">
        <f>IF(A26=" "," ",+B26*I25)</f>
        <v>1171537.7874999999</v>
      </c>
      <c r="D26" s="114">
        <f>+E26-C26</f>
        <v>4385513.7153134169</v>
      </c>
      <c r="E26" s="114">
        <f>IF(A26=" "," ",+J25)</f>
        <v>5557051.5028134165</v>
      </c>
      <c r="F26" s="114">
        <f>+B26-D26</f>
        <v>183060532.2846866</v>
      </c>
      <c r="G26" s="115">
        <v>0</v>
      </c>
      <c r="H26" s="115">
        <f>IF(A26=" "," ",+H25)</f>
        <v>7.4999999999999997E-2</v>
      </c>
      <c r="I26" s="116">
        <f>IF(A26=" "," ",((G26+H26)/12))</f>
        <v>6.2499999999999995E-3</v>
      </c>
      <c r="J26" s="117">
        <f>PMT(I26,K26,-F26,0)</f>
        <v>5557051.5028134175</v>
      </c>
      <c r="K26" s="97">
        <f>+$B$4-A26</f>
        <v>37</v>
      </c>
      <c r="L26" s="118">
        <v>22</v>
      </c>
      <c r="M26" s="118">
        <f>IF(AND(A28&lt;&gt;" ")*(M25=12),1,1+M25)</f>
        <v>9</v>
      </c>
      <c r="N26" s="118">
        <f>IF(AND(A28&lt;&gt;" ")*(M26=1),1+N25,N25)</f>
        <v>2026</v>
      </c>
      <c r="O26" s="112">
        <f>+C26/30</f>
        <v>39051.259583333325</v>
      </c>
      <c r="P26" s="31">
        <f>+O26*11</f>
        <v>429563.8554166666</v>
      </c>
      <c r="Q26" s="120">
        <v>46227</v>
      </c>
      <c r="R26" s="121">
        <v>2934227</v>
      </c>
      <c r="S26" s="121">
        <v>3486541</v>
      </c>
      <c r="T26" s="121">
        <f>+T25-S26</f>
        <v>187450652</v>
      </c>
      <c r="U26" s="122">
        <v>4607</v>
      </c>
      <c r="V26" s="121">
        <v>205396</v>
      </c>
      <c r="W26" s="121">
        <f>+R26+S26+U26-V26</f>
        <v>6219979</v>
      </c>
      <c r="X26" s="123"/>
      <c r="Z26" s="71" t="s">
        <v>47</v>
      </c>
      <c r="AA26" s="2">
        <v>12084393</v>
      </c>
      <c r="AB26" s="72"/>
      <c r="AC26" s="20"/>
      <c r="AD26" s="20"/>
      <c r="AG26" s="20"/>
      <c r="AH26" s="20"/>
    </row>
    <row r="27" spans="1:45">
      <c r="A27" s="63">
        <f>IF(AND(A26&lt;$B$4)*(A26&lt;&gt;0),1+A26," ")</f>
        <v>22</v>
      </c>
      <c r="B27" s="54">
        <f>IF(A27=" "," ",+F26)</f>
        <v>183060532.2846866</v>
      </c>
      <c r="C27" s="54">
        <f>IF(A27=" "," ",+B27*I26)</f>
        <v>1144128.326779291</v>
      </c>
      <c r="D27" s="54">
        <f>+E27-C27</f>
        <v>4412923.1760341264</v>
      </c>
      <c r="E27" s="54">
        <f>IF(A27=" "," ",+J26)</f>
        <v>5557051.5028134175</v>
      </c>
      <c r="F27" s="54">
        <f>+B27-D27</f>
        <v>178647609.10865247</v>
      </c>
      <c r="G27" s="60">
        <v>0</v>
      </c>
      <c r="H27" s="60">
        <f>IF(A27=" "," ",+H26)</f>
        <v>7.4999999999999997E-2</v>
      </c>
      <c r="I27" s="8">
        <f>IF(A27=" "," ",((G27+H27)/12))</f>
        <v>6.2499999999999995E-3</v>
      </c>
      <c r="J27" s="2">
        <f>PMT(I27,K27,-F27,0)</f>
        <v>5557051.5028134175</v>
      </c>
      <c r="K27" s="7">
        <f>IF(A24=" "," ",+$B$4-A27)</f>
        <v>36</v>
      </c>
      <c r="L27">
        <v>22</v>
      </c>
      <c r="M27">
        <f>IF(AND(A29&lt;&gt;" ")*(M26=12),1,1+M26)</f>
        <v>10</v>
      </c>
      <c r="N27">
        <f>IF(AND(A29&lt;&gt;" ")*(M27=1),1+N26,N26)</f>
        <v>2026</v>
      </c>
      <c r="O27" s="19"/>
      <c r="P27" s="31"/>
      <c r="Q27" s="120">
        <v>46227</v>
      </c>
      <c r="R27" s="123"/>
      <c r="S27" s="121">
        <v>4606</v>
      </c>
      <c r="T27" s="121">
        <f>+T26-S27</f>
        <v>187446046</v>
      </c>
      <c r="U27" s="123"/>
      <c r="V27" s="123"/>
      <c r="W27" s="123"/>
      <c r="X27" s="121">
        <f>+S27</f>
        <v>4606</v>
      </c>
      <c r="Z27" s="71" t="s">
        <v>48</v>
      </c>
      <c r="AA27" s="73">
        <f>+AA25-AA26</f>
        <v>457052</v>
      </c>
      <c r="AB27" s="72"/>
      <c r="AC27" s="20"/>
      <c r="AD27" s="20"/>
    </row>
    <row r="28" spans="1:45">
      <c r="A28" s="63">
        <f>IF(AND(A27&lt;$B$4)*(A27&lt;&gt;0),1+A27," ")</f>
        <v>23</v>
      </c>
      <c r="B28" s="54">
        <f>IF(A28=" "," ",+F27)</f>
        <v>178647609.10865247</v>
      </c>
      <c r="C28" s="54">
        <f>IF(A28=" "," ",+B28*I27)</f>
        <v>1116547.556929078</v>
      </c>
      <c r="D28" s="54">
        <f>+E28-C28</f>
        <v>4440503.9458843395</v>
      </c>
      <c r="E28" s="54">
        <f>IF(A28=" "," ",+J27)</f>
        <v>5557051.5028134175</v>
      </c>
      <c r="F28" s="54">
        <f>+B28-D28</f>
        <v>174207105.16276813</v>
      </c>
      <c r="G28" s="60">
        <v>9.2939999999999995E-2</v>
      </c>
      <c r="H28" s="60">
        <f>IF(A28=" "," ",+H27)</f>
        <v>7.4999999999999997E-2</v>
      </c>
      <c r="I28" s="8">
        <f>IF(A28=" "," ",((G28+H28)/12))</f>
        <v>1.3994999999999999E-2</v>
      </c>
      <c r="J28" s="2">
        <f>PMT(I28,K28,-F28,0)</f>
        <v>6329548.1653074054</v>
      </c>
      <c r="K28" s="7">
        <f>+$B$4-A28</f>
        <v>35</v>
      </c>
      <c r="L28">
        <v>22</v>
      </c>
      <c r="M28">
        <f>IF(AND(A30&lt;&gt;" ")*(M27=12),1,1+M27)</f>
        <v>11</v>
      </c>
      <c r="N28">
        <f>IF(AND(A30&lt;&gt;" ")*(M28=1),1+N27,N27)</f>
        <v>2026</v>
      </c>
      <c r="O28" s="19"/>
      <c r="P28" s="31"/>
      <c r="Q28" s="120"/>
      <c r="R28" s="121"/>
      <c r="S28" s="121"/>
      <c r="T28" s="121"/>
      <c r="U28" s="122"/>
      <c r="V28" s="121"/>
      <c r="W28" s="121"/>
      <c r="X28" s="123"/>
      <c r="Z28" s="71"/>
      <c r="AA28" s="74"/>
      <c r="AB28" s="72"/>
      <c r="AC28" s="20"/>
      <c r="AD28" s="20"/>
    </row>
    <row r="29" spans="1:45" ht="14.45" customHeight="1">
      <c r="A29" s="63">
        <f>IF(AND(A28&lt;$B$4)*(A28&lt;&gt;0),1+A28," ")</f>
        <v>24</v>
      </c>
      <c r="B29" s="54">
        <f>IF(A29=" "," ",+F28)</f>
        <v>174207105.16276813</v>
      </c>
      <c r="C29" s="54">
        <f>IF(A29=" "," ",+B29*I28)</f>
        <v>2438028.4367529396</v>
      </c>
      <c r="D29" s="54">
        <f>+E29-C29</f>
        <v>3891519.7285544658</v>
      </c>
      <c r="E29" s="54">
        <f>IF(A29=" "," ",+J28)</f>
        <v>6329548.1653074054</v>
      </c>
      <c r="F29" s="54">
        <f>+B29-D29</f>
        <v>170315585.43421367</v>
      </c>
      <c r="G29" s="60">
        <v>9.2939999999999995E-2</v>
      </c>
      <c r="H29" s="60">
        <f>IF(A29=" "," ",+H28)</f>
        <v>7.4999999999999997E-2</v>
      </c>
      <c r="I29" s="8">
        <f>IF(A29=" "," ",((G29+H29)/12))</f>
        <v>1.3994999999999999E-2</v>
      </c>
      <c r="J29" s="2">
        <f>PMT(I29,K29,-F29,0)</f>
        <v>6329548.1653074063</v>
      </c>
      <c r="K29" s="7">
        <f>IF(A26=" "," ",+$B$4-A29)</f>
        <v>34</v>
      </c>
      <c r="L29">
        <v>22</v>
      </c>
      <c r="M29">
        <f>IF(AND(A31&lt;&gt;" ")*(M28=12),1,1+M28)</f>
        <v>12</v>
      </c>
      <c r="N29">
        <f>IF(AND(A31&lt;&gt;" ")*(M29=1),1+N28,N28)</f>
        <v>2026</v>
      </c>
      <c r="O29" s="19"/>
      <c r="P29" s="31"/>
      <c r="Q29" s="36"/>
      <c r="R29" s="36"/>
      <c r="S29" s="36"/>
      <c r="T29" s="36"/>
      <c r="U29" s="36"/>
      <c r="V29" s="36"/>
      <c r="W29" s="36"/>
      <c r="X29" s="36"/>
      <c r="Z29" s="71" t="s">
        <v>49</v>
      </c>
      <c r="AA29" s="2">
        <v>6529315</v>
      </c>
      <c r="AB29" s="79">
        <v>7.0000000000000007E-2</v>
      </c>
    </row>
    <row r="30" spans="1:45" ht="14.45" customHeight="1">
      <c r="A30" s="63">
        <f>IF(AND(A29&lt;$B$4)*(A29&lt;&gt;0),1+A29," ")</f>
        <v>25</v>
      </c>
      <c r="B30" s="54">
        <f>IF(A30=" "," ",+F29)</f>
        <v>170315585.43421367</v>
      </c>
      <c r="C30" s="54">
        <f>IF(A30=" "," ",+B30*I29)</f>
        <v>2383566.6181518203</v>
      </c>
      <c r="D30" s="54">
        <f>+E30-C30</f>
        <v>3945981.5471555861</v>
      </c>
      <c r="E30" s="54">
        <f>IF(A30=" "," ",+J29)</f>
        <v>6329548.1653074063</v>
      </c>
      <c r="F30" s="54">
        <f>+B30-D30</f>
        <v>166369603.88705808</v>
      </c>
      <c r="G30" s="60">
        <v>9.2939999999999995E-2</v>
      </c>
      <c r="H30" s="60">
        <f>IF(A30=" "," ",+H29)</f>
        <v>7.4999999999999997E-2</v>
      </c>
      <c r="I30" s="8">
        <f>IF(A30=" "," ",((G30+H30)/12))</f>
        <v>1.3994999999999999E-2</v>
      </c>
      <c r="J30" s="2">
        <f>PMT(I30,K30,-F30,0)</f>
        <v>6329548.1653074063</v>
      </c>
      <c r="K30" s="7">
        <f>+$B$4-A30</f>
        <v>33</v>
      </c>
      <c r="L30">
        <v>22</v>
      </c>
      <c r="M30">
        <f>IF(AND(A32&lt;&gt;" ")*(M29=12),1,1+M29)</f>
        <v>1</v>
      </c>
      <c r="N30">
        <f>IF(AND(A32&lt;&gt;" ")*(M30=1),1+N29,N29)</f>
        <v>2027</v>
      </c>
      <c r="O30" s="19"/>
      <c r="P30" s="31"/>
      <c r="Q30" s="36"/>
      <c r="R30" s="36"/>
      <c r="S30" s="36"/>
      <c r="T30" s="36"/>
      <c r="U30" s="36"/>
      <c r="V30" s="36"/>
      <c r="W30" s="36"/>
      <c r="X30" s="36"/>
      <c r="Z30" s="80" t="s">
        <v>50</v>
      </c>
      <c r="AA30" s="81">
        <f>+AA29*AB29</f>
        <v>457052.05000000005</v>
      </c>
      <c r="AB30" s="72"/>
    </row>
    <row r="31" spans="1:45" ht="14.45" customHeight="1">
      <c r="A31" s="63">
        <f>IF(AND(A30&lt;$B$4)*(A30&lt;&gt;0),1+A30," ")</f>
        <v>26</v>
      </c>
      <c r="B31" s="54">
        <f>IF(A31=" "," ",+F30)</f>
        <v>166369603.88705808</v>
      </c>
      <c r="C31" s="54">
        <f>IF(A31=" "," ",+B31*I30)</f>
        <v>2328342.6063993778</v>
      </c>
      <c r="D31" s="54">
        <f>+E31-C31</f>
        <v>4001205.5589080285</v>
      </c>
      <c r="E31" s="54">
        <f>IF(A31=" "," ",+J30)</f>
        <v>6329548.1653074063</v>
      </c>
      <c r="F31" s="54">
        <f>+B31-D31</f>
        <v>162368398.32815006</v>
      </c>
      <c r="G31" s="60">
        <v>9.2939999999999995E-2</v>
      </c>
      <c r="H31" s="60">
        <f>IF(A31=" "," ",+H30)</f>
        <v>7.4999999999999997E-2</v>
      </c>
      <c r="I31" s="8">
        <f>IF(A31=" "," ",((G31+H31)/12))</f>
        <v>1.3994999999999999E-2</v>
      </c>
      <c r="J31" s="2">
        <f>PMT(I31,K31,-F31,0)</f>
        <v>6329548.1653074073</v>
      </c>
      <c r="K31" s="7">
        <f>IF(A28=" "," ",+$B$4-A31)</f>
        <v>32</v>
      </c>
      <c r="L31">
        <v>22</v>
      </c>
      <c r="M31">
        <f>IF(AND(A33&lt;&gt;" ")*(M30=12),1,1+M30)</f>
        <v>2</v>
      </c>
      <c r="N31">
        <f>IF(AND(A33&lt;&gt;" ")*(M31=1),1+N30,N30)</f>
        <v>2027</v>
      </c>
      <c r="Q31" s="36"/>
      <c r="R31" s="36"/>
      <c r="S31" s="36"/>
      <c r="T31" s="36"/>
      <c r="U31" s="36"/>
      <c r="V31" s="36"/>
      <c r="W31" s="36"/>
      <c r="X31" s="36"/>
      <c r="Z31" s="75"/>
      <c r="AA31" s="73">
        <f>+AA27-AA30</f>
        <v>-5.0000000046566129E-2</v>
      </c>
      <c r="AB31" s="72"/>
      <c r="AD31" s="20"/>
    </row>
    <row r="32" spans="1:45" thickBot="1">
      <c r="A32" s="63">
        <f>IF(AND(A31&lt;$B$4)*(A31&lt;&gt;0),1+A31," ")</f>
        <v>27</v>
      </c>
      <c r="B32" s="54">
        <f>IF(A32=" "," ",+F31)</f>
        <v>162368398.32815006</v>
      </c>
      <c r="C32" s="54">
        <f>IF(A32=" "," ",+B32*I31)</f>
        <v>2272345.7346024602</v>
      </c>
      <c r="D32" s="54">
        <f>+E32-C32</f>
        <v>4057202.4307049471</v>
      </c>
      <c r="E32" s="54">
        <f>IF(A32=" "," ",+J31)</f>
        <v>6329548.1653074073</v>
      </c>
      <c r="F32" s="54">
        <f>+B32-D32</f>
        <v>158311195.89744511</v>
      </c>
      <c r="G32" s="60">
        <v>9.2939999999999995E-2</v>
      </c>
      <c r="H32" s="60">
        <f>IF(A32=" "," ",+H31)</f>
        <v>7.4999999999999997E-2</v>
      </c>
      <c r="I32" s="8">
        <f>IF(A32=" "," ",((G32+H32)/12))</f>
        <v>1.3994999999999999E-2</v>
      </c>
      <c r="J32" s="2">
        <f>PMT(I32,K32,-F32,0)</f>
        <v>6329548.1653074073</v>
      </c>
      <c r="K32" s="7">
        <f>+$B$4-A32</f>
        <v>31</v>
      </c>
      <c r="L32">
        <v>22</v>
      </c>
      <c r="M32">
        <f>IF(AND(A34&lt;&gt;" ")*(M31=12),1,1+M31)</f>
        <v>3</v>
      </c>
      <c r="N32">
        <f>IF(AND(A34&lt;&gt;" ")*(M32=1),1+N31,N31)</f>
        <v>2027</v>
      </c>
      <c r="Q32" s="36"/>
      <c r="R32" s="36"/>
      <c r="S32" s="36"/>
      <c r="T32" s="36"/>
      <c r="U32" s="36"/>
      <c r="V32" s="36"/>
      <c r="W32" s="36"/>
      <c r="X32" s="36"/>
      <c r="Z32" s="76"/>
      <c r="AA32" s="77"/>
      <c r="AB32" s="78"/>
      <c r="AD32" s="20"/>
    </row>
    <row r="33" spans="1:35" thickBot="1">
      <c r="A33" s="63">
        <f>IF(AND(A32&lt;$B$4)*(A32&lt;&gt;0),1+A32," ")</f>
        <v>28</v>
      </c>
      <c r="B33" s="54">
        <f>IF(A33=" "," ",+F32)</f>
        <v>158311195.89744511</v>
      </c>
      <c r="C33" s="54">
        <f>IF(A33=" "," ",+B33*I32)</f>
        <v>2215565.1865847441</v>
      </c>
      <c r="D33" s="54">
        <f>+E33-C33</f>
        <v>4113982.9787226631</v>
      </c>
      <c r="E33" s="54">
        <f>IF(A33=" "," ",+J32)</f>
        <v>6329548.1653074073</v>
      </c>
      <c r="F33" s="54">
        <f>+B33-D33</f>
        <v>154197212.91872245</v>
      </c>
      <c r="G33" s="60">
        <v>9.2939999999999995E-2</v>
      </c>
      <c r="H33" s="60">
        <f>IF(A33=" "," ",+H32)</f>
        <v>7.4999999999999997E-2</v>
      </c>
      <c r="I33" s="8">
        <f>IF(A33=" "," ",((G33+H33)/12))</f>
        <v>1.3994999999999999E-2</v>
      </c>
      <c r="J33" s="2">
        <f>PMT(I33,K33,-F33,0)</f>
        <v>6329548.1653074063</v>
      </c>
      <c r="K33" s="7">
        <f>IF(A30=" "," ",+$B$4-A33)</f>
        <v>30</v>
      </c>
      <c r="L33">
        <v>22</v>
      </c>
      <c r="M33">
        <f>IF(AND(A35&lt;&gt;" ")*(M32=12),1,1+M32)</f>
        <v>4</v>
      </c>
      <c r="N33">
        <f>IF(AND(A35&lt;&gt;" ")*(M33=1),1+N32,N32)</f>
        <v>2027</v>
      </c>
      <c r="Q33" s="36"/>
      <c r="R33" s="36"/>
      <c r="S33" s="36"/>
      <c r="T33" s="36"/>
      <c r="U33" s="36"/>
      <c r="V33" s="36"/>
      <c r="W33" s="36"/>
      <c r="X33" s="36"/>
      <c r="AA33" s="20"/>
      <c r="AC33" s="20"/>
    </row>
    <row r="34" spans="1:35" ht="14.45" customHeight="1">
      <c r="A34" s="63">
        <f>IF(AND(A33&lt;$B$4)*(A33&lt;&gt;0),1+A33," ")</f>
        <v>29</v>
      </c>
      <c r="B34" s="54">
        <f>IF(A34=" "," ",+F33)</f>
        <v>154197212.91872245</v>
      </c>
      <c r="C34" s="54">
        <f>IF(A34=" "," ",+B34*I33)</f>
        <v>2157989.9947975203</v>
      </c>
      <c r="D34" s="54">
        <f>+E34-C34</f>
        <v>4171558.170509886</v>
      </c>
      <c r="E34" s="54">
        <f>IF(A34=" "," ",+J33)</f>
        <v>6329548.1653074063</v>
      </c>
      <c r="F34" s="54">
        <f>+B34-D34</f>
        <v>150025654.74821258</v>
      </c>
      <c r="G34" s="60">
        <v>9.2939999999999995E-2</v>
      </c>
      <c r="H34" s="60">
        <f>IF(A34=" "," ",+H33)</f>
        <v>7.4999999999999997E-2</v>
      </c>
      <c r="I34" s="8">
        <f>IF(A34=" "," ",((G34+H34)/12))</f>
        <v>1.3994999999999999E-2</v>
      </c>
      <c r="J34" s="2">
        <f>PMT(I34,K34,-F34,0)</f>
        <v>6329548.1653074073</v>
      </c>
      <c r="K34" s="7">
        <f>+$B$4-A34</f>
        <v>29</v>
      </c>
      <c r="L34">
        <v>22</v>
      </c>
      <c r="M34">
        <f>IF(AND(A36&lt;&gt;" ")*(M33=12),1,1+M33)</f>
        <v>5</v>
      </c>
      <c r="N34">
        <f>IF(AND(A36&lt;&gt;" ")*(M34=1),1+N33,N33)</f>
        <v>2027</v>
      </c>
      <c r="Q34" s="36"/>
      <c r="R34" s="36"/>
      <c r="S34" s="36"/>
      <c r="T34" s="36"/>
      <c r="U34" s="36"/>
      <c r="V34" s="36"/>
      <c r="W34" s="36"/>
      <c r="X34" s="36"/>
      <c r="Z34" s="82" t="s">
        <v>51</v>
      </c>
      <c r="AA34" s="69"/>
      <c r="AB34" s="70"/>
    </row>
    <row r="35" spans="1:35" ht="14.45" customHeight="1">
      <c r="A35" s="63">
        <f>IF(AND(A34&lt;$B$4)*(A34&lt;&gt;0),1+A34," ")</f>
        <v>30</v>
      </c>
      <c r="B35" s="54">
        <f>IF(A35=" "," ",+F34)</f>
        <v>150025654.74821258</v>
      </c>
      <c r="C35" s="54">
        <f>IF(A35=" "," ",+B35*I34)</f>
        <v>2099609.0382012348</v>
      </c>
      <c r="D35" s="54">
        <f>+E35-C35</f>
        <v>4229939.127106173</v>
      </c>
      <c r="E35" s="54">
        <f>IF(A35=" "," ",+J34)</f>
        <v>6329548.1653074073</v>
      </c>
      <c r="F35" s="54">
        <f>+B35-D35</f>
        <v>145795715.62110642</v>
      </c>
      <c r="G35" s="60">
        <v>9.2939999999999995E-2</v>
      </c>
      <c r="H35" s="60">
        <f>IF(A35=" "," ",+H34)</f>
        <v>7.4999999999999997E-2</v>
      </c>
      <c r="I35" s="8">
        <f>IF(A35=" "," ",((G35+H35)/12))</f>
        <v>1.3994999999999999E-2</v>
      </c>
      <c r="J35" s="2">
        <f>PMT(I35,K35,-F35,0)</f>
        <v>6329548.1653074082</v>
      </c>
      <c r="K35" s="7">
        <f>IF(A32=" "," ",+$B$4-A35)</f>
        <v>28</v>
      </c>
      <c r="L35">
        <v>22</v>
      </c>
      <c r="M35">
        <f>IF(AND(A37&lt;&gt;" ")*(M34=12),1,1+M34)</f>
        <v>6</v>
      </c>
      <c r="N35">
        <f>IF(AND(A37&lt;&gt;" ")*(M35=1),1+N34,N34)</f>
        <v>2027</v>
      </c>
      <c r="Z35" s="71" t="s">
        <v>46</v>
      </c>
      <c r="AA35" s="2">
        <v>12407895</v>
      </c>
      <c r="AB35" s="72"/>
    </row>
    <row r="36" spans="1:35" ht="14.45" customHeight="1">
      <c r="A36" s="63">
        <f>IF(AND(A35&lt;$B$4)*(A35&lt;&gt;0),1+A35," ")</f>
        <v>31</v>
      </c>
      <c r="B36" s="54">
        <f>IF(A36=" "," ",+F35)</f>
        <v>145795715.62110642</v>
      </c>
      <c r="C36" s="54">
        <f>IF(A36=" "," ",+B36*I35)</f>
        <v>2040411.0401173842</v>
      </c>
      <c r="D36" s="54">
        <f>+E36-C36</f>
        <v>4289137.1251900243</v>
      </c>
      <c r="E36" s="54">
        <f>IF(A36=" "," ",+J35)</f>
        <v>6329548.1653074082</v>
      </c>
      <c r="F36" s="54">
        <f>+B36-D36</f>
        <v>141506578.4959164</v>
      </c>
      <c r="G36" s="60">
        <v>9.2939999999999995E-2</v>
      </c>
      <c r="H36" s="60">
        <f>IF(A36=" "," ",+H35)</f>
        <v>7.4999999999999997E-2</v>
      </c>
      <c r="I36" s="8">
        <f>IF(A36=" "," ",((G36+H36)/12))</f>
        <v>1.3994999999999999E-2</v>
      </c>
      <c r="J36" s="2">
        <f>PMT(I36,K36,-F36,0)</f>
        <v>6329548.1653074073</v>
      </c>
      <c r="K36" s="7">
        <f>+$B$4-A36</f>
        <v>27</v>
      </c>
      <c r="L36">
        <v>22</v>
      </c>
      <c r="M36">
        <f>IF(AND(A38&lt;&gt;" ")*(M35=12),1,1+M35)</f>
        <v>7</v>
      </c>
      <c r="N36">
        <f>IF(AND(A38&lt;&gt;" ")*(M36=1),1+N35,N35)</f>
        <v>2027</v>
      </c>
      <c r="Z36" s="71" t="s">
        <v>47</v>
      </c>
      <c r="AA36" s="2">
        <v>11940558</v>
      </c>
      <c r="AB36" s="72"/>
      <c r="AH36" s="32"/>
      <c r="AI36" s="32"/>
    </row>
    <row r="37" spans="1:35" ht="14.45" customHeight="1">
      <c r="A37" s="63">
        <f>IF(AND(A36&lt;$B$4)*(A36&lt;&gt;0),1+A36," ")</f>
        <v>32</v>
      </c>
      <c r="B37" s="54">
        <f>IF(A37=" "," ",+F36)</f>
        <v>141506578.4959164</v>
      </c>
      <c r="C37" s="54">
        <f>IF(A37=" "," ",+B37*I36)</f>
        <v>1980384.5660503497</v>
      </c>
      <c r="D37" s="54">
        <f>+E37-C37</f>
        <v>4349163.5992570575</v>
      </c>
      <c r="E37" s="54">
        <f>IF(A37=" "," ",+J36)</f>
        <v>6329548.1653074073</v>
      </c>
      <c r="F37" s="54">
        <f>+B37-D37</f>
        <v>137157414.89665934</v>
      </c>
      <c r="G37" s="60">
        <v>9.2939999999999995E-2</v>
      </c>
      <c r="H37" s="60">
        <f>IF(A37=" "," ",+H36)</f>
        <v>7.4999999999999997E-2</v>
      </c>
      <c r="I37" s="8">
        <f>IF(A37=" "," ",((G37+H37)/12))</f>
        <v>1.3994999999999999E-2</v>
      </c>
      <c r="J37" s="2">
        <f>PMT(I37,K37,-F37,0)</f>
        <v>6329548.1653074082</v>
      </c>
      <c r="K37" s="7">
        <f>IF(A34=" "," ",+$B$4-A37)</f>
        <v>26</v>
      </c>
      <c r="L37">
        <v>22</v>
      </c>
      <c r="M37">
        <f>IF(AND(A39&lt;&gt;" ")*(M36=12),1,1+M36)</f>
        <v>8</v>
      </c>
      <c r="N37">
        <f>IF(AND(A39&lt;&gt;" ")*(M37=1),1+N36,N36)</f>
        <v>2027</v>
      </c>
      <c r="Z37" s="71" t="s">
        <v>48</v>
      </c>
      <c r="AA37" s="73">
        <f>+AA35-AA36</f>
        <v>467337</v>
      </c>
      <c r="AB37" s="72"/>
    </row>
    <row r="38" spans="1:35" ht="14.45" customHeight="1">
      <c r="A38" s="63">
        <f>IF(AND(A37&lt;$B$4)*(A37&lt;&gt;0),1+A37," ")</f>
        <v>33</v>
      </c>
      <c r="B38" s="54">
        <f>IF(A38=" "," ",+F37)</f>
        <v>137157414.89665934</v>
      </c>
      <c r="C38" s="54">
        <f>IF(A38=" "," ",+B38*I37)</f>
        <v>1919518.0214787473</v>
      </c>
      <c r="D38" s="54">
        <f>+E38-C38</f>
        <v>4410030.1438286612</v>
      </c>
      <c r="E38" s="54">
        <f>IF(A38=" "," ",+J37)</f>
        <v>6329548.1653074082</v>
      </c>
      <c r="F38" s="54">
        <f>+B38-D38</f>
        <v>132747384.75283068</v>
      </c>
      <c r="G38" s="60">
        <v>9.2939999999999995E-2</v>
      </c>
      <c r="H38" s="60">
        <f>IF(A38=" "," ",+H37)</f>
        <v>7.4999999999999997E-2</v>
      </c>
      <c r="I38" s="8">
        <f>IF(A38=" "," ",((G38+H38)/12))</f>
        <v>1.3994999999999999E-2</v>
      </c>
      <c r="J38" s="2">
        <f>PMT(I38,K38,-F38,0)</f>
        <v>6329548.1653074082</v>
      </c>
      <c r="K38" s="7">
        <f>+$B$4-A38</f>
        <v>25</v>
      </c>
      <c r="L38">
        <v>22</v>
      </c>
      <c r="M38">
        <f>IF(AND(A40&lt;&gt;" ")*(M37=12),1,1+M37)</f>
        <v>9</v>
      </c>
      <c r="N38">
        <f>IF(AND(A40&lt;&gt;" ")*(M38=1),1+N37,N37)</f>
        <v>2027</v>
      </c>
      <c r="Z38" s="71"/>
      <c r="AA38" s="74"/>
      <c r="AB38" s="72"/>
    </row>
    <row r="39" spans="1:35" ht="14.45" customHeight="1">
      <c r="A39" s="63">
        <f>IF(AND(A38&lt;$B$4)*(A38&lt;&gt;0),1+A38," ")</f>
        <v>34</v>
      </c>
      <c r="B39" s="54">
        <f>IF(A39=" "," ",+F38)</f>
        <v>132747384.75283068</v>
      </c>
      <c r="C39" s="54">
        <f>IF(A39=" "," ",+B39*I38)</f>
        <v>1857799.6496158652</v>
      </c>
      <c r="D39" s="54">
        <f>+E39-C39</f>
        <v>4471748.515691543</v>
      </c>
      <c r="E39" s="54">
        <f>IF(A39=" "," ",+J38)</f>
        <v>6329548.1653074082</v>
      </c>
      <c r="F39" s="54">
        <f>+B39-D39</f>
        <v>128275636.23713914</v>
      </c>
      <c r="G39" s="60">
        <v>9.2939999999999995E-2</v>
      </c>
      <c r="H39" s="60">
        <f>IF(A39=" "," ",+H38)</f>
        <v>7.4999999999999997E-2</v>
      </c>
      <c r="I39" s="8">
        <f>IF(A39=" "," ",((G39+H39)/12))</f>
        <v>1.3994999999999999E-2</v>
      </c>
      <c r="J39" s="2">
        <f>PMT(I39,K39,-F39,0)</f>
        <v>6329548.1653074082</v>
      </c>
      <c r="K39" s="7">
        <f>IF(A36=" "," ",+$B$4-A39)</f>
        <v>24</v>
      </c>
      <c r="L39">
        <v>22</v>
      </c>
      <c r="M39">
        <f>IF(AND(A41&lt;&gt;" ")*(M38=12),1,1+M38)</f>
        <v>10</v>
      </c>
      <c r="N39">
        <f>IF(AND(A41&lt;&gt;" ")*(M39=1),1+N38,N38)</f>
        <v>2027</v>
      </c>
      <c r="Z39" s="71" t="s">
        <v>49</v>
      </c>
      <c r="AA39" s="2">
        <v>6676246</v>
      </c>
      <c r="AB39" s="79">
        <v>7.0000000000000007E-2</v>
      </c>
    </row>
    <row r="40" spans="1:35" ht="14.45" customHeight="1">
      <c r="A40" s="63">
        <f>IF(AND(A39&lt;$B$4)*(A39&lt;&gt;0),1+A39," ")</f>
        <v>35</v>
      </c>
      <c r="B40" s="54">
        <f>IF(A40=" "," ",+F39)</f>
        <v>128275636.23713914</v>
      </c>
      <c r="C40" s="54">
        <f>IF(A40=" "," ",+B40*I39)</f>
        <v>1795217.529138762</v>
      </c>
      <c r="D40" s="54">
        <f>+E40-C40</f>
        <v>4534330.6361686457</v>
      </c>
      <c r="E40" s="54">
        <f>IF(A40=" "," ",+J39)</f>
        <v>6329548.1653074082</v>
      </c>
      <c r="F40" s="54">
        <f>+B40-D40</f>
        <v>123741305.60097049</v>
      </c>
      <c r="G40" s="60">
        <v>9.2939999999999995E-2</v>
      </c>
      <c r="H40" s="60">
        <f>IF(A40=" "," ",+H39)</f>
        <v>7.4999999999999997E-2</v>
      </c>
      <c r="I40" s="8">
        <f>IF(A40=" "," ",((G40+H40)/12))</f>
        <v>1.3994999999999999E-2</v>
      </c>
      <c r="J40" s="2">
        <f>PMT(I40,K40,-F40,0)</f>
        <v>6329548.1653074082</v>
      </c>
      <c r="K40" s="7">
        <f>+$B$4-A40</f>
        <v>23</v>
      </c>
      <c r="L40">
        <v>22</v>
      </c>
      <c r="M40">
        <f>IF(AND(A42&lt;&gt;" ")*(M39=12),1,1+M39)</f>
        <v>11</v>
      </c>
      <c r="N40">
        <f>IF(AND(A42&lt;&gt;" ")*(M40=1),1+N39,N39)</f>
        <v>2027</v>
      </c>
      <c r="Z40" s="80" t="s">
        <v>50</v>
      </c>
      <c r="AA40" s="81">
        <f>+AA39*AB39</f>
        <v>467337.22000000003</v>
      </c>
      <c r="AB40" s="72"/>
    </row>
    <row r="41" spans="1:35" ht="14.45" customHeight="1">
      <c r="A41" s="63">
        <f>IF(AND(A40&lt;$B$4)*(A40&lt;&gt;0),1+A40," ")</f>
        <v>36</v>
      </c>
      <c r="B41" s="54">
        <f>IF(A41=" "," ",+F40)</f>
        <v>123741305.60097049</v>
      </c>
      <c r="C41" s="54">
        <f>IF(A41=" "," ",+B41*I40)</f>
        <v>1731759.5718855818</v>
      </c>
      <c r="D41" s="54">
        <f>+E41-C41</f>
        <v>4597788.5934218261</v>
      </c>
      <c r="E41" s="54">
        <f>IF(A41=" "," ",+J40)</f>
        <v>6329548.1653074082</v>
      </c>
      <c r="F41" s="54">
        <f>+B41-D41</f>
        <v>119143517.00754866</v>
      </c>
      <c r="G41" s="60">
        <v>9.2939999999999995E-2</v>
      </c>
      <c r="H41" s="60">
        <f>IF(A41=" "," ",+H40)</f>
        <v>7.4999999999999997E-2</v>
      </c>
      <c r="I41" s="8">
        <f>IF(A41=" "," ",((G41+H41)/12))</f>
        <v>1.3994999999999999E-2</v>
      </c>
      <c r="J41" s="2">
        <f>PMT(I41,K41,-F41,0)</f>
        <v>6329548.1653074082</v>
      </c>
      <c r="K41" s="7">
        <f>IF(A38=" "," ",+$B$4-A41)</f>
        <v>22</v>
      </c>
      <c r="L41">
        <v>22</v>
      </c>
      <c r="M41">
        <f>IF(AND(A43&lt;&gt;" ")*(M40=12),1,1+M40)</f>
        <v>12</v>
      </c>
      <c r="N41">
        <f>IF(AND(A43&lt;&gt;" ")*(M41=1),1+N40,N40)</f>
        <v>2027</v>
      </c>
      <c r="Z41" s="75"/>
      <c r="AA41" s="73">
        <f>+AA37-AA40</f>
        <v>-0.22000000003026798</v>
      </c>
      <c r="AB41" s="72"/>
    </row>
    <row r="42" spans="1:35" thickBot="1">
      <c r="A42" s="63">
        <f>IF(AND(A41&lt;$B$4)*(A41&lt;&gt;0),1+A41," ")</f>
        <v>37</v>
      </c>
      <c r="B42" s="54">
        <f>IF(A42=" "," ",+F41)</f>
        <v>119143517.00754866</v>
      </c>
      <c r="C42" s="54">
        <f>IF(A42=" "," ",+B42*I41)</f>
        <v>1667413.5205206433</v>
      </c>
      <c r="D42" s="54">
        <f>+E42-C42</f>
        <v>4662134.6447867649</v>
      </c>
      <c r="E42" s="54">
        <f>IF(A42=" "," ",+J41)</f>
        <v>6329548.1653074082</v>
      </c>
      <c r="F42" s="54">
        <f>+B42-D42</f>
        <v>114481382.3627619</v>
      </c>
      <c r="G42" s="60">
        <v>9.2939999999999995E-2</v>
      </c>
      <c r="H42" s="60">
        <f>IF(A42=" "," ",+H41)</f>
        <v>7.4999999999999997E-2</v>
      </c>
      <c r="I42" s="8">
        <f>IF(A42=" "," ",((G42+H42)/12))</f>
        <v>1.3994999999999999E-2</v>
      </c>
      <c r="J42" s="2">
        <f>PMT(I42,K42,-F42,0)</f>
        <v>6329548.1653074091</v>
      </c>
      <c r="K42" s="7">
        <f>+$B$4-A42</f>
        <v>21</v>
      </c>
      <c r="L42">
        <v>22</v>
      </c>
      <c r="M42">
        <f>IF(AND(A44&lt;&gt;" ")*(M41=12),1,1+M41)</f>
        <v>1</v>
      </c>
      <c r="N42">
        <f>IF(AND(A44&lt;&gt;" ")*(M42=1),1+N41,N41)</f>
        <v>2028</v>
      </c>
      <c r="Z42" s="76"/>
      <c r="AA42" s="77"/>
      <c r="AB42" s="78"/>
    </row>
    <row r="43" spans="1:35" ht="14.45" customHeight="1">
      <c r="A43" s="63">
        <f>IF(AND(A42&lt;$B$4)*(A42&lt;&gt;0),1+A42," ")</f>
        <v>38</v>
      </c>
      <c r="B43" s="54">
        <f>IF(A43=" "," ",+F42)</f>
        <v>114481382.3627619</v>
      </c>
      <c r="C43" s="54">
        <f>IF(A43=" "," ",+B43*I42)</f>
        <v>1602166.9461668527</v>
      </c>
      <c r="D43" s="54">
        <f>+E43-C43</f>
        <v>4727381.2191405566</v>
      </c>
      <c r="E43" s="54">
        <f>IF(A43=" "," ",+J42)</f>
        <v>6329548.1653074091</v>
      </c>
      <c r="F43" s="54">
        <f>+B43-D43</f>
        <v>109754001.14362134</v>
      </c>
      <c r="G43" s="60">
        <v>9.2939999999999995E-2</v>
      </c>
      <c r="H43" s="60">
        <f>IF(A43=" "," ",+H42)</f>
        <v>7.4999999999999997E-2</v>
      </c>
      <c r="I43" s="8">
        <f>IF(A43=" "," ",((G43+H43)/12))</f>
        <v>1.3994999999999999E-2</v>
      </c>
      <c r="J43" s="2">
        <f>PMT(I43,K43,-F43,0)</f>
        <v>6329548.1653074073</v>
      </c>
      <c r="K43" s="7">
        <f>IF(A40=" "," ",+$B$4-A43)</f>
        <v>20</v>
      </c>
      <c r="L43">
        <v>22</v>
      </c>
      <c r="M43">
        <f>IF(AND(A45&lt;&gt;" ")*(M42=12),1,1+M42)</f>
        <v>2</v>
      </c>
      <c r="N43">
        <f>IF(AND(A45&lt;&gt;" ")*(M43=1),1+N42,N42)</f>
        <v>2028</v>
      </c>
    </row>
    <row r="44" spans="1:35" ht="14.45" customHeight="1">
      <c r="A44" s="63">
        <f>IF(AND(A43&lt;$B$4)*(A43&lt;&gt;0),1+A43," ")</f>
        <v>39</v>
      </c>
      <c r="B44" s="54">
        <f>IF(A44=" "," ",+F43)</f>
        <v>109754001.14362134</v>
      </c>
      <c r="C44" s="54">
        <f>IF(A44=" "," ",+B44*I43)</f>
        <v>1536007.2460049805</v>
      </c>
      <c r="D44" s="54">
        <f>+E44-C44</f>
        <v>4793540.9193024263</v>
      </c>
      <c r="E44" s="54">
        <f>IF(A44=" "," ",+J43)</f>
        <v>6329548.1653074073</v>
      </c>
      <c r="F44" s="54">
        <f>+B44-D44</f>
        <v>104960460.22431892</v>
      </c>
      <c r="G44" s="60">
        <v>9.2939999999999995E-2</v>
      </c>
      <c r="H44" s="60">
        <f>IF(A44=" "," ",+H43)</f>
        <v>7.4999999999999997E-2</v>
      </c>
      <c r="I44" s="8">
        <f>IF(A44=" "," ",((G44+H44)/12))</f>
        <v>1.3994999999999999E-2</v>
      </c>
      <c r="J44" s="2">
        <f>PMT(I44,K44,-F44,0)</f>
        <v>6329548.1653074082</v>
      </c>
      <c r="K44" s="7">
        <f>+$B$4-A44</f>
        <v>19</v>
      </c>
      <c r="L44">
        <v>22</v>
      </c>
      <c r="M44">
        <f>IF(AND(A46&lt;&gt;" ")*(M43=12),1,1+M43)</f>
        <v>3</v>
      </c>
      <c r="N44">
        <f>IF(AND(A46&lt;&gt;" ")*(M44=1),1+N43,N43)</f>
        <v>2028</v>
      </c>
    </row>
    <row r="45" spans="1:35" ht="14.45" customHeight="1">
      <c r="A45" s="63">
        <f>IF(AND(A44&lt;$B$4)*(A44&lt;&gt;0),1+A44," ")</f>
        <v>40</v>
      </c>
      <c r="B45" s="54">
        <f>IF(A45=" "," ",+F44)</f>
        <v>104960460.22431892</v>
      </c>
      <c r="C45" s="54">
        <f>IF(A45=" "," ",+B45*I44)</f>
        <v>1468921.6408393432</v>
      </c>
      <c r="D45" s="54">
        <f>+E45-C45</f>
        <v>4860626.5244680652</v>
      </c>
      <c r="E45" s="54">
        <f>IF(A45=" "," ",+J44)</f>
        <v>6329548.1653074082</v>
      </c>
      <c r="F45" s="54">
        <f>+B45-D45</f>
        <v>100099833.69985086</v>
      </c>
      <c r="G45" s="60">
        <v>9.2939999999999995E-2</v>
      </c>
      <c r="H45" s="60">
        <f>IF(A45=" "," ",+H44)</f>
        <v>7.4999999999999997E-2</v>
      </c>
      <c r="I45" s="8">
        <f>IF(A45=" "," ",((G45+H45)/12))</f>
        <v>1.3994999999999999E-2</v>
      </c>
      <c r="J45" s="2">
        <f>PMT(I45,K45,-F45,0)</f>
        <v>6329548.1653074082</v>
      </c>
      <c r="K45" s="7">
        <f>IF(A42=" "," ",+$B$4-A45)</f>
        <v>18</v>
      </c>
      <c r="L45">
        <v>22</v>
      </c>
      <c r="M45">
        <f>IF(AND(A47&lt;&gt;" ")*(M44=12),1,1+M44)</f>
        <v>4</v>
      </c>
      <c r="N45">
        <f>IF(AND(A47&lt;&gt;" ")*(M45=1),1+N44,N44)</f>
        <v>2028</v>
      </c>
    </row>
    <row r="46" spans="1:35" ht="14.45" customHeight="1">
      <c r="A46" s="63">
        <f>IF(AND(A45&lt;$B$4)*(A45&lt;&gt;0),1+A45," ")</f>
        <v>41</v>
      </c>
      <c r="B46" s="54">
        <f>IF(A46=" "," ",+F45)</f>
        <v>100099833.69985086</v>
      </c>
      <c r="C46" s="54">
        <f>IF(A46=" "," ",+B46*I45)</f>
        <v>1400897.1726294127</v>
      </c>
      <c r="D46" s="54">
        <f>+E46-C46</f>
        <v>4928650.9926779959</v>
      </c>
      <c r="E46" s="54">
        <f>IF(A46=" "," ",+J45)</f>
        <v>6329548.1653074082</v>
      </c>
      <c r="F46" s="54">
        <f>+B46-D46</f>
        <v>95171182.707172856</v>
      </c>
      <c r="G46" s="60">
        <v>9.2939999999999995E-2</v>
      </c>
      <c r="H46" s="60">
        <f>IF(A46=" "," ",+H45)</f>
        <v>7.4999999999999997E-2</v>
      </c>
      <c r="I46" s="8">
        <f>IF(A46=" "," ",((G46+H46)/12))</f>
        <v>1.3994999999999999E-2</v>
      </c>
      <c r="J46" s="2">
        <f>PMT(I46,K46,-F46,0)</f>
        <v>6329548.1653074082</v>
      </c>
      <c r="K46" s="7">
        <f>+$B$4-A46</f>
        <v>17</v>
      </c>
      <c r="L46">
        <v>22</v>
      </c>
      <c r="M46">
        <f>IF(AND(A48&lt;&gt;" ")*(M45=12),1,1+M45)</f>
        <v>5</v>
      </c>
      <c r="N46">
        <f>IF(AND(A48&lt;&gt;" ")*(M46=1),1+N45,N45)</f>
        <v>2028</v>
      </c>
    </row>
    <row r="47" spans="1:35" ht="14.45" customHeight="1">
      <c r="A47" s="63">
        <f>IF(AND(A46&lt;$B$4)*(A46&lt;&gt;0),1+A46," ")</f>
        <v>42</v>
      </c>
      <c r="B47" s="54">
        <f>IF(A47=" "," ",+F46)</f>
        <v>95171182.707172856</v>
      </c>
      <c r="C47" s="54">
        <f>IF(A47=" "," ",+B47*I46)</f>
        <v>1331920.701986884</v>
      </c>
      <c r="D47" s="54">
        <f>+E47-C47</f>
        <v>4997627.4633205244</v>
      </c>
      <c r="E47" s="54">
        <f>IF(A47=" "," ",+J46)</f>
        <v>6329548.1653074082</v>
      </c>
      <c r="F47" s="54">
        <f>+B47-D47</f>
        <v>90173555.243852332</v>
      </c>
      <c r="G47" s="60">
        <v>9.2939999999999995E-2</v>
      </c>
      <c r="H47" s="60">
        <f>IF(A47=" "," ",+H46)</f>
        <v>7.4999999999999997E-2</v>
      </c>
      <c r="I47" s="8">
        <f>IF(A47=" "," ",((G47+H47)/12))</f>
        <v>1.3994999999999999E-2</v>
      </c>
      <c r="J47" s="2">
        <f>PMT(I47,K47,-F47,0)</f>
        <v>6329548.1653074082</v>
      </c>
      <c r="K47" s="7">
        <f>IF(A44=" "," ",+$B$4-A47)</f>
        <v>16</v>
      </c>
      <c r="L47">
        <v>22</v>
      </c>
      <c r="M47">
        <f>IF(AND(A49&lt;&gt;" ")*(M46=12),1,1+M46)</f>
        <v>6</v>
      </c>
      <c r="N47">
        <f>IF(AND(A49&lt;&gt;" ")*(M47=1),1+N46,N46)</f>
        <v>2028</v>
      </c>
    </row>
    <row r="48" spans="1:35" ht="14.45" customHeight="1">
      <c r="A48" s="63">
        <f>IF(AND(A47&lt;$B$4)*(A47&lt;&gt;0),1+A47," ")</f>
        <v>43</v>
      </c>
      <c r="B48" s="54">
        <f>IF(A48=" "," ",+F47)</f>
        <v>90173555.243852332</v>
      </c>
      <c r="C48" s="54">
        <f>IF(A48=" "," ",+B48*I47)</f>
        <v>1261978.9056377134</v>
      </c>
      <c r="D48" s="54">
        <f>+E48-C48</f>
        <v>5067569.259669695</v>
      </c>
      <c r="E48" s="54">
        <f>IF(A48=" "," ",+J47)</f>
        <v>6329548.1653074082</v>
      </c>
      <c r="F48" s="54">
        <f>+B48-D48</f>
        <v>85105985.984182641</v>
      </c>
      <c r="G48" s="60">
        <v>9.2939999999999995E-2</v>
      </c>
      <c r="H48" s="60">
        <f>IF(A48=" "," ",+H47)</f>
        <v>7.4999999999999997E-2</v>
      </c>
      <c r="I48" s="8">
        <f>IF(A48=" "," ",((G48+H48)/12))</f>
        <v>1.3994999999999999E-2</v>
      </c>
      <c r="J48" s="2">
        <f>PMT(I48,K48,-F48,0)</f>
        <v>6329548.1653074082</v>
      </c>
      <c r="K48" s="7">
        <f>+$B$4-A48</f>
        <v>15</v>
      </c>
      <c r="L48">
        <v>22</v>
      </c>
      <c r="M48">
        <f>IF(AND(A50&lt;&gt;" ")*(M47=12),1,1+M47)</f>
        <v>7</v>
      </c>
      <c r="N48">
        <f>IF(AND(A50&lt;&gt;" ")*(M48=1),1+N47,N47)</f>
        <v>2028</v>
      </c>
    </row>
    <row r="49" spans="1:14" ht="14.45" customHeight="1">
      <c r="A49" s="63">
        <f>IF(AND(A48&lt;$B$4)*(A48&lt;&gt;0),1+A48," ")</f>
        <v>44</v>
      </c>
      <c r="B49" s="54">
        <f>IF(A49=" "," ",+F48)</f>
        <v>85105985.984182641</v>
      </c>
      <c r="C49" s="54">
        <f>IF(A49=" "," ",+B49*I48)</f>
        <v>1191058.2738486358</v>
      </c>
      <c r="D49" s="54">
        <f>+E49-C49</f>
        <v>5138489.8914587721</v>
      </c>
      <c r="E49" s="54">
        <f>IF(A49=" "," ",+J48)</f>
        <v>6329548.1653074082</v>
      </c>
      <c r="F49" s="54">
        <f>+B49-D49</f>
        <v>79967496.092723876</v>
      </c>
      <c r="G49" s="60">
        <v>9.2939999999999995E-2</v>
      </c>
      <c r="H49" s="60">
        <f>IF(A49=" "," ",+H48)</f>
        <v>7.4999999999999997E-2</v>
      </c>
      <c r="I49" s="8">
        <f>IF(A49=" "," ",((G49+H49)/12))</f>
        <v>1.3994999999999999E-2</v>
      </c>
      <c r="J49" s="2">
        <f>PMT(I49,K49,-F49,0)</f>
        <v>6329548.1653074082</v>
      </c>
      <c r="K49" s="7">
        <f>IF(A46=" "," ",+$B$4-A49)</f>
        <v>14</v>
      </c>
      <c r="L49">
        <v>22</v>
      </c>
      <c r="M49">
        <f>IF(AND(A51&lt;&gt;" ")*(M48=12),1,1+M48)</f>
        <v>8</v>
      </c>
      <c r="N49">
        <f>IF(AND(A51&lt;&gt;" ")*(M49=1),1+N48,N48)</f>
        <v>2028</v>
      </c>
    </row>
    <row r="50" spans="1:14" ht="14.45" customHeight="1">
      <c r="A50" s="63">
        <f>IF(AND(A49&lt;$B$4)*(A49&lt;&gt;0),1+A49," ")</f>
        <v>45</v>
      </c>
      <c r="B50" s="54">
        <f>IF(A50=" "," ",+F49)</f>
        <v>79967496.092723876</v>
      </c>
      <c r="C50" s="54">
        <f>IF(A50=" "," ",+B50*I49)</f>
        <v>1119145.1078176706</v>
      </c>
      <c r="D50" s="54">
        <f>+E50-C50</f>
        <v>5210403.0574897379</v>
      </c>
      <c r="E50" s="54">
        <f>IF(A50=" "," ",+J49)</f>
        <v>6329548.1653074082</v>
      </c>
      <c r="F50" s="54">
        <f>+B50-D50</f>
        <v>74757093.035234138</v>
      </c>
      <c r="G50" s="60">
        <v>9.2939999999999995E-2</v>
      </c>
      <c r="H50" s="60">
        <f>IF(A50=" "," ",+H49)</f>
        <v>7.4999999999999997E-2</v>
      </c>
      <c r="I50" s="8">
        <f>IF(A50=" "," ",((G50+H50)/12))</f>
        <v>1.3994999999999999E-2</v>
      </c>
      <c r="J50" s="2">
        <f>PMT(I50,K50,-F50,0)</f>
        <v>6329548.1653074082</v>
      </c>
      <c r="K50" s="7">
        <f>+$B$4-A50</f>
        <v>13</v>
      </c>
      <c r="L50">
        <v>22</v>
      </c>
      <c r="M50">
        <f>IF(AND(A52&lt;&gt;" ")*(M49=12),1,1+M49)</f>
        <v>9</v>
      </c>
      <c r="N50">
        <f>IF(AND(A52&lt;&gt;" ")*(M50=1),1+N49,N49)</f>
        <v>2028</v>
      </c>
    </row>
    <row r="51" spans="1:14" ht="14.45" customHeight="1">
      <c r="A51" s="63">
        <f>IF(AND(A50&lt;$B$4)*(A50&lt;&gt;0),1+A50," ")</f>
        <v>46</v>
      </c>
      <c r="B51" s="54">
        <f>IF(A51=" "," ",+F50)</f>
        <v>74757093.035234138</v>
      </c>
      <c r="C51" s="54">
        <f>IF(A51=" "," ",+B51*I50)</f>
        <v>1046225.5170281017</v>
      </c>
      <c r="D51" s="54">
        <f>+E51-C51</f>
        <v>5283322.6482793065</v>
      </c>
      <c r="E51" s="54">
        <f>IF(A51=" "," ",+J50)</f>
        <v>6329548.1653074082</v>
      </c>
      <c r="F51" s="54">
        <f>+B51-D51</f>
        <v>69473770.386954829</v>
      </c>
      <c r="G51" s="60">
        <v>9.2939999999999995E-2</v>
      </c>
      <c r="H51" s="60">
        <f>IF(A51=" "," ",+H50)</f>
        <v>7.4999999999999997E-2</v>
      </c>
      <c r="I51" s="8">
        <f>IF(A51=" "," ",((G51+H51)/12))</f>
        <v>1.3994999999999999E-2</v>
      </c>
      <c r="J51" s="2">
        <f>PMT(I51,K51,-F51,0)</f>
        <v>6329548.1653074082</v>
      </c>
      <c r="K51" s="7">
        <f>IF(A48=" "," ",+$B$4-A51)</f>
        <v>12</v>
      </c>
      <c r="L51">
        <v>22</v>
      </c>
      <c r="M51">
        <f>IF(AND(A53&lt;&gt;" ")*(M50=12),1,1+M50)</f>
        <v>10</v>
      </c>
      <c r="N51">
        <f>IF(AND(A53&lt;&gt;" ")*(M51=1),1+N50,N50)</f>
        <v>2028</v>
      </c>
    </row>
    <row r="52" spans="1:14" ht="14.45" customHeight="1">
      <c r="A52" s="63">
        <f>IF(AND(A51&lt;$B$4)*(A51&lt;&gt;0),1+A51," ")</f>
        <v>47</v>
      </c>
      <c r="B52" s="54">
        <f>IF(A52=" "," ",+F51)</f>
        <v>69473770.386954829</v>
      </c>
      <c r="C52" s="54">
        <f>IF(A52=" "," ",+B52*I51)</f>
        <v>972285.4165654328</v>
      </c>
      <c r="D52" s="54">
        <f>+E52-C52</f>
        <v>5357262.7487419751</v>
      </c>
      <c r="E52" s="54">
        <f>IF(A52=" "," ",+J51)</f>
        <v>6329548.1653074082</v>
      </c>
      <c r="F52" s="54">
        <f>+B52-D52</f>
        <v>64116507.638212852</v>
      </c>
      <c r="G52" s="60">
        <v>9.2939999999999995E-2</v>
      </c>
      <c r="H52" s="60">
        <f>IF(A52=" "," ",+H51)</f>
        <v>7.4999999999999997E-2</v>
      </c>
      <c r="I52" s="8">
        <f>IF(A52=" "," ",((G52+H52)/12))</f>
        <v>1.3994999999999999E-2</v>
      </c>
      <c r="J52" s="2">
        <f>PMT(I52,K52,-F52,0)</f>
        <v>6329548.1653074082</v>
      </c>
      <c r="K52" s="7">
        <f>+$B$4-A52</f>
        <v>11</v>
      </c>
      <c r="L52">
        <v>22</v>
      </c>
      <c r="M52">
        <f>IF(AND(A54&lt;&gt;" ")*(M51=12),1,1+M51)</f>
        <v>11</v>
      </c>
      <c r="N52">
        <f>IF(AND(A54&lt;&gt;" ")*(M52=1),1+N51,N51)</f>
        <v>2028</v>
      </c>
    </row>
    <row r="53" spans="1:14" ht="14.45" customHeight="1">
      <c r="A53" s="63">
        <f>IF(AND(A52&lt;$B$4)*(A52&lt;&gt;0),1+A52," ")</f>
        <v>48</v>
      </c>
      <c r="B53" s="54">
        <f>IF(A53=" "," ",+F52)</f>
        <v>64116507.638212852</v>
      </c>
      <c r="C53" s="54">
        <f>IF(A53=" "," ",+B53*I52)</f>
        <v>897310.52439678879</v>
      </c>
      <c r="D53" s="54">
        <f>+E53-C53</f>
        <v>5432237.6409106199</v>
      </c>
      <c r="E53" s="54">
        <f>IF(A53=" "," ",+J52)</f>
        <v>6329548.1653074082</v>
      </c>
      <c r="F53" s="54">
        <f>+B53-D53</f>
        <v>58684269.997302234</v>
      </c>
      <c r="G53" s="60">
        <v>9.2939999999999995E-2</v>
      </c>
      <c r="H53" s="60">
        <f>IF(A53=" "," ",+H52)</f>
        <v>7.4999999999999997E-2</v>
      </c>
      <c r="I53" s="8">
        <f>IF(A53=" "," ",((G53+H53)/12))</f>
        <v>1.3994999999999999E-2</v>
      </c>
      <c r="J53" s="2">
        <f>PMT(I53,K53,-F53,0)</f>
        <v>6329548.1653074082</v>
      </c>
      <c r="K53" s="7">
        <f>IF(A50=" "," ",+$B$4-A53)</f>
        <v>10</v>
      </c>
      <c r="L53">
        <v>22</v>
      </c>
      <c r="M53">
        <f>IF(AND(A55&lt;&gt;" ")*(M52=12),1,1+M52)</f>
        <v>12</v>
      </c>
      <c r="N53">
        <f>IF(AND(A55&lt;&gt;" ")*(M53=1),1+N52,N52)</f>
        <v>2028</v>
      </c>
    </row>
    <row r="54" spans="1:14" ht="14.45" customHeight="1">
      <c r="A54" s="63">
        <f>IF(AND(A53&lt;$B$4)*(A53&lt;&gt;0),1+A53," ")</f>
        <v>49</v>
      </c>
      <c r="B54" s="54">
        <f>IF(A54=" "," ",+F53)</f>
        <v>58684269.997302234</v>
      </c>
      <c r="C54" s="54">
        <f>IF(A54=" "," ",+B54*I53)</f>
        <v>821286.35861224472</v>
      </c>
      <c r="D54" s="54">
        <f>+E54-C54</f>
        <v>5508261.8066951632</v>
      </c>
      <c r="E54" s="54">
        <f>IF(A54=" "," ",+J53)</f>
        <v>6329548.1653074082</v>
      </c>
      <c r="F54" s="54">
        <f>+B54-D54</f>
        <v>53176008.190607071</v>
      </c>
      <c r="G54" s="60">
        <v>9.2939999999999995E-2</v>
      </c>
      <c r="H54" s="60">
        <f>IF(A54=" "," ",+H53)</f>
        <v>7.4999999999999997E-2</v>
      </c>
      <c r="I54" s="8">
        <f>IF(A54=" "," ",((G54+H54)/12))</f>
        <v>1.3994999999999999E-2</v>
      </c>
      <c r="J54" s="2">
        <f>PMT(I54,K54,-F54,0)</f>
        <v>6329548.1653074082</v>
      </c>
      <c r="K54" s="7">
        <f>+$B$4-A54</f>
        <v>9</v>
      </c>
      <c r="L54">
        <v>22</v>
      </c>
      <c r="M54">
        <f>IF(AND(A56&lt;&gt;" ")*(M53=12),1,1+M53)</f>
        <v>1</v>
      </c>
      <c r="N54">
        <f>IF(AND(A56&lt;&gt;" ")*(M54=1),1+N53,N53)</f>
        <v>2029</v>
      </c>
    </row>
    <row r="55" spans="1:14" ht="14.45" customHeight="1">
      <c r="A55" s="63">
        <f>IF(AND(A54&lt;$B$4)*(A54&lt;&gt;0),1+A54," ")</f>
        <v>50</v>
      </c>
      <c r="B55" s="54">
        <f>IF(A55=" "," ",+F54)</f>
        <v>53176008.190607071</v>
      </c>
      <c r="C55" s="54">
        <f>IF(A55=" "," ",+B55*I54)</f>
        <v>744198.23462754593</v>
      </c>
      <c r="D55" s="54">
        <f>+E55-C55</f>
        <v>5585349.9306798624</v>
      </c>
      <c r="E55" s="54">
        <f>IF(A55=" "," ",+J54)</f>
        <v>6329548.1653074082</v>
      </c>
      <c r="F55" s="54">
        <f>+B55-D55</f>
        <v>47590658.259927206</v>
      </c>
      <c r="G55" s="60">
        <v>9.2939999999999995E-2</v>
      </c>
      <c r="H55" s="60">
        <f>IF(A55=" "," ",+H54)</f>
        <v>7.4999999999999997E-2</v>
      </c>
      <c r="I55" s="8">
        <f>IF(A55=" "," ",((G55+H55)/12))</f>
        <v>1.3994999999999999E-2</v>
      </c>
      <c r="J55" s="2">
        <f>PMT(I55,K55,-F55,0)</f>
        <v>6329548.1653074082</v>
      </c>
      <c r="K55" s="7">
        <f>IF(A52=" "," ",+$B$4-A55)</f>
        <v>8</v>
      </c>
      <c r="L55">
        <v>22</v>
      </c>
      <c r="M55">
        <f>IF(AND(A57&lt;&gt;" ")*(M54=12),1,1+M54)</f>
        <v>2</v>
      </c>
      <c r="N55">
        <f>IF(AND(A57&lt;&gt;" ")*(M55=1),1+N54,N54)</f>
        <v>2029</v>
      </c>
    </row>
    <row r="56" spans="1:14" ht="14.45" customHeight="1">
      <c r="A56" s="63">
        <f>IF(AND(A55&lt;$B$4)*(A55&lt;&gt;0),1+A55," ")</f>
        <v>51</v>
      </c>
      <c r="B56" s="54">
        <f>IF(A56=" "," ",+F55)</f>
        <v>47590658.259927206</v>
      </c>
      <c r="C56" s="54">
        <f>IF(A56=" "," ",+B56*I55)</f>
        <v>666031.26234768122</v>
      </c>
      <c r="D56" s="54">
        <f>+E56-C56</f>
        <v>5663516.9029597268</v>
      </c>
      <c r="E56" s="54">
        <f>IF(A56=" "," ",+J55)</f>
        <v>6329548.1653074082</v>
      </c>
      <c r="F56" s="54">
        <f>+B56-D56</f>
        <v>41927141.356967479</v>
      </c>
      <c r="G56" s="60">
        <v>9.2939999999999995E-2</v>
      </c>
      <c r="H56" s="60">
        <f>IF(A56=" "," ",+H55)</f>
        <v>7.4999999999999997E-2</v>
      </c>
      <c r="I56" s="8">
        <f>IF(A56=" "," ",((G56+H56)/12))</f>
        <v>1.3994999999999999E-2</v>
      </c>
      <c r="J56" s="2">
        <f>PMT(I56,K56,-F56,0)</f>
        <v>6329548.1653074082</v>
      </c>
      <c r="K56" s="7">
        <f>+$B$4-A56</f>
        <v>7</v>
      </c>
      <c r="L56">
        <v>22</v>
      </c>
      <c r="M56">
        <f>IF(AND(A58&lt;&gt;" ")*(M55=12),1,1+M55)</f>
        <v>3</v>
      </c>
      <c r="N56">
        <f>IF(AND(A58&lt;&gt;" ")*(M56=1),1+N55,N55)</f>
        <v>2029</v>
      </c>
    </row>
    <row r="57" spans="1:14" ht="14.45" customHeight="1">
      <c r="A57" s="63">
        <f>IF(AND(A56&lt;$B$4)*(A56&lt;&gt;0),1+A56," ")</f>
        <v>52</v>
      </c>
      <c r="B57" s="54">
        <f>IF(A57=" "," ",+F56)</f>
        <v>41927141.356967479</v>
      </c>
      <c r="C57" s="54">
        <f>IF(A57=" "," ",+B57*I56)</f>
        <v>586770.34329075983</v>
      </c>
      <c r="D57" s="54">
        <f>+E57-C57</f>
        <v>5742777.822016648</v>
      </c>
      <c r="E57" s="54">
        <f>IF(A57=" "," ",+J56)</f>
        <v>6329548.1653074082</v>
      </c>
      <c r="F57" s="54">
        <f>+B57-D57</f>
        <v>36184363.53495083</v>
      </c>
      <c r="G57" s="60">
        <v>9.2939999999999995E-2</v>
      </c>
      <c r="H57" s="60">
        <f>IF(A57=" "," ",+H56)</f>
        <v>7.4999999999999997E-2</v>
      </c>
      <c r="I57" s="8">
        <f>IF(A57=" "," ",((G57+H57)/12))</f>
        <v>1.3994999999999999E-2</v>
      </c>
      <c r="J57" s="2">
        <f>PMT(I57,K57,-F57,0)</f>
        <v>6329548.1653074082</v>
      </c>
      <c r="K57" s="7">
        <f>IF(A54=" "," ",+$B$4-A57)</f>
        <v>6</v>
      </c>
      <c r="L57">
        <v>22</v>
      </c>
      <c r="M57">
        <f>IF(AND(A59&lt;&gt;" ")*(M56=12),1,1+M56)</f>
        <v>4</v>
      </c>
      <c r="N57">
        <f>IF(AND(A59&lt;&gt;" ")*(M57=1),1+N56,N56)</f>
        <v>2029</v>
      </c>
    </row>
    <row r="58" spans="1:14" ht="14.45" customHeight="1">
      <c r="A58" s="63">
        <f>IF(AND(A57&lt;$B$4)*(A57&lt;&gt;0),1+A57," ")</f>
        <v>53</v>
      </c>
      <c r="B58" s="54">
        <f>IF(A58=" "," ",+F57)</f>
        <v>36184363.53495083</v>
      </c>
      <c r="C58" s="54">
        <f>IF(A58=" "," ",+B58*I57)</f>
        <v>506400.16767163679</v>
      </c>
      <c r="D58" s="54">
        <f>+E58-C58</f>
        <v>5823147.9976357715</v>
      </c>
      <c r="E58" s="54">
        <f>IF(A58=" "," ",+J57)</f>
        <v>6329548.1653074082</v>
      </c>
      <c r="F58" s="54">
        <f>+B58-D58</f>
        <v>30361215.537315059</v>
      </c>
      <c r="G58" s="60">
        <v>9.2939999999999995E-2</v>
      </c>
      <c r="H58" s="60">
        <f>IF(A58=" "," ",+H57)</f>
        <v>7.4999999999999997E-2</v>
      </c>
      <c r="I58" s="8">
        <f>IF(A58=" "," ",((G58+H58)/12))</f>
        <v>1.3994999999999999E-2</v>
      </c>
      <c r="J58" s="2">
        <f>PMT(I58,K58,-F58,0)</f>
        <v>6329548.1653074073</v>
      </c>
      <c r="K58" s="7">
        <f>+$B$4-A58</f>
        <v>5</v>
      </c>
      <c r="L58">
        <v>22</v>
      </c>
      <c r="M58">
        <f>IF(AND(A60&lt;&gt;" ")*(M57=12),1,1+M57)</f>
        <v>5</v>
      </c>
      <c r="N58">
        <f>IF(AND(A60&lt;&gt;" ")*(M58=1),1+N57,N57)</f>
        <v>2029</v>
      </c>
    </row>
    <row r="59" spans="1:14" ht="14.45" customHeight="1">
      <c r="A59" s="63">
        <f>IF(AND(A58&lt;$B$4)*(A58&lt;&gt;0),1+A58," ")</f>
        <v>54</v>
      </c>
      <c r="B59" s="54">
        <f>IF(A59=" "," ",+F58)</f>
        <v>30361215.537315059</v>
      </c>
      <c r="C59" s="54">
        <f>IF(A59=" "," ",+B59*I58)</f>
        <v>424905.21144472423</v>
      </c>
      <c r="D59" s="54">
        <f>+E59-C59</f>
        <v>5904642.9538626829</v>
      </c>
      <c r="E59" s="54">
        <f>IF(A59=" "," ",+J58)</f>
        <v>6329548.1653074073</v>
      </c>
      <c r="F59" s="54">
        <f>+B59-D59</f>
        <v>24456572.583452377</v>
      </c>
      <c r="G59" s="60">
        <v>9.2939999999999995E-2</v>
      </c>
      <c r="H59" s="60">
        <f>IF(A59=" "," ",+H58)</f>
        <v>7.4999999999999997E-2</v>
      </c>
      <c r="I59" s="8">
        <f>IF(A59=" "," ",((G59+H59)/12))</f>
        <v>1.3994999999999999E-2</v>
      </c>
      <c r="J59" s="2">
        <f>PMT(I59,K59,-F59,0)</f>
        <v>6329548.1653074082</v>
      </c>
      <c r="K59" s="7">
        <f>IF(A56=" "," ",+$B$4-A59)</f>
        <v>4</v>
      </c>
      <c r="L59">
        <v>22</v>
      </c>
      <c r="M59">
        <f>IF(AND(A61&lt;&gt;" ")*(M58=12),1,1+M58)</f>
        <v>6</v>
      </c>
      <c r="N59">
        <f>IF(AND(A61&lt;&gt;" ")*(M59=1),1+N58,N58)</f>
        <v>2029</v>
      </c>
    </row>
    <row r="60" spans="1:14" ht="14.45" customHeight="1">
      <c r="A60" s="63">
        <f>IF(AND(A59&lt;$B$4)*(A59&lt;&gt;0),1+A59," ")</f>
        <v>55</v>
      </c>
      <c r="B60" s="54">
        <f>IF(A60=" "," ",+F59)</f>
        <v>24456572.583452377</v>
      </c>
      <c r="C60" s="54">
        <f>IF(A60=" "," ",+B60*I59)</f>
        <v>342269.73330541601</v>
      </c>
      <c r="D60" s="54">
        <f>+E60-C60</f>
        <v>5987278.4320019921</v>
      </c>
      <c r="E60" s="54">
        <f>IF(A60=" "," ",+J59)</f>
        <v>6329548.1653074082</v>
      </c>
      <c r="F60" s="54">
        <f>+B60-D60</f>
        <v>18469294.151450384</v>
      </c>
      <c r="G60" s="60">
        <v>9.2939999999999995E-2</v>
      </c>
      <c r="H60" s="60">
        <f>IF(A60=" "," ",+H59)</f>
        <v>7.4999999999999997E-2</v>
      </c>
      <c r="I60" s="8">
        <f>IF(A60=" "," ",((G60+H60)/12))</f>
        <v>1.3994999999999999E-2</v>
      </c>
      <c r="J60" s="2">
        <f>PMT(I60,K60,-F60,0)</f>
        <v>6329548.1653074082</v>
      </c>
      <c r="K60" s="7">
        <f>+$B$4-A60</f>
        <v>3</v>
      </c>
      <c r="L60">
        <v>22</v>
      </c>
      <c r="M60">
        <f>IF(AND(A62&lt;&gt;" ")*(M59=12),1,1+M59)</f>
        <v>7</v>
      </c>
      <c r="N60">
        <f>IF(AND(A62&lt;&gt;" ")*(M60=1),1+N59,N59)</f>
        <v>2029</v>
      </c>
    </row>
    <row r="61" spans="1:14" ht="14.45" customHeight="1">
      <c r="A61" s="63">
        <f>IF(AND(A60&lt;$B$4)*(A60&lt;&gt;0),1+A60," ")</f>
        <v>56</v>
      </c>
      <c r="B61" s="54">
        <f>IF(A61=" "," ",+F60)</f>
        <v>18469294.151450384</v>
      </c>
      <c r="C61" s="54">
        <f>IF(A61=" "," ",+B61*I60)</f>
        <v>258477.77164954811</v>
      </c>
      <c r="D61" s="54">
        <f>+E61-C61</f>
        <v>6071070.3936578603</v>
      </c>
      <c r="E61" s="54">
        <f>IF(A61=" "," ",+J60)</f>
        <v>6329548.1653074082</v>
      </c>
      <c r="F61" s="54">
        <f>+B61-D61</f>
        <v>12398223.757792525</v>
      </c>
      <c r="G61" s="60">
        <v>9.2939999999999995E-2</v>
      </c>
      <c r="H61" s="60">
        <f>IF(A61=" "," ",+H60)</f>
        <v>7.4999999999999997E-2</v>
      </c>
      <c r="I61" s="8">
        <f>IF(A61=" "," ",((G61+H61)/12))</f>
        <v>1.3994999999999999E-2</v>
      </c>
      <c r="J61" s="2">
        <f>PMT(I61,K61,-F61,0)</f>
        <v>6329548.1653074082</v>
      </c>
      <c r="K61" s="7">
        <f>IF(A58=" "," ",+$B$4-A61)</f>
        <v>2</v>
      </c>
      <c r="L61">
        <v>22</v>
      </c>
      <c r="M61">
        <f>IF(AND(A63&lt;&gt;" ")*(M60=12),1,1+M60)</f>
        <v>8</v>
      </c>
      <c r="N61">
        <f>IF(AND(A63&lt;&gt;" ")*(M61=1),1+N60,N60)</f>
        <v>2029</v>
      </c>
    </row>
    <row r="62" spans="1:14" ht="14.45" customHeight="1">
      <c r="A62" s="63">
        <f>IF(AND(A61&lt;$B$4)*(A61&lt;&gt;0),1+A61," ")</f>
        <v>57</v>
      </c>
      <c r="B62" s="54">
        <f>IF(A62=" "," ",+F61)</f>
        <v>12398223.757792525</v>
      </c>
      <c r="C62" s="54">
        <f>IF(A62=" "," ",+B62*I61)</f>
        <v>173513.14149030639</v>
      </c>
      <c r="D62" s="54">
        <f>+E62-C62</f>
        <v>6156035.0238171015</v>
      </c>
      <c r="E62" s="54">
        <f>IF(A62=" "," ",+J61)</f>
        <v>6329548.1653074082</v>
      </c>
      <c r="F62" s="54">
        <f>+B62-D62</f>
        <v>6242188.7339754235</v>
      </c>
      <c r="G62" s="60">
        <v>9.2939999999999995E-2</v>
      </c>
      <c r="H62" s="60">
        <f>IF(A62=" "," ",+H61)</f>
        <v>7.4999999999999997E-2</v>
      </c>
      <c r="I62" s="8">
        <f>IF(A62=" "," ",((G62+H62)/12))</f>
        <v>1.3994999999999999E-2</v>
      </c>
      <c r="J62" s="2">
        <f>PMT(I62,K62,-F62,0)</f>
        <v>6329548.1653074091</v>
      </c>
      <c r="K62" s="7">
        <f>+$B$4-A62</f>
        <v>1</v>
      </c>
      <c r="L62">
        <v>22</v>
      </c>
      <c r="M62">
        <f>IF(AND(A64&lt;&gt;" ")*(M61=12),1,1+M61)</f>
        <v>9</v>
      </c>
      <c r="N62">
        <f>IF(AND(A64&lt;&gt;" ")*(M62=1),1+N61,N61)</f>
        <v>2029</v>
      </c>
    </row>
    <row r="63" spans="1:14" ht="14.45" customHeight="1">
      <c r="A63" s="63">
        <f>IF(AND(A62&lt;$B$4)*(A62&lt;&gt;0),1+A62," ")</f>
        <v>58</v>
      </c>
      <c r="B63" s="54">
        <f>IF(A63=" "," ",+F62)</f>
        <v>6242188.7339754235</v>
      </c>
      <c r="C63" s="54">
        <f>IF(A63=" "," ",+B63*I62)</f>
        <v>87359.431331986038</v>
      </c>
      <c r="D63" s="54">
        <f>+E63-C63</f>
        <v>6242188.7339754235</v>
      </c>
      <c r="E63" s="54">
        <f>IF(A63=" "," ",+J62)</f>
        <v>6329548.1653074091</v>
      </c>
      <c r="F63" s="54">
        <f>+B63-D63</f>
        <v>0</v>
      </c>
      <c r="G63" s="60">
        <v>9.2939999999999995E-2</v>
      </c>
      <c r="H63" s="60">
        <f>IF(A63=" "," ",+H62)</f>
        <v>7.4999999999999997E-2</v>
      </c>
      <c r="I63" s="8">
        <f>IF(A63=" "," ",((G63+H63)/12))</f>
        <v>1.3994999999999999E-2</v>
      </c>
      <c r="J63" s="2" t="e">
        <f>PMT(I63,K63,-F63,0)</f>
        <v>#NUM!</v>
      </c>
      <c r="K63" s="7">
        <f>IF(A60=" "," ",+$B$4-A63)</f>
        <v>0</v>
      </c>
      <c r="L63">
        <v>22</v>
      </c>
      <c r="M63">
        <f>IF(AND(A65&lt;&gt;" ")*(M62=12),1,1+M62)</f>
        <v>10</v>
      </c>
      <c r="N63">
        <f>IF(AND(A65&lt;&gt;" ")*(M63=1),1+N62,N62)</f>
        <v>2029</v>
      </c>
    </row>
    <row r="71" spans="28:28" ht="15" customHeight="1">
      <c r="AB71" s="32"/>
    </row>
  </sheetData>
  <mergeCells count="1">
    <mergeCell ref="Q4:X4"/>
  </mergeCells>
  <pageMargins left="0.31496062992125978" right="0" top="0.74803149606299213" bottom="0.74803149606299213" header="0.31496062992125978" footer="0.31496062992125978"/>
  <pageSetup scale="85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06"/>
  <sheetViews>
    <sheetView topLeftCell="A81" workbookViewId="0">
      <selection activeCell="C101" sqref="C101"/>
    </sheetView>
  </sheetViews>
  <sheetFormatPr defaultColWidth="11.42578125" defaultRowHeight="14.45"/>
  <cols>
    <col min="2" max="2" width="15.85546875" bestFit="1" customWidth="1"/>
    <col min="3" max="3" width="11.85546875" bestFit="1" customWidth="1"/>
  </cols>
  <sheetData>
    <row r="1" spans="2:4" ht="15" customHeight="1" thickBot="1"/>
    <row r="2" spans="2:4">
      <c r="B2" s="87" t="s">
        <v>52</v>
      </c>
      <c r="C2" s="88"/>
      <c r="D2" s="89">
        <v>7.0000000000000007E-2</v>
      </c>
    </row>
    <row r="3" spans="2:4">
      <c r="B3" s="71" t="s">
        <v>53</v>
      </c>
      <c r="C3" s="2">
        <v>12360770</v>
      </c>
      <c r="D3" s="72"/>
    </row>
    <row r="4" spans="2:4">
      <c r="B4" s="71" t="s">
        <v>54</v>
      </c>
      <c r="C4" s="2">
        <v>11904772</v>
      </c>
      <c r="D4" s="72"/>
    </row>
    <row r="5" spans="2:4">
      <c r="B5" s="71" t="s">
        <v>55</v>
      </c>
      <c r="C5" s="2">
        <f>+C3-C4</f>
        <v>455998</v>
      </c>
      <c r="D5" s="72"/>
    </row>
    <row r="6" spans="2:4">
      <c r="B6" s="71" t="s">
        <v>56</v>
      </c>
      <c r="C6" s="2">
        <v>6514262</v>
      </c>
      <c r="D6" s="72"/>
    </row>
    <row r="7" spans="2:4" ht="15" customHeight="1" thickBot="1">
      <c r="B7" s="76" t="s">
        <v>57</v>
      </c>
      <c r="C7" s="90">
        <f>+C6*D2</f>
        <v>455998.34</v>
      </c>
      <c r="D7" s="78"/>
    </row>
    <row r="8" spans="2:4" ht="15" customHeight="1" thickBot="1"/>
    <row r="9" spans="2:4">
      <c r="B9" s="87" t="s">
        <v>52</v>
      </c>
      <c r="C9" s="88"/>
      <c r="D9" s="89">
        <v>7.0000000000000007E-2</v>
      </c>
    </row>
    <row r="10" spans="2:4">
      <c r="B10" s="71" t="s">
        <v>53</v>
      </c>
      <c r="C10" s="2">
        <v>12349624</v>
      </c>
      <c r="D10" s="72"/>
    </row>
    <row r="11" spans="2:4">
      <c r="B11" s="71" t="s">
        <v>54</v>
      </c>
      <c r="C11" s="2">
        <v>11885914</v>
      </c>
      <c r="D11" s="72"/>
    </row>
    <row r="12" spans="2:4">
      <c r="B12" s="71" t="s">
        <v>55</v>
      </c>
      <c r="C12" s="2">
        <f>+C10-C11</f>
        <v>463710</v>
      </c>
      <c r="D12" s="72"/>
    </row>
    <row r="13" spans="2:4">
      <c r="B13" s="71" t="s">
        <v>56</v>
      </c>
      <c r="C13" s="2">
        <v>6624435</v>
      </c>
      <c r="D13" s="72"/>
    </row>
    <row r="14" spans="2:4" ht="15" customHeight="1" thickBot="1">
      <c r="B14" s="76" t="s">
        <v>57</v>
      </c>
      <c r="C14" s="90">
        <f>+C13*D9</f>
        <v>463710.45000000007</v>
      </c>
      <c r="D14" s="78"/>
    </row>
    <row r="15" spans="2:4" ht="15" customHeight="1" thickBot="1"/>
    <row r="16" spans="2:4">
      <c r="B16" s="87" t="s">
        <v>58</v>
      </c>
      <c r="C16" s="88"/>
      <c r="D16" s="89">
        <v>7.0000000000000007E-2</v>
      </c>
    </row>
    <row r="17" spans="2:4">
      <c r="B17" s="71" t="s">
        <v>53</v>
      </c>
      <c r="C17" s="2">
        <v>12340016</v>
      </c>
      <c r="D17" s="72"/>
    </row>
    <row r="18" spans="2:4">
      <c r="B18" s="71" t="s">
        <v>54</v>
      </c>
      <c r="C18" s="2">
        <v>11898378</v>
      </c>
      <c r="D18" s="72"/>
    </row>
    <row r="19" spans="2:4">
      <c r="B19" s="71" t="s">
        <v>55</v>
      </c>
      <c r="C19" s="2">
        <f>+C17-C18</f>
        <v>441638</v>
      </c>
      <c r="D19" s="72"/>
    </row>
    <row r="20" spans="2:4">
      <c r="B20" s="71" t="s">
        <v>56</v>
      </c>
      <c r="C20" s="2">
        <v>6309116</v>
      </c>
      <c r="D20" s="72"/>
    </row>
    <row r="21" spans="2:4" ht="15" customHeight="1" thickBot="1">
      <c r="B21" s="76" t="s">
        <v>57</v>
      </c>
      <c r="C21" s="90">
        <f>+C20*D16</f>
        <v>441638.12000000005</v>
      </c>
      <c r="D21" s="78"/>
    </row>
    <row r="22" spans="2:4" ht="15" customHeight="1" thickBot="1"/>
    <row r="23" spans="2:4">
      <c r="B23" s="87" t="s">
        <v>59</v>
      </c>
      <c r="C23" s="88"/>
      <c r="D23" s="89">
        <v>7.0000000000000007E-2</v>
      </c>
    </row>
    <row r="24" spans="2:4">
      <c r="B24" s="71" t="s">
        <v>53</v>
      </c>
      <c r="C24" s="2">
        <v>12354231</v>
      </c>
      <c r="D24" s="72"/>
    </row>
    <row r="25" spans="2:4">
      <c r="B25" s="71" t="s">
        <v>54</v>
      </c>
      <c r="C25" s="2">
        <v>11902436</v>
      </c>
      <c r="D25" s="72"/>
    </row>
    <row r="26" spans="2:4">
      <c r="B26" s="71" t="s">
        <v>55</v>
      </c>
      <c r="C26" s="2">
        <f>+C24-C25</f>
        <v>451795</v>
      </c>
      <c r="D26" s="72"/>
    </row>
    <row r="27" spans="2:4">
      <c r="B27" s="71" t="s">
        <v>56</v>
      </c>
      <c r="C27" s="2">
        <v>6454223</v>
      </c>
      <c r="D27" s="72"/>
    </row>
    <row r="28" spans="2:4" ht="15" customHeight="1" thickBot="1">
      <c r="B28" s="76" t="s">
        <v>57</v>
      </c>
      <c r="C28" s="90">
        <f>+C27*D23</f>
        <v>451795.61000000004</v>
      </c>
      <c r="D28" s="78"/>
    </row>
    <row r="29" spans="2:4" ht="15" customHeight="1" thickBot="1"/>
    <row r="30" spans="2:4">
      <c r="B30" s="87" t="s">
        <v>60</v>
      </c>
      <c r="C30" s="88"/>
      <c r="D30" s="89">
        <v>7.0000000000000007E-2</v>
      </c>
    </row>
    <row r="31" spans="2:4">
      <c r="B31" s="71" t="s">
        <v>53</v>
      </c>
      <c r="C31" s="2">
        <v>12362826</v>
      </c>
      <c r="D31" s="72"/>
    </row>
    <row r="32" spans="2:4">
      <c r="B32" s="71" t="s">
        <v>54</v>
      </c>
      <c r="C32" s="2">
        <v>11945172</v>
      </c>
      <c r="D32" s="72"/>
    </row>
    <row r="33" spans="2:4">
      <c r="B33" s="71" t="s">
        <v>55</v>
      </c>
      <c r="C33" s="2">
        <f>+C31-C32</f>
        <v>417654</v>
      </c>
      <c r="D33" s="72"/>
    </row>
    <row r="34" spans="2:4">
      <c r="B34" s="71" t="s">
        <v>56</v>
      </c>
      <c r="C34" s="2">
        <v>5966487</v>
      </c>
      <c r="D34" s="72"/>
    </row>
    <row r="35" spans="2:4" ht="15" customHeight="1" thickBot="1">
      <c r="B35" s="76" t="s">
        <v>57</v>
      </c>
      <c r="C35" s="90">
        <f>+C34*D30</f>
        <v>417654.09</v>
      </c>
      <c r="D35" s="78"/>
    </row>
    <row r="36" spans="2:4" ht="15" customHeight="1" thickBot="1"/>
    <row r="37" spans="2:4">
      <c r="B37" s="87" t="s">
        <v>61</v>
      </c>
      <c r="C37" s="88"/>
      <c r="D37" s="89">
        <v>7.0000000000000007E-2</v>
      </c>
    </row>
    <row r="38" spans="2:4">
      <c r="B38" s="71" t="s">
        <v>53</v>
      </c>
      <c r="C38" s="2">
        <v>12354177</v>
      </c>
      <c r="D38" s="72"/>
    </row>
    <row r="39" spans="2:4">
      <c r="B39" s="71" t="s">
        <v>54</v>
      </c>
      <c r="C39" s="2">
        <v>11915224</v>
      </c>
      <c r="D39" s="72"/>
    </row>
    <row r="40" spans="2:4">
      <c r="B40" s="71" t="s">
        <v>55</v>
      </c>
      <c r="C40" s="2">
        <f>+C38-C39</f>
        <v>438953</v>
      </c>
      <c r="D40" s="72"/>
    </row>
    <row r="41" spans="2:4">
      <c r="B41" s="71" t="s">
        <v>56</v>
      </c>
      <c r="C41" s="2">
        <v>6270762</v>
      </c>
      <c r="D41" s="72"/>
    </row>
    <row r="42" spans="2:4" ht="15" customHeight="1" thickBot="1">
      <c r="B42" s="76" t="s">
        <v>57</v>
      </c>
      <c r="C42" s="90">
        <f>+C41*D37</f>
        <v>438953.34</v>
      </c>
      <c r="D42" s="78"/>
    </row>
    <row r="43" spans="2:4" ht="15" customHeight="1" thickBot="1"/>
    <row r="44" spans="2:4">
      <c r="B44" s="87" t="s">
        <v>62</v>
      </c>
      <c r="C44" s="88"/>
      <c r="D44" s="89">
        <v>7.0000000000000007E-2</v>
      </c>
    </row>
    <row r="45" spans="2:4">
      <c r="B45" s="71" t="s">
        <v>53</v>
      </c>
      <c r="C45" s="2">
        <v>12377063</v>
      </c>
      <c r="D45" s="72"/>
    </row>
    <row r="46" spans="2:4">
      <c r="B46" s="71" t="s">
        <v>54</v>
      </c>
      <c r="C46" s="2">
        <v>11971215</v>
      </c>
      <c r="D46" s="72"/>
    </row>
    <row r="47" spans="2:4">
      <c r="B47" s="71" t="s">
        <v>55</v>
      </c>
      <c r="C47" s="2">
        <f>+C45-C46</f>
        <v>405848</v>
      </c>
      <c r="D47" s="72"/>
    </row>
    <row r="48" spans="2:4">
      <c r="B48" s="71" t="s">
        <v>56</v>
      </c>
      <c r="C48" s="2">
        <v>5797840</v>
      </c>
      <c r="D48" s="72"/>
    </row>
    <row r="49" spans="2:4" ht="15" customHeight="1" thickBot="1">
      <c r="B49" s="76" t="s">
        <v>57</v>
      </c>
      <c r="C49" s="90">
        <f>+C48*D44</f>
        <v>405848.80000000005</v>
      </c>
      <c r="D49" s="78"/>
    </row>
    <row r="51" spans="2:4">
      <c r="B51" s="87" t="s">
        <v>63</v>
      </c>
      <c r="C51" s="88"/>
      <c r="D51" s="89">
        <v>7.0000000000000007E-2</v>
      </c>
    </row>
    <row r="52" spans="2:4">
      <c r="B52" s="71" t="s">
        <v>53</v>
      </c>
      <c r="C52" s="2">
        <v>12372383</v>
      </c>
      <c r="D52" s="72"/>
    </row>
    <row r="53" spans="2:4">
      <c r="B53" s="71" t="s">
        <v>54</v>
      </c>
      <c r="C53" s="2">
        <v>11972250</v>
      </c>
      <c r="D53" s="72"/>
    </row>
    <row r="54" spans="2:4">
      <c r="B54" s="71" t="s">
        <v>55</v>
      </c>
      <c r="C54" s="2">
        <f>+C52-C53</f>
        <v>400133</v>
      </c>
      <c r="D54" s="72"/>
    </row>
    <row r="55" spans="2:4">
      <c r="B55" s="71" t="s">
        <v>56</v>
      </c>
      <c r="C55" s="2">
        <v>5712330</v>
      </c>
      <c r="D55" s="72"/>
    </row>
    <row r="56" spans="2:4">
      <c r="B56" s="76" t="s">
        <v>57</v>
      </c>
      <c r="C56" s="90">
        <f>+C55*D51</f>
        <v>399863.10000000003</v>
      </c>
      <c r="D56" s="78"/>
    </row>
    <row r="57" spans="2:4" ht="15" customHeight="1" thickBot="1"/>
    <row r="58" spans="2:4">
      <c r="B58" s="87" t="s">
        <v>64</v>
      </c>
      <c r="C58" s="88"/>
      <c r="D58" s="89">
        <v>7.0000000000000007E-2</v>
      </c>
    </row>
    <row r="59" spans="2:4">
      <c r="B59" s="71" t="s">
        <v>53</v>
      </c>
      <c r="C59" s="2">
        <v>12461911</v>
      </c>
      <c r="D59" s="72"/>
    </row>
    <row r="60" spans="2:4">
      <c r="B60" s="71" t="s">
        <v>54</v>
      </c>
      <c r="C60" s="2">
        <v>12059854</v>
      </c>
      <c r="D60" s="72"/>
    </row>
    <row r="61" spans="2:4">
      <c r="B61" s="71" t="s">
        <v>55</v>
      </c>
      <c r="C61" s="2">
        <f>+C59-C60</f>
        <v>402057</v>
      </c>
      <c r="D61" s="72"/>
    </row>
    <row r="62" spans="2:4">
      <c r="B62" s="71" t="s">
        <v>56</v>
      </c>
      <c r="C62" s="2">
        <v>5743677</v>
      </c>
      <c r="D62" s="72"/>
    </row>
    <row r="63" spans="2:4" ht="15" customHeight="1" thickBot="1">
      <c r="B63" s="76" t="s">
        <v>57</v>
      </c>
      <c r="C63" s="90">
        <f>+C62*D58</f>
        <v>402057.39</v>
      </c>
      <c r="D63" s="78"/>
    </row>
    <row r="64" spans="2:4" ht="15" customHeight="1" thickBot="1"/>
    <row r="65" spans="2:4">
      <c r="B65" s="87" t="s">
        <v>65</v>
      </c>
      <c r="C65" s="88"/>
      <c r="D65" s="89">
        <v>7.0000000000000007E-2</v>
      </c>
    </row>
    <row r="66" spans="2:4">
      <c r="B66" s="71" t="s">
        <v>53</v>
      </c>
      <c r="C66" s="2">
        <v>12554648</v>
      </c>
      <c r="D66" s="72"/>
    </row>
    <row r="67" spans="2:4">
      <c r="B67" s="71" t="s">
        <v>54</v>
      </c>
      <c r="C67" s="2">
        <v>12146311</v>
      </c>
      <c r="D67" s="72"/>
    </row>
    <row r="68" spans="2:4">
      <c r="B68" s="71" t="s">
        <v>55</v>
      </c>
      <c r="C68" s="2">
        <f>+C66-C67</f>
        <v>408337</v>
      </c>
      <c r="D68" s="72"/>
    </row>
    <row r="69" spans="2:4">
      <c r="B69" s="71" t="s">
        <v>56</v>
      </c>
      <c r="C69" s="2">
        <v>5833392</v>
      </c>
      <c r="D69" s="72"/>
    </row>
    <row r="70" spans="2:4" ht="15" customHeight="1" thickBot="1">
      <c r="B70" s="76" t="s">
        <v>57</v>
      </c>
      <c r="C70" s="90">
        <f>+C69*D65</f>
        <v>408337.44000000006</v>
      </c>
      <c r="D70" s="78"/>
    </row>
    <row r="71" spans="2:4" ht="15" customHeight="1" thickBot="1"/>
    <row r="72" spans="2:4">
      <c r="B72" s="87" t="s">
        <v>45</v>
      </c>
      <c r="C72" s="88"/>
      <c r="D72" s="89">
        <v>7.0000000000000007E-2</v>
      </c>
    </row>
    <row r="73" spans="2:4">
      <c r="B73" s="71" t="s">
        <v>53</v>
      </c>
      <c r="C73" s="2">
        <v>6361104</v>
      </c>
      <c r="D73" s="72"/>
    </row>
    <row r="74" spans="2:4">
      <c r="B74" s="71" t="s">
        <v>54</v>
      </c>
      <c r="C74" s="2">
        <v>6152233</v>
      </c>
      <c r="D74" s="72"/>
    </row>
    <row r="75" spans="2:4">
      <c r="B75" s="71" t="s">
        <v>55</v>
      </c>
      <c r="C75" s="2">
        <f>+C73-C74</f>
        <v>208871</v>
      </c>
      <c r="D75" s="72"/>
    </row>
    <row r="76" spans="2:4">
      <c r="B76" s="71" t="s">
        <v>56</v>
      </c>
      <c r="C76" s="2">
        <v>2983884</v>
      </c>
      <c r="D76" s="72"/>
    </row>
    <row r="77" spans="2:4" ht="15" customHeight="1" thickBot="1">
      <c r="B77" s="76" t="s">
        <v>57</v>
      </c>
      <c r="C77" s="90">
        <f>+C76*D72</f>
        <v>208871.88000000003</v>
      </c>
      <c r="D77" s="78"/>
    </row>
    <row r="78" spans="2:4" ht="15" customHeight="1" thickBot="1"/>
    <row r="79" spans="2:4">
      <c r="B79" s="87" t="s">
        <v>51</v>
      </c>
      <c r="C79" s="88"/>
      <c r="D79" s="89">
        <v>7.0000000000000007E-2</v>
      </c>
    </row>
    <row r="80" spans="2:4">
      <c r="B80" s="71" t="s">
        <v>53</v>
      </c>
      <c r="C80" s="2">
        <v>6412409</v>
      </c>
      <c r="D80" s="72"/>
    </row>
    <row r="81" spans="2:4">
      <c r="B81" s="71" t="s">
        <v>54</v>
      </c>
      <c r="C81" s="2">
        <v>6186566</v>
      </c>
      <c r="D81" s="72"/>
    </row>
    <row r="82" spans="2:4">
      <c r="B82" s="71" t="s">
        <v>55</v>
      </c>
      <c r="C82" s="2">
        <f>+C80-C81</f>
        <v>225843</v>
      </c>
      <c r="D82" s="72"/>
    </row>
    <row r="83" spans="2:4">
      <c r="B83" s="71" t="s">
        <v>56</v>
      </c>
      <c r="C83" s="2">
        <v>3226337</v>
      </c>
      <c r="D83" s="72"/>
    </row>
    <row r="84" spans="2:4" ht="15" customHeight="1" thickBot="1">
      <c r="B84" s="76" t="s">
        <v>57</v>
      </c>
      <c r="C84" s="90">
        <f>+C83*D79</f>
        <v>225843.59000000003</v>
      </c>
      <c r="D84" s="78"/>
    </row>
    <row r="86" spans="2:4">
      <c r="B86" s="87" t="s">
        <v>52</v>
      </c>
      <c r="C86" s="88"/>
      <c r="D86" s="89">
        <v>7.0000000000000007E-2</v>
      </c>
    </row>
    <row r="87" spans="2:4">
      <c r="B87" s="71" t="s">
        <v>53</v>
      </c>
      <c r="C87" s="2">
        <v>6390247</v>
      </c>
      <c r="D87" s="72"/>
    </row>
    <row r="88" spans="2:4">
      <c r="B88" s="71" t="s">
        <v>54</v>
      </c>
      <c r="C88" s="2">
        <v>6185222</v>
      </c>
      <c r="D88" s="72"/>
    </row>
    <row r="89" spans="2:4">
      <c r="B89" s="71" t="s">
        <v>55</v>
      </c>
      <c r="C89" s="2">
        <f>+C87-C88</f>
        <v>205025</v>
      </c>
      <c r="D89" s="72"/>
    </row>
    <row r="90" spans="2:4">
      <c r="B90" s="71" t="s">
        <v>56</v>
      </c>
      <c r="C90" s="2">
        <v>2928937</v>
      </c>
      <c r="D90" s="72"/>
    </row>
    <row r="91" spans="2:4">
      <c r="B91" s="76" t="s">
        <v>57</v>
      </c>
      <c r="C91" s="90">
        <f>+C90*D86</f>
        <v>205025.59000000003</v>
      </c>
      <c r="D91" s="78"/>
    </row>
    <row r="92" spans="2:4" ht="15" customHeight="1"/>
    <row r="93" spans="2:4" ht="15" customHeight="1">
      <c r="B93" s="87" t="s">
        <v>66</v>
      </c>
      <c r="C93" s="88"/>
      <c r="D93" s="89">
        <v>7.0000000000000007E-2</v>
      </c>
    </row>
    <row r="94" spans="2:4" ht="15" customHeight="1">
      <c r="B94" s="71" t="s">
        <v>53</v>
      </c>
      <c r="C94" s="2">
        <v>6425375</v>
      </c>
      <c r="D94" s="72"/>
    </row>
    <row r="95" spans="2:4" ht="15" customHeight="1">
      <c r="B95" s="71" t="s">
        <v>54</v>
      </c>
      <c r="C95" s="2">
        <v>6219979</v>
      </c>
      <c r="D95" s="72"/>
    </row>
    <row r="96" spans="2:4" ht="15" customHeight="1">
      <c r="B96" s="71" t="s">
        <v>55</v>
      </c>
      <c r="C96" s="2">
        <f>+C94-C95</f>
        <v>205396</v>
      </c>
      <c r="D96" s="72"/>
    </row>
    <row r="97" spans="2:4" ht="15" customHeight="1">
      <c r="B97" s="71" t="s">
        <v>56</v>
      </c>
      <c r="C97" s="2">
        <v>2934227</v>
      </c>
      <c r="D97" s="72"/>
    </row>
    <row r="98" spans="2:4" ht="15" customHeight="1">
      <c r="B98" s="76" t="s">
        <v>57</v>
      </c>
      <c r="C98" s="90">
        <f>+C97*D93</f>
        <v>205395.89</v>
      </c>
      <c r="D98" s="78"/>
    </row>
    <row r="99" spans="2:4" ht="15" customHeight="1"/>
    <row r="100" spans="2:4" ht="15" customHeight="1">
      <c r="B100" s="87" t="s">
        <v>58</v>
      </c>
      <c r="C100" s="88"/>
      <c r="D100" s="89">
        <v>7.0000000000000007E-2</v>
      </c>
    </row>
    <row r="101" spans="2:4" ht="15" customHeight="1">
      <c r="B101" s="71" t="s">
        <v>53</v>
      </c>
      <c r="C101" s="2">
        <v>6479752</v>
      </c>
      <c r="D101" s="72"/>
    </row>
    <row r="102" spans="2:4" ht="15" customHeight="1">
      <c r="B102" s="71" t="s">
        <v>54</v>
      </c>
      <c r="C102" s="2">
        <v>6271890</v>
      </c>
      <c r="D102" s="72"/>
    </row>
    <row r="103" spans="2:4" ht="15" customHeight="1">
      <c r="B103" s="71" t="s">
        <v>55</v>
      </c>
      <c r="C103" s="2">
        <f>+C101-C102</f>
        <v>207862</v>
      </c>
      <c r="D103" s="72"/>
    </row>
    <row r="104" spans="2:4" ht="15" customHeight="1">
      <c r="B104" s="71" t="s">
        <v>56</v>
      </c>
      <c r="C104" s="2">
        <v>2969458</v>
      </c>
      <c r="D104" s="72"/>
    </row>
    <row r="105" spans="2:4" ht="15" customHeight="1">
      <c r="B105" s="76" t="s">
        <v>57</v>
      </c>
      <c r="C105" s="90">
        <f>+C104*D100</f>
        <v>207862.06000000003</v>
      </c>
      <c r="D105" s="78"/>
    </row>
    <row r="106" spans="2:4" ht="1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showGridLines="0" workbookViewId="0">
      <selection activeCell="B20" sqref="B20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customHeight="1" thickBot="1"/>
    <row r="2" spans="1:4" ht="15" customHeight="1" thickBot="1">
      <c r="A2" s="125" t="s">
        <v>23</v>
      </c>
      <c r="B2" s="129"/>
      <c r="C2" s="129"/>
      <c r="D2" s="130"/>
    </row>
    <row r="3" spans="1:4" ht="26.45" customHeight="1">
      <c r="A3" s="22" t="s">
        <v>36</v>
      </c>
      <c r="B3" s="15" t="s">
        <v>37</v>
      </c>
      <c r="C3" s="16" t="s">
        <v>38</v>
      </c>
      <c r="D3" s="23" t="s">
        <v>42</v>
      </c>
    </row>
    <row r="4" spans="1:4">
      <c r="A4" s="24"/>
      <c r="B4" s="21"/>
      <c r="C4" s="21"/>
      <c r="D4" s="25"/>
    </row>
    <row r="5" spans="1:4">
      <c r="A5" s="24"/>
      <c r="B5" s="21"/>
      <c r="C5" s="21"/>
      <c r="D5" s="26"/>
    </row>
    <row r="6" spans="1:4" ht="15" customHeight="1" thickBot="1">
      <c r="A6" s="27"/>
      <c r="B6" s="28"/>
      <c r="C6" s="29"/>
      <c r="D6" s="30"/>
    </row>
  </sheetData>
  <mergeCells count="1">
    <mergeCell ref="A2:D2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18"/>
  <sheetViews>
    <sheetView workbookViewId="0">
      <selection activeCell="B18" sqref="B18"/>
    </sheetView>
  </sheetViews>
  <sheetFormatPr defaultColWidth="11.42578125" defaultRowHeight="14.45"/>
  <cols>
    <col min="1" max="4" width="13.5703125" bestFit="1" customWidth="1"/>
    <col min="6" max="6" width="13.5703125" customWidth="1"/>
    <col min="8" max="11" width="13.5703125" bestFit="1" customWidth="1"/>
  </cols>
  <sheetData>
    <row r="2" spans="1:10">
      <c r="A2" s="127" t="s">
        <v>67</v>
      </c>
      <c r="B2" s="131"/>
      <c r="C2" s="131"/>
      <c r="D2" s="132"/>
      <c r="G2" s="126" t="s">
        <v>68</v>
      </c>
      <c r="H2" s="131"/>
      <c r="I2" s="131"/>
      <c r="J2" s="132"/>
    </row>
    <row r="4" spans="1:10" ht="26.45" customHeight="1">
      <c r="A4" s="40" t="s">
        <v>36</v>
      </c>
      <c r="B4" s="41" t="s">
        <v>37</v>
      </c>
      <c r="C4" s="42" t="s">
        <v>38</v>
      </c>
      <c r="D4" s="48" t="s">
        <v>42</v>
      </c>
      <c r="F4" s="43" t="s">
        <v>69</v>
      </c>
      <c r="G4" s="43" t="s">
        <v>36</v>
      </c>
      <c r="H4" s="44" t="s">
        <v>37</v>
      </c>
      <c r="I4" s="45" t="s">
        <v>38</v>
      </c>
      <c r="J4" s="45" t="s">
        <v>70</v>
      </c>
    </row>
    <row r="5" spans="1:10">
      <c r="A5" s="47">
        <v>45092</v>
      </c>
      <c r="B5" s="21">
        <v>11579428</v>
      </c>
      <c r="C5" s="21">
        <v>5047163</v>
      </c>
      <c r="D5" s="21">
        <f>+C5+B5</f>
        <v>16626591</v>
      </c>
      <c r="F5" s="46">
        <v>1</v>
      </c>
      <c r="G5" s="35">
        <v>45092</v>
      </c>
      <c r="H5" s="17">
        <v>11579428</v>
      </c>
      <c r="I5" s="17">
        <v>5047163</v>
      </c>
      <c r="J5" s="37">
        <f>+H5+I5</f>
        <v>16626591</v>
      </c>
    </row>
    <row r="6" spans="1:10">
      <c r="A6" s="35">
        <v>45121</v>
      </c>
      <c r="B6" s="21">
        <v>11095536</v>
      </c>
      <c r="C6" s="49">
        <v>5531054</v>
      </c>
      <c r="D6" s="21">
        <f>+C6+B6</f>
        <v>16626590</v>
      </c>
      <c r="F6" s="34">
        <v>2</v>
      </c>
      <c r="G6" s="35">
        <v>45122</v>
      </c>
      <c r="H6" s="21">
        <v>11478140</v>
      </c>
      <c r="I6" s="21">
        <v>5148450</v>
      </c>
      <c r="J6" s="37">
        <f>SUM(H6:I6)</f>
        <v>16626590</v>
      </c>
    </row>
    <row r="7" spans="1:10">
      <c r="A7" s="35">
        <v>45153</v>
      </c>
      <c r="B7" s="21"/>
      <c r="C7" s="21"/>
      <c r="D7" s="21">
        <f>+C7+B7</f>
        <v>0</v>
      </c>
      <c r="F7" s="34">
        <v>3</v>
      </c>
      <c r="G7" s="35">
        <v>45153</v>
      </c>
      <c r="H7" s="21">
        <v>11368085</v>
      </c>
      <c r="I7" s="21">
        <v>5247935</v>
      </c>
      <c r="J7" s="37">
        <f>SUM(H7:I7)</f>
        <v>16616020</v>
      </c>
    </row>
    <row r="8" spans="1:10">
      <c r="A8" s="36"/>
      <c r="B8" s="38"/>
      <c r="C8" s="37"/>
      <c r="D8" s="37"/>
    </row>
    <row r="11" spans="1:10">
      <c r="A11" s="128" t="s">
        <v>71</v>
      </c>
      <c r="B11" s="131"/>
      <c r="C11" s="131"/>
      <c r="D11" s="132"/>
    </row>
    <row r="13" spans="1:10">
      <c r="A13" s="39">
        <v>45047</v>
      </c>
      <c r="B13" s="39">
        <v>45078</v>
      </c>
      <c r="C13" s="39">
        <v>45108</v>
      </c>
    </row>
    <row r="14" spans="1:10">
      <c r="A14" s="20">
        <v>5789714.166666666</v>
      </c>
      <c r="B14" s="20">
        <v>5789714</v>
      </c>
      <c r="C14" s="20">
        <v>5356465.8998543695</v>
      </c>
    </row>
    <row r="15" spans="1:10">
      <c r="A15" s="32"/>
      <c r="B15" s="33">
        <v>5739070.1001456305</v>
      </c>
      <c r="C15" s="33">
        <v>5684042.6006204812</v>
      </c>
    </row>
    <row r="16" spans="1:10">
      <c r="A16" s="20">
        <f>SUM(A14:A15)</f>
        <v>5789714.166666666</v>
      </c>
      <c r="B16" s="20">
        <f>SUM(B14:B15)</f>
        <v>11528784.100145631</v>
      </c>
      <c r="C16" s="20">
        <f>SUM(C14:C15)</f>
        <v>11040508.500474852</v>
      </c>
    </row>
    <row r="18" spans="1:2">
      <c r="A18" s="20">
        <f>+A16+B14</f>
        <v>11579428.166666666</v>
      </c>
      <c r="B18" s="20">
        <f>+B15+C14</f>
        <v>11095536</v>
      </c>
    </row>
  </sheetData>
  <mergeCells count="3">
    <mergeCell ref="G2:J2"/>
    <mergeCell ref="A2:D2"/>
    <mergeCell ref="A11:D11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"/>
  <sheetViews>
    <sheetView workbookViewId="0"/>
  </sheetViews>
  <sheetFormatPr defaultRowHeight="15"/>
  <sheetData>
    <row r="1" spans="1:21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</row>
    <row r="2" spans="1:21">
      <c r="A2" t="s">
        <v>93</v>
      </c>
      <c r="B2" t="s">
        <v>94</v>
      </c>
      <c r="C2" t="s">
        <v>95</v>
      </c>
      <c r="D2" t="s">
        <v>96</v>
      </c>
      <c r="E2">
        <v>26</v>
      </c>
      <c r="F2" t="s">
        <v>97</v>
      </c>
      <c r="G2" t="s">
        <v>98</v>
      </c>
      <c r="H2" t="s">
        <v>99</v>
      </c>
      <c r="I2" t="s">
        <v>100</v>
      </c>
      <c r="J2">
        <v>26</v>
      </c>
      <c r="K2">
        <v>24</v>
      </c>
      <c r="L2" t="s">
        <v>101</v>
      </c>
      <c r="M2" t="s">
        <v>102</v>
      </c>
      <c r="N2" t="s">
        <v>97</v>
      </c>
      <c r="O2" t="s">
        <v>103</v>
      </c>
      <c r="Q2" t="s">
        <v>104</v>
      </c>
      <c r="R2" t="s">
        <v>103</v>
      </c>
      <c r="S2" t="s">
        <v>105</v>
      </c>
      <c r="T2" t="s">
        <v>106</v>
      </c>
      <c r="U2" t="s">
        <v>107</v>
      </c>
    </row>
    <row r="3" spans="1:21">
      <c r="A3" t="s">
        <v>93</v>
      </c>
      <c r="B3" t="s">
        <v>94</v>
      </c>
      <c r="C3" t="s">
        <v>95</v>
      </c>
      <c r="D3" t="s">
        <v>96</v>
      </c>
      <c r="E3">
        <v>27</v>
      </c>
      <c r="F3" t="s">
        <v>97</v>
      </c>
      <c r="G3" t="s">
        <v>108</v>
      </c>
      <c r="H3" t="s">
        <v>109</v>
      </c>
      <c r="I3" t="s">
        <v>110</v>
      </c>
      <c r="J3">
        <v>27</v>
      </c>
      <c r="K3">
        <v>24</v>
      </c>
      <c r="L3" t="s">
        <v>111</v>
      </c>
      <c r="M3" t="s">
        <v>112</v>
      </c>
      <c r="N3" t="s">
        <v>97</v>
      </c>
      <c r="O3" t="s">
        <v>103</v>
      </c>
      <c r="Q3" t="s">
        <v>104</v>
      </c>
      <c r="R3" t="s">
        <v>103</v>
      </c>
      <c r="S3" t="s">
        <v>105</v>
      </c>
      <c r="T3" t="s">
        <v>106</v>
      </c>
      <c r="U3" t="s">
        <v>107</v>
      </c>
    </row>
  </sheetData>
  <sheetProtection password="CE4B" sheet="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B862FA-307D-43F5-849E-67506AFB2567}"/>
</file>

<file path=customXml/itemProps2.xml><?xml version="1.0" encoding="utf-8"?>
<ds:datastoreItem xmlns:ds="http://schemas.openxmlformats.org/officeDocument/2006/customXml" ds:itemID="{4FE4E17E-9A14-48B1-903D-A01F4D4C8FC3}"/>
</file>

<file path=customXml/itemProps3.xml><?xml version="1.0" encoding="utf-8"?>
<ds:datastoreItem xmlns:ds="http://schemas.openxmlformats.org/officeDocument/2006/customXml" ds:itemID="{9B077FE2-42B0-4F33-92BB-0CF683976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/>
  <cp:revision/>
  <dcterms:created xsi:type="dcterms:W3CDTF">2022-09-29T19:09:30Z</dcterms:created>
  <dcterms:modified xsi:type="dcterms:W3CDTF">2026-08-21T10:57:14Z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