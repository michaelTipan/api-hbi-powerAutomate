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xr:revisionPtr revIDLastSave="0" documentId="8_{1CC11D0A-A04A-4B10-8839-2ECC7AB72966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TasaImplicita" sheetId="1" state="hidden" r:id="rId1"/>
    <sheet name="INGEOROZCOL" sheetId="2" r:id="rId2"/>
    <sheet name="Hoja1" sheetId="3" r:id="rId3"/>
    <sheet name="Hoja2" sheetId="4" r:id="rId4"/>
    <sheet name="_AUTOMATION_LO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4" l="1"/>
  <c r="L25" i="4"/>
  <c r="L24" i="4"/>
  <c r="L23" i="4"/>
  <c r="L22" i="4"/>
  <c r="L21" i="4"/>
  <c r="L20" i="4"/>
  <c r="L19" i="4"/>
  <c r="L18" i="4"/>
  <c r="B18" i="4"/>
  <c r="L17" i="4"/>
  <c r="L16" i="4"/>
  <c r="C16" i="4"/>
  <c r="B16" i="4"/>
  <c r="A16" i="4"/>
  <c r="A18" i="4" s="1"/>
  <c r="J7" i="4"/>
  <c r="D7" i="4"/>
  <c r="J6" i="4"/>
  <c r="D6" i="4"/>
  <c r="J5" i="4"/>
  <c r="D5" i="4"/>
  <c r="A13" i="1"/>
  <c r="B11" i="1"/>
  <c r="C11" i="1" s="1"/>
  <c r="B4" i="1"/>
  <c r="B5" i="1" s="1"/>
  <c r="B7" i="1" s="1"/>
  <c r="B12" i="1" s="1"/>
  <c r="G2" i="1"/>
  <c r="K1" i="1"/>
  <c r="K5" i="1" s="1"/>
  <c r="G1" i="1"/>
  <c r="G5" i="1" s="1"/>
  <c r="W66" i="2"/>
  <c r="AC49" i="2"/>
  <c r="O36" i="2"/>
  <c r="P36" i="2" s="1"/>
  <c r="X64" i="2" s="1"/>
  <c r="O35" i="2"/>
  <c r="O34" i="2"/>
  <c r="O33" i="2"/>
  <c r="D33" i="2"/>
  <c r="V32" i="2"/>
  <c r="O32" i="2"/>
  <c r="D32" i="2"/>
  <c r="V31" i="2"/>
  <c r="O31" i="2"/>
  <c r="V30" i="2"/>
  <c r="O30" i="2"/>
  <c r="V29" i="2"/>
  <c r="O29" i="2"/>
  <c r="D29" i="2"/>
  <c r="V28" i="2"/>
  <c r="O28" i="2"/>
  <c r="V27" i="2"/>
  <c r="O27" i="2"/>
  <c r="V26" i="2"/>
  <c r="O26" i="2"/>
  <c r="D26" i="2"/>
  <c r="V25" i="2"/>
  <c r="O25" i="2"/>
  <c r="D25" i="2"/>
  <c r="V24" i="2"/>
  <c r="O24" i="2"/>
  <c r="D24" i="2"/>
  <c r="V23" i="2"/>
  <c r="O23" i="2"/>
  <c r="D23" i="2"/>
  <c r="V22" i="2"/>
  <c r="D22" i="2"/>
  <c r="V20" i="2"/>
  <c r="S19" i="2"/>
  <c r="V19" i="2" s="1"/>
  <c r="D19" i="2"/>
  <c r="V18" i="2"/>
  <c r="O18" i="2"/>
  <c r="P18" i="2" s="1"/>
  <c r="AE56" i="2" s="1"/>
  <c r="D18" i="2"/>
  <c r="V17" i="2"/>
  <c r="O17" i="2"/>
  <c r="P17" i="2" s="1"/>
  <c r="AD56" i="2" s="1"/>
  <c r="D17" i="2"/>
  <c r="V16" i="2"/>
  <c r="O16" i="2"/>
  <c r="D16" i="2"/>
  <c r="V15" i="2"/>
  <c r="D15" i="2"/>
  <c r="V14" i="2"/>
  <c r="D14" i="2"/>
  <c r="V13" i="2"/>
  <c r="D13" i="2"/>
  <c r="V12" i="2"/>
  <c r="O12" i="2"/>
  <c r="P12" i="2" s="1"/>
  <c r="D12" i="2"/>
  <c r="V11" i="2"/>
  <c r="O11" i="2"/>
  <c r="P11" i="2" s="1"/>
  <c r="X56" i="2" s="1"/>
  <c r="Y55" i="2" s="1"/>
  <c r="D11" i="2"/>
  <c r="V10" i="2"/>
  <c r="V9" i="2"/>
  <c r="V8" i="2"/>
  <c r="V7" i="2"/>
  <c r="V6" i="2"/>
  <c r="O6" i="2"/>
  <c r="P6" i="2" s="1"/>
  <c r="S56" i="2" s="1"/>
  <c r="T55" i="2" s="1"/>
  <c r="V5" i="2"/>
  <c r="V4" i="2"/>
  <c r="H4" i="2"/>
  <c r="I4" i="2" s="1"/>
  <c r="B4" i="2"/>
  <c r="A4" i="2"/>
  <c r="F1" i="2"/>
  <c r="F2" i="2" s="1"/>
  <c r="E4" i="2" s="1"/>
  <c r="A5" i="2" l="1"/>
  <c r="K4" i="2"/>
  <c r="M16" i="4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W4" i="2"/>
  <c r="W5" i="2" s="1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C4" i="2"/>
  <c r="T59" i="2"/>
  <c r="Y56" i="2"/>
  <c r="Z55" i="2"/>
  <c r="AC52" i="2"/>
  <c r="P16" i="2"/>
  <c r="AC56" i="2" s="1"/>
  <c r="AE55" i="2"/>
  <c r="AF55" i="2"/>
  <c r="AE59" i="2" s="1"/>
  <c r="AK55" i="2"/>
  <c r="P23" i="2"/>
  <c r="AJ56" i="2" s="1"/>
  <c r="AL55" i="2"/>
  <c r="P24" i="2"/>
  <c r="AK56" i="2" s="1"/>
  <c r="AM55" i="2"/>
  <c r="P25" i="2"/>
  <c r="AL56" i="2" s="1"/>
  <c r="AN55" i="2"/>
  <c r="P26" i="2"/>
  <c r="AM56" i="2" s="1"/>
  <c r="AO55" i="2"/>
  <c r="P27" i="2"/>
  <c r="AN56" i="2" s="1"/>
  <c r="AP55" i="2"/>
  <c r="P28" i="2"/>
  <c r="AO56" i="2" s="1"/>
  <c r="Q63" i="2"/>
  <c r="P29" i="2"/>
  <c r="AP56" i="2" s="1"/>
  <c r="R63" i="2"/>
  <c r="P30" i="2"/>
  <c r="Q64" i="2" s="1"/>
  <c r="S63" i="2"/>
  <c r="P31" i="2"/>
  <c r="R64" i="2" s="1"/>
  <c r="T63" i="2"/>
  <c r="P32" i="2"/>
  <c r="S64" i="2" s="1"/>
  <c r="V63" i="2"/>
  <c r="P33" i="2"/>
  <c r="T64" i="2" s="1"/>
  <c r="W63" i="2"/>
  <c r="P34" i="2"/>
  <c r="V64" i="2" s="1"/>
  <c r="X63" i="2"/>
  <c r="X65" i="2" s="1"/>
  <c r="P35" i="2"/>
  <c r="W64" i="2" s="1"/>
  <c r="C12" i="1"/>
  <c r="A14" i="1"/>
  <c r="B13" i="1"/>
  <c r="C13" i="1" l="1"/>
  <c r="A15" i="1"/>
  <c r="C14" i="1"/>
  <c r="B14" i="1"/>
  <c r="W65" i="2"/>
  <c r="V65" i="2"/>
  <c r="V66" i="2" s="1"/>
  <c r="T65" i="2"/>
  <c r="S65" i="2"/>
  <c r="R65" i="2"/>
  <c r="Q65" i="2"/>
  <c r="AP57" i="2"/>
  <c r="AO57" i="2"/>
  <c r="AN57" i="2"/>
  <c r="AM57" i="2"/>
  <c r="AL57" i="2"/>
  <c r="AK57" i="2"/>
  <c r="AE57" i="2"/>
  <c r="AE58" i="2" s="1"/>
  <c r="AE47" i="2"/>
  <c r="AE46" i="2" s="1"/>
  <c r="AD59" i="2"/>
  <c r="AD55" i="2"/>
  <c r="Y59" i="2"/>
  <c r="Y57" i="2"/>
  <c r="P4" i="2"/>
  <c r="Q55" i="2" s="1"/>
  <c r="O4" i="2"/>
  <c r="D4" i="2"/>
  <c r="F4" i="2" s="1"/>
  <c r="J4" i="2" s="1"/>
  <c r="A6" i="2"/>
  <c r="M5" i="2"/>
  <c r="N5" i="2" s="1"/>
  <c r="L5" i="2"/>
  <c r="K5" i="2"/>
  <c r="H5" i="2"/>
  <c r="I5" i="2" s="1"/>
  <c r="E5" i="2"/>
  <c r="B5" i="2"/>
  <c r="F5" i="2" l="1"/>
  <c r="C5" i="2"/>
  <c r="J5" i="2"/>
  <c r="A7" i="2"/>
  <c r="M6" i="2"/>
  <c r="N6" i="2" s="1"/>
  <c r="L6" i="2"/>
  <c r="K6" i="2"/>
  <c r="H6" i="2"/>
  <c r="I6" i="2" s="1"/>
  <c r="E6" i="2"/>
  <c r="B6" i="2"/>
  <c r="Q57" i="2"/>
  <c r="R55" i="2"/>
  <c r="AD57" i="2"/>
  <c r="AC59" i="2"/>
  <c r="A16" i="1"/>
  <c r="C15" i="1"/>
  <c r="B15" i="1"/>
  <c r="A17" i="1" l="1"/>
  <c r="C16" i="1"/>
  <c r="B16" i="1"/>
  <c r="R59" i="2"/>
  <c r="F6" i="2"/>
  <c r="C6" i="2"/>
  <c r="J6" i="2"/>
  <c r="A8" i="2"/>
  <c r="M7" i="2"/>
  <c r="N7" i="2" s="1"/>
  <c r="L7" i="2"/>
  <c r="H7" i="2"/>
  <c r="I7" i="2" s="1"/>
  <c r="E7" i="2"/>
  <c r="B7" i="2"/>
  <c r="K7" i="2"/>
  <c r="P5" i="2"/>
  <c r="R56" i="2" s="1"/>
  <c r="O5" i="2"/>
  <c r="S55" i="2" l="1"/>
  <c r="R57" i="2"/>
  <c r="F7" i="2"/>
  <c r="C7" i="2"/>
  <c r="O7" i="2" s="1"/>
  <c r="P7" i="2" s="1"/>
  <c r="T56" i="2" s="1"/>
  <c r="J7" i="2"/>
  <c r="A9" i="2"/>
  <c r="M8" i="2"/>
  <c r="N8" i="2" s="1"/>
  <c r="L8" i="2"/>
  <c r="H8" i="2"/>
  <c r="I8" i="2" s="1"/>
  <c r="E8" i="2"/>
  <c r="B8" i="2"/>
  <c r="K8" i="2"/>
  <c r="A18" i="1"/>
  <c r="C17" i="1"/>
  <c r="B17" i="1"/>
  <c r="A19" i="1" l="1"/>
  <c r="C18" i="1"/>
  <c r="B18" i="1"/>
  <c r="F8" i="2"/>
  <c r="C8" i="2"/>
  <c r="O8" i="2" s="1"/>
  <c r="P8" i="2" s="1"/>
  <c r="U56" i="2" s="1"/>
  <c r="V55" i="2" s="1"/>
  <c r="J8" i="2"/>
  <c r="A10" i="2"/>
  <c r="M9" i="2"/>
  <c r="N9" i="2" s="1"/>
  <c r="L9" i="2"/>
  <c r="H9" i="2"/>
  <c r="I9" i="2" s="1"/>
  <c r="E9" i="2"/>
  <c r="B9" i="2"/>
  <c r="K9" i="2"/>
  <c r="U55" i="2"/>
  <c r="T57" i="2"/>
  <c r="S59" i="2"/>
  <c r="S57" i="2"/>
  <c r="U59" i="2" l="1"/>
  <c r="U57" i="2"/>
  <c r="F9" i="2"/>
  <c r="C9" i="2"/>
  <c r="O9" i="2" s="1"/>
  <c r="P9" i="2" s="1"/>
  <c r="V56" i="2" s="1"/>
  <c r="W55" i="2" s="1"/>
  <c r="J9" i="2"/>
  <c r="A11" i="2"/>
  <c r="M10" i="2"/>
  <c r="N10" i="2" s="1"/>
  <c r="L10" i="2"/>
  <c r="H10" i="2"/>
  <c r="I10" i="2" s="1"/>
  <c r="E10" i="2"/>
  <c r="B10" i="2"/>
  <c r="K10" i="2"/>
  <c r="V59" i="2"/>
  <c r="V57" i="2"/>
  <c r="A20" i="1"/>
  <c r="C19" i="1"/>
  <c r="B19" i="1"/>
  <c r="A21" i="1" l="1"/>
  <c r="C20" i="1"/>
  <c r="B20" i="1"/>
  <c r="F10" i="2"/>
  <c r="C10" i="2"/>
  <c r="O10" i="2" s="1"/>
  <c r="P10" i="2" s="1"/>
  <c r="W56" i="2" s="1"/>
  <c r="X55" i="2" s="1"/>
  <c r="J10" i="2"/>
  <c r="A12" i="2"/>
  <c r="M11" i="2"/>
  <c r="N11" i="2" s="1"/>
  <c r="L11" i="2"/>
  <c r="H11" i="2"/>
  <c r="I11" i="2" s="1"/>
  <c r="E11" i="2"/>
  <c r="B11" i="2"/>
  <c r="K11" i="2"/>
  <c r="W59" i="2"/>
  <c r="W57" i="2"/>
  <c r="F11" i="2" l="1"/>
  <c r="C11" i="2"/>
  <c r="J11" i="2"/>
  <c r="A13" i="2"/>
  <c r="M12" i="2"/>
  <c r="N12" i="2" s="1"/>
  <c r="L12" i="2"/>
  <c r="H12" i="2"/>
  <c r="I12" i="2" s="1"/>
  <c r="E12" i="2"/>
  <c r="B12" i="2"/>
  <c r="K12" i="2"/>
  <c r="X59" i="2"/>
  <c r="X57" i="2"/>
  <c r="A22" i="1"/>
  <c r="C21" i="1"/>
  <c r="B21" i="1"/>
  <c r="A23" i="1" l="1"/>
  <c r="C22" i="1"/>
  <c r="B22" i="1"/>
  <c r="F12" i="2"/>
  <c r="C12" i="2"/>
  <c r="J12" i="2"/>
  <c r="A14" i="2"/>
  <c r="M13" i="2"/>
  <c r="N13" i="2" s="1"/>
  <c r="L13" i="2"/>
  <c r="H13" i="2"/>
  <c r="I13" i="2" s="1"/>
  <c r="E13" i="2"/>
  <c r="B13" i="2"/>
  <c r="K13" i="2"/>
  <c r="F13" i="2" l="1"/>
  <c r="C13" i="2"/>
  <c r="J13" i="2"/>
  <c r="A15" i="2"/>
  <c r="M14" i="2"/>
  <c r="N14" i="2" s="1"/>
  <c r="L14" i="2"/>
  <c r="H14" i="2"/>
  <c r="I14" i="2" s="1"/>
  <c r="E14" i="2"/>
  <c r="B14" i="2"/>
  <c r="K14" i="2"/>
  <c r="A24" i="1"/>
  <c r="C23" i="1"/>
  <c r="B23" i="1"/>
  <c r="A25" i="1" l="1"/>
  <c r="C24" i="1"/>
  <c r="B24" i="1"/>
  <c r="F14" i="2"/>
  <c r="C14" i="2"/>
  <c r="O14" i="2" s="1"/>
  <c r="P14" i="2" s="1"/>
  <c r="J14" i="2"/>
  <c r="A16" i="2"/>
  <c r="M15" i="2"/>
  <c r="N15" i="2" s="1"/>
  <c r="L15" i="2"/>
  <c r="H15" i="2"/>
  <c r="I15" i="2" s="1"/>
  <c r="E15" i="2"/>
  <c r="B15" i="2"/>
  <c r="K15" i="2"/>
  <c r="O13" i="2"/>
  <c r="P13" i="2" s="1"/>
  <c r="Z56" i="2" s="1"/>
  <c r="Z57" i="2" l="1"/>
  <c r="AA55" i="2"/>
  <c r="F15" i="2"/>
  <c r="C15" i="2"/>
  <c r="O15" i="2" s="1"/>
  <c r="P15" i="2" s="1"/>
  <c r="AB56" i="2" s="1"/>
  <c r="J15" i="2"/>
  <c r="A17" i="2"/>
  <c r="M16" i="2"/>
  <c r="N16" i="2" s="1"/>
  <c r="L16" i="2"/>
  <c r="H16" i="2"/>
  <c r="I16" i="2" s="1"/>
  <c r="E16" i="2"/>
  <c r="B16" i="2"/>
  <c r="K16" i="2"/>
  <c r="AA56" i="2"/>
  <c r="AB55" i="2"/>
  <c r="AB57" i="2" s="1"/>
  <c r="A26" i="1"/>
  <c r="C25" i="1"/>
  <c r="B25" i="1"/>
  <c r="A27" i="1" l="1"/>
  <c r="C26" i="1"/>
  <c r="B26" i="1"/>
  <c r="AA59" i="2"/>
  <c r="F16" i="2"/>
  <c r="C16" i="2"/>
  <c r="J16" i="2"/>
  <c r="A18" i="2"/>
  <c r="M17" i="2"/>
  <c r="N17" i="2" s="1"/>
  <c r="L17" i="2"/>
  <c r="H17" i="2"/>
  <c r="I17" i="2" s="1"/>
  <c r="E17" i="2"/>
  <c r="B17" i="2"/>
  <c r="K17" i="2"/>
  <c r="AC55" i="2"/>
  <c r="AA57" i="2"/>
  <c r="Z59" i="2"/>
  <c r="AC57" i="2" l="1"/>
  <c r="AC58" i="2" s="1"/>
  <c r="AC51" i="2"/>
  <c r="AB59" i="2"/>
  <c r="F17" i="2"/>
  <c r="C17" i="2"/>
  <c r="J17" i="2"/>
  <c r="A19" i="2"/>
  <c r="M18" i="2"/>
  <c r="N18" i="2" s="1"/>
  <c r="L18" i="2"/>
  <c r="H18" i="2"/>
  <c r="I18" i="2" s="1"/>
  <c r="E18" i="2"/>
  <c r="B18" i="2"/>
  <c r="K18" i="2"/>
  <c r="A28" i="1"/>
  <c r="C27" i="1"/>
  <c r="B27" i="1"/>
  <c r="A29" i="1" l="1"/>
  <c r="C28" i="1"/>
  <c r="B28" i="1"/>
  <c r="F18" i="2"/>
  <c r="C18" i="2"/>
  <c r="J18" i="2"/>
  <c r="A20" i="2"/>
  <c r="M19" i="2"/>
  <c r="N19" i="2" s="1"/>
  <c r="L19" i="2"/>
  <c r="H19" i="2"/>
  <c r="I19" i="2" s="1"/>
  <c r="E19" i="2"/>
  <c r="B19" i="2"/>
  <c r="K19" i="2"/>
  <c r="F19" i="2" l="1"/>
  <c r="C19" i="2"/>
  <c r="J19" i="2"/>
  <c r="A21" i="2"/>
  <c r="M20" i="2"/>
  <c r="N20" i="2" s="1"/>
  <c r="L20" i="2"/>
  <c r="H20" i="2"/>
  <c r="I20" i="2" s="1"/>
  <c r="E20" i="2"/>
  <c r="B20" i="2"/>
  <c r="K20" i="2"/>
  <c r="A30" i="1"/>
  <c r="C29" i="1"/>
  <c r="B29" i="1"/>
  <c r="A31" i="1" l="1"/>
  <c r="C30" i="1"/>
  <c r="B30" i="1"/>
  <c r="F20" i="2"/>
  <c r="C20" i="2"/>
  <c r="J20" i="2"/>
  <c r="A22" i="2"/>
  <c r="M21" i="2"/>
  <c r="N21" i="2" s="1"/>
  <c r="L21" i="2"/>
  <c r="H21" i="2"/>
  <c r="I21" i="2" s="1"/>
  <c r="E21" i="2"/>
  <c r="B21" i="2"/>
  <c r="K21" i="2"/>
  <c r="O19" i="2"/>
  <c r="AG52" i="2" l="1"/>
  <c r="P19" i="2"/>
  <c r="AF56" i="2" s="1"/>
  <c r="F21" i="2"/>
  <c r="C21" i="2"/>
  <c r="J21" i="2"/>
  <c r="A23" i="2"/>
  <c r="M22" i="2"/>
  <c r="N22" i="2" s="1"/>
  <c r="L22" i="2"/>
  <c r="H22" i="2"/>
  <c r="I22" i="2" s="1"/>
  <c r="E22" i="2"/>
  <c r="B22" i="2"/>
  <c r="K22" i="2"/>
  <c r="O20" i="2"/>
  <c r="A32" i="1"/>
  <c r="C31" i="1"/>
  <c r="B31" i="1"/>
  <c r="A33" i="1" l="1"/>
  <c r="C32" i="1"/>
  <c r="B32" i="1"/>
  <c r="AG53" i="2"/>
  <c r="P20" i="2"/>
  <c r="AG56" i="2" s="1"/>
  <c r="F22" i="2"/>
  <c r="C22" i="2"/>
  <c r="O22" i="2" s="1"/>
  <c r="J22" i="2"/>
  <c r="A24" i="2"/>
  <c r="M23" i="2"/>
  <c r="N23" i="2" s="1"/>
  <c r="L23" i="2"/>
  <c r="H23" i="2"/>
  <c r="I23" i="2" s="1"/>
  <c r="E23" i="2"/>
  <c r="B23" i="2"/>
  <c r="K23" i="2"/>
  <c r="O21" i="2"/>
  <c r="P21" i="2" s="1"/>
  <c r="AH56" i="2" s="1"/>
  <c r="AF57" i="2"/>
  <c r="AG55" i="2"/>
  <c r="AF59" i="2" s="1"/>
  <c r="AI55" i="2" l="1"/>
  <c r="F23" i="2"/>
  <c r="C23" i="2"/>
  <c r="J23" i="2"/>
  <c r="A25" i="2"/>
  <c r="M24" i="2"/>
  <c r="N24" i="2" s="1"/>
  <c r="L24" i="2"/>
  <c r="H24" i="2"/>
  <c r="I24" i="2" s="1"/>
  <c r="E24" i="2"/>
  <c r="B24" i="2"/>
  <c r="K24" i="2"/>
  <c r="AJ55" i="2"/>
  <c r="AJ57" i="2" s="1"/>
  <c r="P22" i="2"/>
  <c r="AI56" i="2" s="1"/>
  <c r="AG57" i="2"/>
  <c r="AH55" i="2"/>
  <c r="AH57" i="2" s="1"/>
  <c r="A34" i="1"/>
  <c r="C33" i="1"/>
  <c r="B33" i="1"/>
  <c r="A35" i="1" l="1"/>
  <c r="C34" i="1"/>
  <c r="B34" i="1"/>
  <c r="F24" i="2"/>
  <c r="C24" i="2"/>
  <c r="J24" i="2"/>
  <c r="A26" i="2"/>
  <c r="M25" i="2"/>
  <c r="N25" i="2" s="1"/>
  <c r="L25" i="2"/>
  <c r="H25" i="2"/>
  <c r="I25" i="2" s="1"/>
  <c r="E25" i="2"/>
  <c r="B25" i="2"/>
  <c r="K25" i="2"/>
  <c r="AI57" i="2"/>
  <c r="F25" i="2" l="1"/>
  <c r="C25" i="2"/>
  <c r="J25" i="2"/>
  <c r="A27" i="2"/>
  <c r="M26" i="2"/>
  <c r="N26" i="2" s="1"/>
  <c r="L26" i="2"/>
  <c r="H26" i="2"/>
  <c r="I26" i="2" s="1"/>
  <c r="E26" i="2"/>
  <c r="B26" i="2"/>
  <c r="K26" i="2"/>
  <c r="A36" i="1"/>
  <c r="C35" i="1"/>
  <c r="B35" i="1"/>
  <c r="A37" i="1" l="1"/>
  <c r="C36" i="1"/>
  <c r="B36" i="1"/>
  <c r="F26" i="2"/>
  <c r="C26" i="2"/>
  <c r="J26" i="2"/>
  <c r="A28" i="2"/>
  <c r="M27" i="2"/>
  <c r="N27" i="2" s="1"/>
  <c r="L27" i="2"/>
  <c r="H27" i="2"/>
  <c r="I27" i="2" s="1"/>
  <c r="E27" i="2"/>
  <c r="B27" i="2"/>
  <c r="K27" i="2"/>
  <c r="F27" i="2" l="1"/>
  <c r="C27" i="2"/>
  <c r="J27" i="2"/>
  <c r="A29" i="2"/>
  <c r="M28" i="2"/>
  <c r="N28" i="2" s="1"/>
  <c r="L28" i="2"/>
  <c r="H28" i="2"/>
  <c r="I28" i="2" s="1"/>
  <c r="E28" i="2"/>
  <c r="B28" i="2"/>
  <c r="K28" i="2"/>
  <c r="A38" i="1"/>
  <c r="C37" i="1"/>
  <c r="B37" i="1"/>
  <c r="A39" i="1" l="1"/>
  <c r="C38" i="1"/>
  <c r="B38" i="1"/>
  <c r="F28" i="2"/>
  <c r="C28" i="2"/>
  <c r="J28" i="2"/>
  <c r="A30" i="2"/>
  <c r="M29" i="2"/>
  <c r="N29" i="2" s="1"/>
  <c r="L29" i="2"/>
  <c r="H29" i="2"/>
  <c r="I29" i="2" s="1"/>
  <c r="E29" i="2"/>
  <c r="B29" i="2"/>
  <c r="K29" i="2"/>
  <c r="F29" i="2" l="1"/>
  <c r="C29" i="2"/>
  <c r="J29" i="2"/>
  <c r="A31" i="2"/>
  <c r="M30" i="2"/>
  <c r="N30" i="2" s="1"/>
  <c r="L30" i="2"/>
  <c r="H30" i="2"/>
  <c r="I30" i="2" s="1"/>
  <c r="E30" i="2"/>
  <c r="B30" i="2"/>
  <c r="K30" i="2"/>
  <c r="A40" i="1"/>
  <c r="C39" i="1"/>
  <c r="B39" i="1"/>
  <c r="A41" i="1" l="1"/>
  <c r="C40" i="1"/>
  <c r="B40" i="1"/>
  <c r="F30" i="2"/>
  <c r="C30" i="2"/>
  <c r="J30" i="2"/>
  <c r="A32" i="2"/>
  <c r="M31" i="2"/>
  <c r="N31" i="2" s="1"/>
  <c r="L31" i="2"/>
  <c r="H31" i="2"/>
  <c r="I31" i="2" s="1"/>
  <c r="E31" i="2"/>
  <c r="B31" i="2"/>
  <c r="K31" i="2"/>
  <c r="F31" i="2" l="1"/>
  <c r="C31" i="2"/>
  <c r="J31" i="2"/>
  <c r="A33" i="2"/>
  <c r="M32" i="2"/>
  <c r="N32" i="2" s="1"/>
  <c r="L32" i="2"/>
  <c r="H32" i="2"/>
  <c r="I32" i="2" s="1"/>
  <c r="E32" i="2"/>
  <c r="B32" i="2"/>
  <c r="K32" i="2"/>
  <c r="A42" i="1"/>
  <c r="C41" i="1"/>
  <c r="B41" i="1"/>
  <c r="A43" i="1" l="1"/>
  <c r="C42" i="1"/>
  <c r="B42" i="1"/>
  <c r="F32" i="2"/>
  <c r="C32" i="2"/>
  <c r="J32" i="2"/>
  <c r="A34" i="2"/>
  <c r="M33" i="2"/>
  <c r="N33" i="2" s="1"/>
  <c r="L33" i="2"/>
  <c r="H33" i="2"/>
  <c r="I33" i="2" s="1"/>
  <c r="E33" i="2"/>
  <c r="B33" i="2"/>
  <c r="K33" i="2"/>
  <c r="F33" i="2" l="1"/>
  <c r="C33" i="2"/>
  <c r="J33" i="2"/>
  <c r="A35" i="2"/>
  <c r="M34" i="2"/>
  <c r="N34" i="2" s="1"/>
  <c r="L34" i="2"/>
  <c r="H34" i="2"/>
  <c r="I34" i="2" s="1"/>
  <c r="E34" i="2"/>
  <c r="B34" i="2"/>
  <c r="K34" i="2"/>
  <c r="A44" i="1"/>
  <c r="C43" i="1"/>
  <c r="B43" i="1"/>
  <c r="A45" i="1" l="1"/>
  <c r="C44" i="1"/>
  <c r="B44" i="1"/>
  <c r="F34" i="2"/>
  <c r="C34" i="2"/>
  <c r="J34" i="2"/>
  <c r="A36" i="2"/>
  <c r="M35" i="2"/>
  <c r="N35" i="2" s="1"/>
  <c r="L35" i="2"/>
  <c r="H35" i="2"/>
  <c r="I35" i="2" s="1"/>
  <c r="E35" i="2"/>
  <c r="B35" i="2"/>
  <c r="K35" i="2"/>
  <c r="C35" i="2" l="1"/>
  <c r="D35" i="2" s="1"/>
  <c r="F35" i="2" s="1"/>
  <c r="J35" i="2"/>
  <c r="A37" i="2"/>
  <c r="M36" i="2"/>
  <c r="N36" i="2" s="1"/>
  <c r="L36" i="2"/>
  <c r="H36" i="2"/>
  <c r="I36" i="2" s="1"/>
  <c r="E36" i="2"/>
  <c r="B36" i="2"/>
  <c r="K36" i="2"/>
  <c r="A46" i="1"/>
  <c r="C45" i="1"/>
  <c r="B45" i="1"/>
  <c r="A47" i="1" l="1"/>
  <c r="C46" i="1"/>
  <c r="B46" i="1"/>
  <c r="C36" i="2"/>
  <c r="D36" i="2" s="1"/>
  <c r="F36" i="2" s="1"/>
  <c r="J36" i="2"/>
  <c r="A38" i="2"/>
  <c r="M37" i="2"/>
  <c r="N37" i="2" s="1"/>
  <c r="L37" i="2"/>
  <c r="H37" i="2"/>
  <c r="I37" i="2" s="1"/>
  <c r="E37" i="2"/>
  <c r="B37" i="2"/>
  <c r="K37" i="2"/>
  <c r="C37" i="2" l="1"/>
  <c r="D37" i="2" s="1"/>
  <c r="F37" i="2" s="1"/>
  <c r="J37" i="2"/>
  <c r="A39" i="2"/>
  <c r="M38" i="2"/>
  <c r="N38" i="2" s="1"/>
  <c r="L38" i="2"/>
  <c r="H38" i="2"/>
  <c r="I38" i="2" s="1"/>
  <c r="E38" i="2"/>
  <c r="B38" i="2"/>
  <c r="K38" i="2"/>
  <c r="A48" i="1"/>
  <c r="C47" i="1"/>
  <c r="B47" i="1"/>
  <c r="A49" i="1" l="1"/>
  <c r="C48" i="1"/>
  <c r="B48" i="1"/>
  <c r="C38" i="2"/>
  <c r="D38" i="2" s="1"/>
  <c r="F38" i="2" s="1"/>
  <c r="J38" i="2"/>
  <c r="A40" i="2"/>
  <c r="M39" i="2"/>
  <c r="N39" i="2" s="1"/>
  <c r="L39" i="2"/>
  <c r="H39" i="2"/>
  <c r="I39" i="2" s="1"/>
  <c r="E39" i="2"/>
  <c r="B39" i="2"/>
  <c r="K39" i="2"/>
  <c r="C39" i="2" l="1"/>
  <c r="D39" i="2" s="1"/>
  <c r="F39" i="2" s="1"/>
  <c r="J39" i="2"/>
  <c r="A41" i="2"/>
  <c r="M40" i="2"/>
  <c r="N40" i="2" s="1"/>
  <c r="L40" i="2"/>
  <c r="H40" i="2"/>
  <c r="I40" i="2" s="1"/>
  <c r="E40" i="2"/>
  <c r="B40" i="2"/>
  <c r="K40" i="2"/>
  <c r="A50" i="1"/>
  <c r="C49" i="1"/>
  <c r="B49" i="1"/>
  <c r="A51" i="1" l="1"/>
  <c r="C50" i="1"/>
  <c r="B50" i="1"/>
  <c r="C40" i="2"/>
  <c r="D40" i="2" s="1"/>
  <c r="F40" i="2" s="1"/>
  <c r="J40" i="2"/>
  <c r="A42" i="2"/>
  <c r="M41" i="2"/>
  <c r="N41" i="2" s="1"/>
  <c r="L41" i="2"/>
  <c r="H41" i="2"/>
  <c r="I41" i="2" s="1"/>
  <c r="E41" i="2"/>
  <c r="B41" i="2"/>
  <c r="K41" i="2"/>
  <c r="C41" i="2" l="1"/>
  <c r="D41" i="2" s="1"/>
  <c r="F41" i="2" s="1"/>
  <c r="J41" i="2"/>
  <c r="A43" i="2"/>
  <c r="M42" i="2"/>
  <c r="N42" i="2" s="1"/>
  <c r="L42" i="2"/>
  <c r="H42" i="2"/>
  <c r="I42" i="2" s="1"/>
  <c r="E42" i="2"/>
  <c r="B42" i="2"/>
  <c r="K42" i="2"/>
  <c r="A52" i="1"/>
  <c r="C51" i="1"/>
  <c r="B51" i="1"/>
  <c r="A53" i="1" l="1"/>
  <c r="C52" i="1"/>
  <c r="B52" i="1"/>
  <c r="C42" i="2"/>
  <c r="D42" i="2" s="1"/>
  <c r="F42" i="2" s="1"/>
  <c r="J42" i="2"/>
  <c r="A44" i="2"/>
  <c r="M43" i="2"/>
  <c r="N43" i="2" s="1"/>
  <c r="L43" i="2"/>
  <c r="H43" i="2"/>
  <c r="I43" i="2" s="1"/>
  <c r="E43" i="2"/>
  <c r="B43" i="2"/>
  <c r="K43" i="2"/>
  <c r="C43" i="2" l="1"/>
  <c r="D43" i="2" s="1"/>
  <c r="F43" i="2" s="1"/>
  <c r="J43" i="2"/>
  <c r="A45" i="2"/>
  <c r="M44" i="2"/>
  <c r="N44" i="2" s="1"/>
  <c r="L44" i="2"/>
  <c r="H44" i="2"/>
  <c r="I44" i="2" s="1"/>
  <c r="E44" i="2"/>
  <c r="B44" i="2"/>
  <c r="K44" i="2"/>
  <c r="A54" i="1"/>
  <c r="C53" i="1"/>
  <c r="B53" i="1"/>
  <c r="A55" i="1" l="1"/>
  <c r="C54" i="1"/>
  <c r="B54" i="1"/>
  <c r="C44" i="2"/>
  <c r="D44" i="2" s="1"/>
  <c r="F44" i="2" s="1"/>
  <c r="J44" i="2"/>
  <c r="A46" i="2"/>
  <c r="M45" i="2"/>
  <c r="N45" i="2" s="1"/>
  <c r="L45" i="2"/>
  <c r="H45" i="2"/>
  <c r="I45" i="2" s="1"/>
  <c r="E45" i="2"/>
  <c r="B45" i="2"/>
  <c r="K45" i="2"/>
  <c r="C45" i="2" l="1"/>
  <c r="D45" i="2" s="1"/>
  <c r="F45" i="2" s="1"/>
  <c r="J45" i="2"/>
  <c r="A47" i="2"/>
  <c r="M46" i="2"/>
  <c r="N46" i="2" s="1"/>
  <c r="L46" i="2"/>
  <c r="H46" i="2"/>
  <c r="I46" i="2" s="1"/>
  <c r="E46" i="2"/>
  <c r="B46" i="2"/>
  <c r="K46" i="2"/>
  <c r="A56" i="1"/>
  <c r="C55" i="1"/>
  <c r="B55" i="1"/>
  <c r="A57" i="1" l="1"/>
  <c r="C56" i="1"/>
  <c r="B56" i="1"/>
  <c r="C46" i="2"/>
  <c r="D46" i="2" s="1"/>
  <c r="F46" i="2" s="1"/>
  <c r="J46" i="2"/>
  <c r="A48" i="2"/>
  <c r="M47" i="2"/>
  <c r="N47" i="2" s="1"/>
  <c r="L47" i="2"/>
  <c r="H47" i="2"/>
  <c r="I47" i="2" s="1"/>
  <c r="E47" i="2"/>
  <c r="B47" i="2"/>
  <c r="K47" i="2"/>
  <c r="C47" i="2" l="1"/>
  <c r="D47" i="2" s="1"/>
  <c r="F47" i="2" s="1"/>
  <c r="J47" i="2"/>
  <c r="A49" i="2"/>
  <c r="M48" i="2"/>
  <c r="N48" i="2" s="1"/>
  <c r="L48" i="2"/>
  <c r="H48" i="2"/>
  <c r="I48" i="2" s="1"/>
  <c r="E48" i="2"/>
  <c r="B48" i="2"/>
  <c r="K48" i="2"/>
  <c r="A58" i="1"/>
  <c r="C57" i="1"/>
  <c r="B57" i="1"/>
  <c r="A59" i="1" l="1"/>
  <c r="C58" i="1"/>
  <c r="B58" i="1"/>
  <c r="C48" i="2"/>
  <c r="D48" i="2" s="1"/>
  <c r="F48" i="2" s="1"/>
  <c r="J48" i="2"/>
  <c r="A50" i="2"/>
  <c r="M49" i="2"/>
  <c r="N49" i="2" s="1"/>
  <c r="L49" i="2"/>
  <c r="H49" i="2"/>
  <c r="I49" i="2" s="1"/>
  <c r="E49" i="2"/>
  <c r="B49" i="2"/>
  <c r="K49" i="2"/>
  <c r="C49" i="2" l="1"/>
  <c r="D49" i="2" s="1"/>
  <c r="F49" i="2" s="1"/>
  <c r="J49" i="2"/>
  <c r="A51" i="2"/>
  <c r="M50" i="2"/>
  <c r="N50" i="2" s="1"/>
  <c r="L50" i="2"/>
  <c r="H50" i="2"/>
  <c r="I50" i="2" s="1"/>
  <c r="E50" i="2"/>
  <c r="B50" i="2"/>
  <c r="K50" i="2"/>
  <c r="A60" i="1"/>
  <c r="C59" i="1"/>
  <c r="B59" i="1"/>
  <c r="A61" i="1" l="1"/>
  <c r="C60" i="1"/>
  <c r="B60" i="1"/>
  <c r="C50" i="2"/>
  <c r="D50" i="2" s="1"/>
  <c r="F50" i="2" s="1"/>
  <c r="J50" i="2"/>
  <c r="M51" i="2"/>
  <c r="N51" i="2" s="1"/>
  <c r="L51" i="2"/>
  <c r="H51" i="2"/>
  <c r="I51" i="2" s="1"/>
  <c r="E51" i="2"/>
  <c r="B51" i="2"/>
  <c r="K51" i="2"/>
  <c r="C51" i="2" l="1"/>
  <c r="D51" i="2" s="1"/>
  <c r="F51" i="2" s="1"/>
  <c r="J51" i="2"/>
  <c r="A62" i="1"/>
  <c r="C61" i="1"/>
  <c r="B61" i="1"/>
  <c r="A63" i="1" l="1"/>
  <c r="C62" i="1"/>
  <c r="B62" i="1"/>
  <c r="A64" i="1" l="1"/>
  <c r="C63" i="1"/>
  <c r="B63" i="1"/>
  <c r="A65" i="1" l="1"/>
  <c r="C64" i="1"/>
  <c r="B64" i="1"/>
  <c r="A66" i="1" l="1"/>
  <c r="C65" i="1"/>
  <c r="B65" i="1"/>
  <c r="A67" i="1" l="1"/>
  <c r="C66" i="1"/>
  <c r="B66" i="1"/>
  <c r="A68" i="1" l="1"/>
  <c r="C67" i="1"/>
  <c r="B67" i="1"/>
  <c r="A69" i="1" l="1"/>
  <c r="C68" i="1"/>
  <c r="B68" i="1"/>
  <c r="A70" i="1" l="1"/>
  <c r="C69" i="1"/>
  <c r="B69" i="1"/>
  <c r="A71" i="1" l="1"/>
  <c r="C70" i="1"/>
  <c r="B70" i="1"/>
  <c r="A72" i="1" l="1"/>
  <c r="C71" i="1"/>
  <c r="B71" i="1"/>
  <c r="A73" i="1" l="1"/>
  <c r="C72" i="1"/>
  <c r="B72" i="1"/>
  <c r="A74" i="1" l="1"/>
  <c r="C73" i="1"/>
  <c r="B73" i="1"/>
  <c r="A75" i="1" l="1"/>
  <c r="C74" i="1"/>
  <c r="B74" i="1"/>
  <c r="A76" i="1" l="1"/>
  <c r="C75" i="1"/>
  <c r="B75" i="1"/>
  <c r="A77" i="1" l="1"/>
  <c r="C76" i="1"/>
  <c r="B76" i="1"/>
  <c r="A78" i="1" l="1"/>
  <c r="C77" i="1"/>
  <c r="B77" i="1"/>
  <c r="A79" i="1" l="1"/>
  <c r="C78" i="1"/>
  <c r="B78" i="1"/>
  <c r="A80" i="1" l="1"/>
  <c r="C79" i="1"/>
  <c r="B79" i="1"/>
  <c r="A81" i="1" l="1"/>
  <c r="C80" i="1"/>
  <c r="B80" i="1"/>
  <c r="A82" i="1" l="1"/>
  <c r="C81" i="1"/>
  <c r="B81" i="1"/>
  <c r="A83" i="1" l="1"/>
  <c r="C82" i="1"/>
  <c r="B82" i="1"/>
  <c r="A84" i="1" l="1"/>
  <c r="C83" i="1"/>
  <c r="B83" i="1"/>
  <c r="A85" i="1" l="1"/>
  <c r="C84" i="1"/>
  <c r="B84" i="1"/>
  <c r="A86" i="1" l="1"/>
  <c r="C85" i="1"/>
  <c r="B85" i="1"/>
  <c r="A87" i="1" l="1"/>
  <c r="C86" i="1"/>
  <c r="B86" i="1"/>
  <c r="A88" i="1" l="1"/>
  <c r="C87" i="1"/>
  <c r="B87" i="1"/>
  <c r="A89" i="1" l="1"/>
  <c r="C88" i="1"/>
  <c r="B88" i="1"/>
  <c r="A90" i="1" l="1"/>
  <c r="C89" i="1"/>
  <c r="B89" i="1"/>
  <c r="A91" i="1" l="1"/>
  <c r="C90" i="1"/>
  <c r="B90" i="1"/>
  <c r="A92" i="1" l="1"/>
  <c r="C91" i="1"/>
  <c r="B91" i="1"/>
  <c r="A93" i="1" l="1"/>
  <c r="C92" i="1"/>
  <c r="B92" i="1"/>
  <c r="A94" i="1" l="1"/>
  <c r="C93" i="1"/>
  <c r="B93" i="1"/>
  <c r="A95" i="1" l="1"/>
  <c r="C94" i="1"/>
  <c r="B94" i="1"/>
  <c r="A96" i="1" l="1"/>
  <c r="C95" i="1"/>
  <c r="B95" i="1"/>
  <c r="A97" i="1" l="1"/>
  <c r="C96" i="1"/>
  <c r="B96" i="1"/>
  <c r="A98" i="1" l="1"/>
  <c r="C97" i="1"/>
  <c r="B97" i="1"/>
  <c r="A99" i="1" l="1"/>
  <c r="C98" i="1"/>
  <c r="B98" i="1"/>
  <c r="A100" i="1" l="1"/>
  <c r="C99" i="1"/>
  <c r="B99" i="1"/>
  <c r="A101" i="1" l="1"/>
  <c r="C100" i="1"/>
  <c r="B100" i="1"/>
  <c r="A102" i="1" l="1"/>
  <c r="C101" i="1"/>
  <c r="B101" i="1"/>
  <c r="A103" i="1" l="1"/>
  <c r="C102" i="1"/>
  <c r="B102" i="1"/>
  <c r="A104" i="1" l="1"/>
  <c r="C103" i="1"/>
  <c r="B103" i="1"/>
  <c r="A105" i="1" l="1"/>
  <c r="C104" i="1"/>
  <c r="B104" i="1"/>
  <c r="A106" i="1" l="1"/>
  <c r="C105" i="1"/>
  <c r="B105" i="1"/>
  <c r="A107" i="1" l="1"/>
  <c r="C106" i="1"/>
  <c r="B106" i="1"/>
  <c r="A108" i="1" l="1"/>
  <c r="C107" i="1"/>
  <c r="B107" i="1"/>
  <c r="A109" i="1" l="1"/>
  <c r="C108" i="1"/>
  <c r="B108" i="1"/>
  <c r="A110" i="1" l="1"/>
  <c r="C109" i="1"/>
  <c r="B109" i="1"/>
  <c r="A111" i="1" l="1"/>
  <c r="C110" i="1"/>
  <c r="B110" i="1"/>
  <c r="A112" i="1" l="1"/>
  <c r="C111" i="1"/>
  <c r="B111" i="1"/>
  <c r="A113" i="1" l="1"/>
  <c r="C112" i="1"/>
  <c r="B112" i="1"/>
  <c r="A114" i="1" l="1"/>
  <c r="C113" i="1"/>
  <c r="B113" i="1"/>
  <c r="A115" i="1" l="1"/>
  <c r="C114" i="1"/>
  <c r="B114" i="1"/>
  <c r="A116" i="1" l="1"/>
  <c r="C115" i="1"/>
  <c r="B115" i="1"/>
  <c r="A117" i="1" l="1"/>
  <c r="C116" i="1"/>
  <c r="B116" i="1"/>
  <c r="A118" i="1" l="1"/>
  <c r="C117" i="1"/>
  <c r="B117" i="1"/>
  <c r="A119" i="1" l="1"/>
  <c r="C118" i="1"/>
  <c r="B118" i="1"/>
  <c r="A120" i="1" l="1"/>
  <c r="C119" i="1"/>
  <c r="B119" i="1"/>
  <c r="A121" i="1" l="1"/>
  <c r="C120" i="1"/>
  <c r="B120" i="1"/>
  <c r="A122" i="1" l="1"/>
  <c r="C121" i="1"/>
  <c r="B121" i="1"/>
  <c r="A123" i="1" l="1"/>
  <c r="C122" i="1"/>
  <c r="B122" i="1"/>
  <c r="A124" i="1" l="1"/>
  <c r="C123" i="1"/>
  <c r="B123" i="1"/>
  <c r="A125" i="1" l="1"/>
  <c r="C124" i="1"/>
  <c r="B124" i="1"/>
  <c r="A126" i="1" l="1"/>
  <c r="C125" i="1"/>
  <c r="B125" i="1"/>
  <c r="A127" i="1" l="1"/>
  <c r="C126" i="1"/>
  <c r="B126" i="1"/>
  <c r="A128" i="1" l="1"/>
  <c r="C127" i="1"/>
  <c r="B127" i="1"/>
  <c r="A129" i="1" l="1"/>
  <c r="C128" i="1"/>
  <c r="B128" i="1"/>
  <c r="A130" i="1" l="1"/>
  <c r="C129" i="1"/>
  <c r="B129" i="1"/>
  <c r="A131" i="1" l="1"/>
  <c r="C130" i="1"/>
  <c r="B130" i="1"/>
  <c r="A132" i="1" l="1"/>
  <c r="C131" i="1"/>
  <c r="B10" i="1" s="1"/>
  <c r="B131" i="1"/>
  <c r="B9" i="1" s="1"/>
  <c r="C132" i="1" l="1"/>
  <c r="B1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Bello Pedraza</author>
  </authors>
  <commentList>
    <comment ref="T2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Patricia Bello Pedraza:
3105</t>
        </r>
      </text>
    </comment>
    <comment ref="T2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Patricia Bello Pedraza:
3349</t>
        </r>
      </text>
    </comment>
    <comment ref="T2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Patricia Bello Pedraza:
3577</t>
        </r>
      </text>
    </comment>
    <comment ref="T2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Patricia Bello Pedraza:
3917</t>
        </r>
      </text>
    </comment>
    <comment ref="T2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Patricia Bello Pedraza:
4118</t>
        </r>
      </text>
    </comment>
    <comment ref="T2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Patricia Bello Pedraza:
4628</t>
        </r>
      </text>
    </comment>
    <comment ref="C2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Patricia Bello Pedraza:
abona $42,599</t>
        </r>
      </text>
    </comment>
    <comment ref="T2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Patricia Bello Pedraza:
5033</t>
        </r>
      </text>
    </comment>
    <comment ref="T30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Patricia Bello Pedraza:
5463</t>
        </r>
      </text>
    </comment>
    <comment ref="C3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Patricia Bello Pedraza:
ABONO$25,210</t>
        </r>
      </text>
    </comment>
  </commentList>
</comments>
</file>

<file path=xl/sharedStrings.xml><?xml version="1.0" encoding="utf-8"?>
<sst xmlns="http://schemas.openxmlformats.org/spreadsheetml/2006/main" count="113" uniqueCount="91">
  <si>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</si>
  <si>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</si>
  <si>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</si>
  <si>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</si>
  <si>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</si>
  <si>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</si>
  <si>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</si>
  <si>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</si>
  <si>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</si>
  <si>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</si>
  <si>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</si>
  <si>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</si>
  <si>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</si>
  <si>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</si>
  <si>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</si>
  <si>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</si>
  <si>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</si>
  <si>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</si>
  <si>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</si>
  <si>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</si>
  <si>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</si>
  <si>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</si>
  <si>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</si>
  <si>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</si>
  <si>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</si>
  <si>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</si>
  <si>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</si>
  <si>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</si>
  <si>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</si>
  <si>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</si>
  <si>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Cuota + i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</si>
  <si>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</si>
  <si>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</si>
  <si>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</si>
  <si>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</si>
  <si>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</si>
  <si>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</si>
  <si>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</si>
  <si>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 xml:space="preserve">Capital </t>
  </si>
  <si>
    <t>Intereses de mora</t>
  </si>
  <si>
    <t>Abono a Capital</t>
  </si>
  <si>
    <t>Valor pagado</t>
  </si>
  <si>
    <t xml:space="preserve">saldo a capítal </t>
  </si>
  <si>
    <t>ajuste nov- oct</t>
  </si>
  <si>
    <t xml:space="preserve">ajuste </t>
  </si>
  <si>
    <t>FACTURACION</t>
  </si>
  <si>
    <t>Abono a K</t>
  </si>
  <si>
    <t>Valor pagado cliente</t>
  </si>
  <si>
    <t xml:space="preserve">APLICACIÓN DEL PAGO </t>
  </si>
  <si>
    <t xml:space="preserve">EXTRACTO </t>
  </si>
  <si>
    <t>Cuota #</t>
  </si>
  <si>
    <t>Valor a pagar</t>
  </si>
  <si>
    <t xml:space="preserve">Aplicación del Pagos INGEOROZCOL S.A.S.  </t>
  </si>
  <si>
    <t xml:space="preserve">Pago a capital </t>
  </si>
  <si>
    <t xml:space="preserve">saldo a Capital </t>
  </si>
  <si>
    <t>Timestamp</t>
  </si>
  <si>
    <t>IdPago</t>
  </si>
  <si>
    <t>Cliente</t>
  </si>
  <si>
    <t>Credito</t>
  </si>
  <si>
    <t>Fila</t>
  </si>
  <si>
    <t>Accion</t>
  </si>
  <si>
    <t>Detalle</t>
  </si>
  <si>
    <t>IdempotencyKey</t>
  </si>
  <si>
    <t>AsientoPdfPath</t>
  </si>
  <si>
    <t>ApplicationRow</t>
  </si>
  <si>
    <t>IbrRow</t>
  </si>
  <si>
    <t>AsientoPdfHash</t>
  </si>
  <si>
    <t>AsientoPdfETag</t>
  </si>
  <si>
    <t>Estado</t>
  </si>
  <si>
    <t>TipoAplicacion</t>
  </si>
  <si>
    <t>ValorPagadoCliente</t>
  </si>
  <si>
    <t>TipoAplicacionOriginal</t>
  </si>
  <si>
    <t>TipoAplicacionCanonica</t>
  </si>
  <si>
    <t>SubtipoAplicacion</t>
  </si>
  <si>
    <t>RolExtracto</t>
  </si>
  <si>
    <t>ActualizaIBR</t>
  </si>
  <si>
    <t>2026-08-21T05:05:53-05:00</t>
  </si>
  <si>
    <t>1fc2b10a-b93d-47a3-b419-6ced3f84877c</t>
  </si>
  <si>
    <t>INGEROZCOL</t>
  </si>
  <si>
    <t>53</t>
  </si>
  <si>
    <t>ADOPTADO_EXISTENTE</t>
  </si>
  <si>
    <t>apply|WOULD_ADOPT_EXISTING|ibr=NOT_REQUIRED|tipo=PAGO|subtipo=SALDO_VENCIDO</t>
  </si>
  <si>
    <t>1fc2b10a-b93d-47a3-b419-6ced3f84877c|53|informacion creditos-clientes/03 comware pruebas- informacion creditos clientes/ingerozcol/asientos contables cred 53/cred 53 -1.pdf||</t>
  </si>
  <si>
    <t>INFORMACION CREDITOS-CLIENTES/03 COMWARE PRUEBAS- INFORMACION CREDITOS CLIENTES/INGEROZCOL/ASIENTOS CONTABLES CRED 53/CRED 53 -1.pdf</t>
  </si>
  <si>
    <t>ff8251de7941e7443f26d850db1eff38fecf7c6132579d1b2026c648b2625a38</t>
  </si>
  <si>
    <t>"{7D8EB68C-7A89-499C-9418-3E26A88AC612},1"</t>
  </si>
  <si>
    <t>PAGO</t>
  </si>
  <si>
    <t>ABONO A CUOTAS EN MORA</t>
  </si>
  <si>
    <t>SALDO_VENCIDO</t>
  </si>
  <si>
    <t>REFERENCIA_SALDO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</si>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</sst>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136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165" fontId="0" fillId="0" borderId="0" xfId="2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0" fillId="2" borderId="0" xfId="2" applyNumberFormat="1" applyFont="1" applyFill="1" applyProtection="1">
      <protection locked="0"/>
    </xf>
    <xf numFmtId="164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0" fontId="3" fillId="4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43" fontId="0" fillId="5" borderId="3" xfId="1" applyFont="1" applyFill="1" applyBorder="1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3" xfId="1" applyFont="1" applyBorder="1"/>
    <xf numFmtId="0" fontId="3" fillId="5" borderId="5" xfId="0" applyFont="1" applyFill="1" applyBorder="1" applyAlignment="1">
      <alignment horizontal="center" vertical="top"/>
    </xf>
    <xf numFmtId="0" fontId="3" fillId="5" borderId="6" xfId="0" applyFont="1" applyFill="1" applyBorder="1" applyAlignment="1">
      <alignment horizontal="center" wrapText="1"/>
    </xf>
    <xf numFmtId="14" fontId="0" fillId="0" borderId="7" xfId="0" applyNumberFormat="1" applyBorder="1"/>
    <xf numFmtId="43" fontId="5" fillId="6" borderId="8" xfId="1" applyFont="1" applyFill="1" applyBorder="1"/>
    <xf numFmtId="43" fontId="5" fillId="6" borderId="8" xfId="0" applyNumberFormat="1" applyFont="1" applyFill="1" applyBorder="1"/>
    <xf numFmtId="0" fontId="0" fillId="0" borderId="9" xfId="0" applyBorder="1" applyAlignment="1">
      <alignment horizontal="center"/>
    </xf>
    <xf numFmtId="164" fontId="0" fillId="0" borderId="10" xfId="0" applyNumberFormat="1" applyBorder="1"/>
    <xf numFmtId="43" fontId="0" fillId="0" borderId="10" xfId="0" applyNumberFormat="1" applyBorder="1"/>
    <xf numFmtId="43" fontId="5" fillId="6" borderId="11" xfId="0" applyNumberFormat="1" applyFont="1" applyFill="1" applyBorder="1"/>
    <xf numFmtId="43" fontId="0" fillId="7" borderId="0" xfId="1" applyFont="1" applyFill="1"/>
    <xf numFmtId="165" fontId="0" fillId="0" borderId="0" xfId="2" applyNumberFormat="1" applyFont="1" applyProtection="1">
      <protection locked="0"/>
    </xf>
    <xf numFmtId="0" fontId="2" fillId="0" borderId="0" xfId="0" applyFont="1" applyAlignment="1">
      <alignment horizontal="center"/>
    </xf>
    <xf numFmtId="0" fontId="0" fillId="0" borderId="12" xfId="0" applyBorder="1"/>
    <xf numFmtId="43" fontId="0" fillId="0" borderId="12" xfId="0" applyNumberFormat="1" applyBorder="1"/>
    <xf numFmtId="0" fontId="0" fillId="0" borderId="3" xfId="0" applyBorder="1" applyAlignment="1">
      <alignment horizontal="center"/>
    </xf>
    <xf numFmtId="14" fontId="0" fillId="0" borderId="3" xfId="0" applyNumberFormat="1" applyBorder="1"/>
    <xf numFmtId="0" fontId="0" fillId="0" borderId="3" xfId="0" applyBorder="1"/>
    <xf numFmtId="43" fontId="0" fillId="0" borderId="3" xfId="0" applyNumberFormat="1" applyBorder="1"/>
    <xf numFmtId="164" fontId="0" fillId="0" borderId="3" xfId="0" applyNumberFormat="1" applyBorder="1"/>
    <xf numFmtId="17" fontId="5" fillId="0" borderId="0" xfId="0" applyNumberFormat="1" applyFont="1" applyAlignment="1">
      <alignment horizontal="center"/>
    </xf>
    <xf numFmtId="0" fontId="3" fillId="5" borderId="3" xfId="0" applyFont="1" applyFill="1" applyBorder="1" applyAlignment="1">
      <alignment horizontal="center" vertical="top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top"/>
    </xf>
    <xf numFmtId="0" fontId="3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/>
    </xf>
    <xf numFmtId="14" fontId="0" fillId="0" borderId="3" xfId="1" applyNumberFormat="1" applyFont="1" applyBorder="1"/>
    <xf numFmtId="0" fontId="3" fillId="5" borderId="3" xfId="0" applyFont="1" applyFill="1" applyBorder="1" applyAlignment="1">
      <alignment horizontal="center" wrapText="1"/>
    </xf>
    <xf numFmtId="43" fontId="5" fillId="3" borderId="3" xfId="1" applyFont="1" applyFill="1" applyBorder="1"/>
    <xf numFmtId="14" fontId="6" fillId="0" borderId="0" xfId="0" applyNumberFormat="1" applyFont="1"/>
    <xf numFmtId="164" fontId="0" fillId="3" borderId="0" xfId="1" applyNumberFormat="1" applyFont="1" applyFill="1"/>
    <xf numFmtId="164" fontId="1" fillId="3" borderId="0" xfId="1" applyNumberFormat="1" applyFill="1"/>
    <xf numFmtId="164" fontId="1" fillId="0" borderId="0" xfId="1" applyNumberFormat="1"/>
    <xf numFmtId="165" fontId="1" fillId="0" borderId="0" xfId="2" applyNumberFormat="1" applyProtection="1">
      <protection locked="0"/>
    </xf>
    <xf numFmtId="165" fontId="5" fillId="2" borderId="0" xfId="2" applyNumberFormat="1" applyFont="1" applyFill="1" applyProtection="1">
      <protection locked="0"/>
    </xf>
    <xf numFmtId="0" fontId="6" fillId="0" borderId="0" xfId="0" applyFont="1"/>
    <xf numFmtId="165" fontId="5" fillId="0" borderId="0" xfId="2" applyNumberFormat="1" applyFont="1" applyProtection="1">
      <protection locked="0"/>
    </xf>
    <xf numFmtId="164" fontId="7" fillId="3" borderId="0" xfId="1" applyNumberFormat="1" applyFont="1" applyFill="1"/>
    <xf numFmtId="164" fontId="5" fillId="3" borderId="0" xfId="1" applyNumberFormat="1" applyFont="1" applyFill="1"/>
    <xf numFmtId="43" fontId="7" fillId="0" borderId="3" xfId="1" applyFont="1" applyBorder="1"/>
    <xf numFmtId="164" fontId="5" fillId="0" borderId="0" xfId="1" applyNumberFormat="1" applyFont="1"/>
    <xf numFmtId="43" fontId="0" fillId="0" borderId="12" xfId="1" applyFont="1" applyBorder="1"/>
    <xf numFmtId="43" fontId="0" fillId="0" borderId="18" xfId="1" applyFont="1" applyBorder="1"/>
    <xf numFmtId="14" fontId="0" fillId="0" borderId="17" xfId="0" applyNumberFormat="1" applyBorder="1"/>
    <xf numFmtId="43" fontId="5" fillId="0" borderId="3" xfId="1" applyFont="1" applyBorder="1"/>
    <xf numFmtId="43" fontId="5" fillId="0" borderId="18" xfId="1" applyFont="1" applyBorder="1"/>
    <xf numFmtId="43" fontId="5" fillId="0" borderId="20" xfId="1" applyFont="1" applyBorder="1"/>
    <xf numFmtId="43" fontId="5" fillId="0" borderId="21" xfId="1" applyFont="1" applyBorder="1"/>
    <xf numFmtId="14" fontId="5" fillId="0" borderId="17" xfId="0" applyNumberFormat="1" applyFont="1" applyBorder="1"/>
    <xf numFmtId="14" fontId="5" fillId="0" borderId="19" xfId="0" applyNumberFormat="1" applyFont="1" applyBorder="1"/>
    <xf numFmtId="0" fontId="3" fillId="10" borderId="17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14" fontId="5" fillId="3" borderId="17" xfId="1" applyNumberFormat="1" applyFont="1" applyFill="1" applyBorder="1"/>
    <xf numFmtId="17" fontId="5" fillId="0" borderId="0" xfId="0" applyNumberFormat="1" applyFont="1"/>
    <xf numFmtId="0" fontId="3" fillId="3" borderId="0" xfId="0" applyFont="1" applyFill="1" applyAlignment="1">
      <alignment horizontal="center"/>
    </xf>
    <xf numFmtId="0" fontId="5" fillId="0" borderId="0" xfId="0" applyFont="1"/>
    <xf numFmtId="14" fontId="0" fillId="5" borderId="22" xfId="1" applyNumberFormat="1" applyFont="1" applyFill="1" applyBorder="1"/>
    <xf numFmtId="43" fontId="0" fillId="0" borderId="2" xfId="1" applyFont="1" applyBorder="1"/>
    <xf numFmtId="43" fontId="0" fillId="0" borderId="23" xfId="1" applyFont="1" applyBorder="1"/>
    <xf numFmtId="164" fontId="8" fillId="0" borderId="0" xfId="1" applyNumberFormat="1" applyFont="1"/>
    <xf numFmtId="165" fontId="8" fillId="0" borderId="0" xfId="2" applyNumberFormat="1" applyFont="1" applyProtection="1">
      <protection locked="0"/>
    </xf>
    <xf numFmtId="0" fontId="8" fillId="0" borderId="0" xfId="0" applyFont="1" applyAlignment="1">
      <alignment horizontal="center"/>
    </xf>
    <xf numFmtId="165" fontId="8" fillId="0" borderId="0" xfId="2" applyNumberFormat="1" applyFont="1"/>
    <xf numFmtId="0" fontId="9" fillId="0" borderId="0" xfId="0" applyFont="1" applyAlignment="1">
      <alignment horizontal="center"/>
    </xf>
    <xf numFmtId="0" fontId="8" fillId="0" borderId="0" xfId="0" applyFont="1"/>
    <xf numFmtId="43" fontId="8" fillId="0" borderId="0" xfId="1" applyFont="1"/>
    <xf numFmtId="43" fontId="0" fillId="11" borderId="0" xfId="0" applyNumberFormat="1" applyFill="1"/>
    <xf numFmtId="0" fontId="0" fillId="7" borderId="0" xfId="0" applyFill="1"/>
    <xf numFmtId="0" fontId="5" fillId="12" borderId="0" xfId="0" applyFont="1" applyFill="1" applyAlignment="1">
      <alignment horizontal="center"/>
    </xf>
    <xf numFmtId="164" fontId="5" fillId="12" borderId="0" xfId="1" applyNumberFormat="1" applyFont="1" applyFill="1"/>
    <xf numFmtId="165" fontId="5" fillId="12" borderId="0" xfId="2" applyNumberFormat="1" applyFont="1" applyFill="1" applyProtection="1">
      <protection locked="0"/>
    </xf>
    <xf numFmtId="165" fontId="5" fillId="12" borderId="0" xfId="2" applyNumberFormat="1" applyFont="1" applyFill="1"/>
    <xf numFmtId="0" fontId="2" fillId="12" borderId="0" xfId="0" applyFont="1" applyFill="1" applyAlignment="1">
      <alignment horizontal="center"/>
    </xf>
    <xf numFmtId="0" fontId="5" fillId="12" borderId="0" xfId="0" applyFont="1" applyFill="1"/>
    <xf numFmtId="165" fontId="1" fillId="0" borderId="0" xfId="2" applyNumberFormat="1"/>
    <xf numFmtId="0" fontId="10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65" fontId="8" fillId="3" borderId="0" xfId="2" applyNumberFormat="1" applyFont="1" applyFill="1" applyProtection="1">
      <protection locked="0"/>
    </xf>
    <xf numFmtId="165" fontId="1" fillId="3" borderId="0" xfId="2" applyNumberFormat="1" applyFill="1" applyProtection="1">
      <protection locked="0"/>
    </xf>
    <xf numFmtId="165" fontId="1" fillId="3" borderId="0" xfId="2" applyNumberFormat="1" applyFill="1"/>
    <xf numFmtId="0" fontId="10" fillId="3" borderId="0" xfId="0" applyFont="1" applyFill="1" applyAlignment="1">
      <alignment horizontal="center"/>
    </xf>
    <xf numFmtId="165" fontId="6" fillId="12" borderId="0" xfId="2" applyNumberFormat="1" applyFont="1" applyFill="1" applyProtection="1">
      <protection locked="0"/>
    </xf>
    <xf numFmtId="165" fontId="11" fillId="0" borderId="0" xfId="2" applyNumberFormat="1" applyFont="1" applyProtection="1">
      <protection locked="0"/>
    </xf>
    <xf numFmtId="165" fontId="11" fillId="3" borderId="0" xfId="2" applyNumberFormat="1" applyFont="1" applyFill="1" applyProtection="1">
      <protection locked="0"/>
    </xf>
    <xf numFmtId="43" fontId="0" fillId="0" borderId="24" xfId="1" applyFont="1" applyBorder="1" applyAlignment="1">
      <alignment vertical="center"/>
    </xf>
    <xf numFmtId="43" fontId="0" fillId="0" borderId="2" xfId="1" applyFont="1" applyBorder="1" applyAlignment="1">
      <alignment vertical="center"/>
    </xf>
    <xf numFmtId="14" fontId="0" fillId="0" borderId="24" xfId="0" applyNumberFormat="1" applyBorder="1" applyAlignment="1">
      <alignment vertical="center"/>
    </xf>
    <xf numFmtId="14" fontId="0" fillId="0" borderId="2" xfId="0" applyNumberFormat="1" applyBorder="1" applyAlignment="1">
      <alignment vertical="center"/>
    </xf>
    <xf numFmtId="43" fontId="7" fillId="0" borderId="24" xfId="1" applyFont="1" applyBorder="1" applyAlignment="1">
      <alignment vertical="center"/>
    </xf>
    <xf numFmtId="43" fontId="7" fillId="0" borderId="2" xfId="1" applyFont="1" applyBorder="1" applyAlignment="1">
      <alignment vertical="center"/>
    </xf>
    <xf numFmtId="0" fontId="3" fillId="12" borderId="25" xfId="0" applyFont="1" applyFill="1" applyBorder="1" applyAlignment="1">
      <alignment horizontal="center" vertical="top"/>
    </xf>
    <xf numFmtId="0" fontId="3" fillId="12" borderId="26" xfId="0" applyFont="1" applyFill="1" applyBorder="1" applyAlignment="1">
      <alignment horizontal="center" vertical="center" wrapText="1"/>
    </xf>
    <xf numFmtId="0" fontId="3" fillId="12" borderId="26" xfId="0" applyFont="1" applyFill="1" applyBorder="1" applyAlignment="1">
      <alignment horizontal="center" vertical="center"/>
    </xf>
    <xf numFmtId="0" fontId="3" fillId="12" borderId="26" xfId="0" applyFont="1" applyFill="1" applyBorder="1" applyAlignment="1">
      <alignment horizontal="center" wrapText="1"/>
    </xf>
    <xf numFmtId="0" fontId="3" fillId="12" borderId="27" xfId="0" applyFont="1" applyFill="1" applyBorder="1" applyAlignment="1">
      <alignment horizontal="center" vertical="center"/>
    </xf>
    <xf numFmtId="165" fontId="12" fillId="12" borderId="0" xfId="2" applyNumberFormat="1" applyFont="1" applyFill="1" applyProtection="1">
      <protection locked="0"/>
    </xf>
    <xf numFmtId="17" fontId="0" fillId="0" borderId="0" xfId="0" applyNumberFormat="1"/>
    <xf numFmtId="0" fontId="5" fillId="12" borderId="28" xfId="0" applyFont="1" applyFill="1" applyBorder="1" applyAlignment="1">
      <alignment horizontal="center" wrapText="1"/>
    </xf>
    <xf numFmtId="0" fontId="0" fillId="10" borderId="3" xfId="0" applyFill="1" applyBorder="1" applyAlignment="1">
      <alignment horizontal="center" wrapText="1"/>
    </xf>
    <xf numFmtId="0" fontId="5" fillId="5" borderId="28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10" borderId="29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/>
    </xf>
    <xf numFmtId="0" fontId="0" fillId="0" borderId="1" xfId="0" applyBorder="1" applyAlignment="1"/>
    <xf numFmtId="0" fontId="0" fillId="0" borderId="4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>IF(AND(A13&lt;$B$6)*(A13&lt;&gt;0),1+A13," ")</f>
        <v>3</v>
      </c>
      <c r="B14" s="6">
        <f>IF(A14&lt;&gt;" ",+B13*1," ")</f>
        <v>171000.69483453908</v>
      </c>
      <c r="C14" s="6">
        <f>IF(A14&lt;&gt;" ",+C13*1," ")</f>
        <v>171000.69483453908</v>
      </c>
    </row>
    <row r="15" spans="1:11">
      <c r="A15" s="7">
        <f>IF(AND(A14&lt;$B$6)*(A14&lt;&gt;0),1+A14," ")</f>
        <v>4</v>
      </c>
      <c r="B15" s="6">
        <f>IF(A15&lt;&gt;" ",+B14*1," ")</f>
        <v>171000.69483453908</v>
      </c>
      <c r="C15" s="6">
        <f>IF(A15&lt;&gt;" ",+C14*1," ")</f>
        <v>171000.69483453908</v>
      </c>
    </row>
    <row r="16" spans="1:11">
      <c r="A16" s="7">
        <f>IF(AND(A15&lt;$B$6)*(A15&lt;&gt;0),1+A15," ")</f>
        <v>5</v>
      </c>
      <c r="B16" s="6">
        <f>IF(A16&lt;&gt;" ",+B15*1," ")</f>
        <v>171000.69483453908</v>
      </c>
      <c r="C16" s="6">
        <f>IF(A16&lt;&gt;" ",+C15*1," ")</f>
        <v>171000.69483453908</v>
      </c>
    </row>
    <row r="17" spans="1:3">
      <c r="A17" s="7">
        <f>IF(AND(A16&lt;$B$6)*(A16&lt;&gt;0),1+A16," ")</f>
        <v>6</v>
      </c>
      <c r="B17" s="6">
        <f>IF(A17&lt;&gt;" ",+B16*1," ")</f>
        <v>171000.69483453908</v>
      </c>
      <c r="C17" s="6">
        <f>IF(A17&lt;&gt;" ",+C16*1," ")</f>
        <v>171000.69483453908</v>
      </c>
    </row>
    <row r="18" spans="1:3">
      <c r="A18" s="7">
        <f>IF(AND(A17&lt;$B$6)*(A17&lt;&gt;0),1+A17," ")</f>
        <v>7</v>
      </c>
      <c r="B18" s="6">
        <f>IF(A18&lt;&gt;" ",+B17*1," ")</f>
        <v>171000.69483453908</v>
      </c>
      <c r="C18" s="6">
        <f>IF(A18&lt;&gt;" ",+C17*1," ")</f>
        <v>171000.69483453908</v>
      </c>
    </row>
    <row r="19" spans="1:3">
      <c r="A19" s="7">
        <f>IF(AND(A18&lt;$B$6)*(A18&lt;&gt;0),1+A18," ")</f>
        <v>8</v>
      </c>
      <c r="B19" s="6">
        <f>IF(A19&lt;&gt;" ",+B18*1," ")</f>
        <v>171000.69483453908</v>
      </c>
      <c r="C19" s="6">
        <f>IF(A19&lt;&gt;" ",+C18*1," ")</f>
        <v>171000.69483453908</v>
      </c>
    </row>
    <row r="20" spans="1:3">
      <c r="A20" s="7">
        <f>IF(AND(A19&lt;$B$6)*(A19&lt;&gt;0),1+A19," ")</f>
        <v>9</v>
      </c>
      <c r="B20" s="6">
        <f>IF(A20&lt;&gt;" ",+B19*1," ")</f>
        <v>171000.69483453908</v>
      </c>
      <c r="C20" s="6">
        <f>IF(A20&lt;&gt;" ",+C19*1," ")</f>
        <v>171000.69483453908</v>
      </c>
    </row>
    <row r="21" spans="1:3">
      <c r="A21" s="7">
        <f>IF(AND(A20&lt;$B$6)*(A20&lt;&gt;0),1+A20," ")</f>
        <v>10</v>
      </c>
      <c r="B21" s="6">
        <f>IF(A21&lt;&gt;" ",+B20*1," ")</f>
        <v>171000.69483453908</v>
      </c>
      <c r="C21" s="6">
        <f>IF(A21&lt;&gt;" ",+C20*1," ")</f>
        <v>171000.69483453908</v>
      </c>
    </row>
    <row r="22" spans="1:3">
      <c r="A22" s="7">
        <f>IF(AND(A21&lt;$B$6)*(A21&lt;&gt;0),1+A21," ")</f>
        <v>11</v>
      </c>
      <c r="B22" s="6">
        <f>IF(A22&lt;&gt;" ",+B21*1," ")</f>
        <v>171000.69483453908</v>
      </c>
      <c r="C22" s="6">
        <f>IF(A22&lt;&gt;" ",+C21*1," ")</f>
        <v>171000.69483453908</v>
      </c>
    </row>
    <row r="23" spans="1:3">
      <c r="A23" s="7">
        <f>IF(AND(A22&lt;$B$6)*(A22&lt;&gt;0),1+A22," ")</f>
        <v>12</v>
      </c>
      <c r="B23" s="6">
        <f>IF(A23&lt;&gt;" ",+B22*1," ")</f>
        <v>171000.69483453908</v>
      </c>
      <c r="C23" s="6">
        <f>IF(A23&lt;&gt;" ",+C22*1," ")</f>
        <v>171000.69483453908</v>
      </c>
    </row>
    <row r="24" spans="1:3">
      <c r="A24" s="7">
        <f>IF(AND(A23&lt;$B$6)*(A23&lt;&gt;0),1+A23," ")</f>
        <v>13</v>
      </c>
      <c r="B24" s="6">
        <f>IF(A24&lt;&gt;" ",+B23*1," ")</f>
        <v>171000.69483453908</v>
      </c>
      <c r="C24" s="6">
        <f>IF(A24&lt;&gt;" ",+C23*1," ")</f>
        <v>171000.69483453908</v>
      </c>
    </row>
    <row r="25" spans="1:3">
      <c r="A25" s="7">
        <f>IF(AND(A24&lt;$B$6)*(A24&lt;&gt;0),1+A24," ")</f>
        <v>14</v>
      </c>
      <c r="B25" s="6">
        <f>IF(A25&lt;&gt;" ",+B24*1," ")</f>
        <v>171000.69483453908</v>
      </c>
      <c r="C25" s="6">
        <f>IF(A25&lt;&gt;" ",+C24*1," ")</f>
        <v>171000.69483453908</v>
      </c>
    </row>
    <row r="26" spans="1:3">
      <c r="A26" s="7">
        <f>IF(AND(A25&lt;$B$6)*(A25&lt;&gt;0),1+A25," ")</f>
        <v>15</v>
      </c>
      <c r="B26" s="6">
        <f>IF(A26&lt;&gt;" ",+B25*1," ")</f>
        <v>171000.69483453908</v>
      </c>
      <c r="C26" s="6">
        <f>IF(A26&lt;&gt;" ",+C25*1," ")</f>
        <v>171000.69483453908</v>
      </c>
    </row>
    <row r="27" spans="1:3">
      <c r="A27" s="7">
        <f>IF(AND(A26&lt;$B$6)*(A26&lt;&gt;0),1+A26," ")</f>
        <v>16</v>
      </c>
      <c r="B27" s="6">
        <f>IF(A27&lt;&gt;" ",+B26*1," ")</f>
        <v>171000.69483453908</v>
      </c>
      <c r="C27" s="6">
        <f>IF(A27&lt;&gt;" ",+C26*1," ")</f>
        <v>171000.69483453908</v>
      </c>
    </row>
    <row r="28" spans="1:3">
      <c r="A28" s="7">
        <f>IF(AND(A27&lt;$B$6)*(A27&lt;&gt;0),1+A27," ")</f>
        <v>17</v>
      </c>
      <c r="B28" s="6">
        <f>IF(A28&lt;&gt;" ",+B27*1," ")</f>
        <v>171000.69483453908</v>
      </c>
      <c r="C28" s="6">
        <f>IF(A28&lt;&gt;" ",+C27*1," ")</f>
        <v>171000.69483453908</v>
      </c>
    </row>
    <row r="29" spans="1:3">
      <c r="A29" s="7">
        <f>IF(AND(A28&lt;$B$6)*(A28&lt;&gt;0),1+A28," ")</f>
        <v>18</v>
      </c>
      <c r="B29" s="6">
        <f>IF(A29&lt;&gt;" ",+B28*1," ")</f>
        <v>171000.69483453908</v>
      </c>
      <c r="C29" s="6">
        <f>IF(A29&lt;&gt;" ",+C28*1," ")</f>
        <v>171000.69483453908</v>
      </c>
    </row>
    <row r="30" spans="1:3">
      <c r="A30" s="7">
        <f>IF(AND(A29&lt;$B$6)*(A29&lt;&gt;0),1+A29," ")</f>
        <v>19</v>
      </c>
      <c r="B30" s="6">
        <f>IF(A30&lt;&gt;" ",+B29*1," ")</f>
        <v>171000.69483453908</v>
      </c>
      <c r="C30" s="6">
        <f>IF(A30&lt;&gt;" ",+C29*1," ")</f>
        <v>171000.69483453908</v>
      </c>
    </row>
    <row r="31" spans="1:3">
      <c r="A31" s="7">
        <f>IF(AND(A30&lt;$B$6)*(A30&lt;&gt;0),1+A30," ")</f>
        <v>20</v>
      </c>
      <c r="B31" s="6">
        <f>IF(A31&lt;&gt;" ",+B30*1," ")</f>
        <v>171000.69483453908</v>
      </c>
      <c r="C31" s="6">
        <f>IF(A31&lt;&gt;" ",+C30*1," ")</f>
        <v>171000.69483453908</v>
      </c>
    </row>
    <row r="32" spans="1:3">
      <c r="A32" s="7">
        <f>IF(AND(A31&lt;$B$6)*(A31&lt;&gt;0),1+A31," ")</f>
        <v>21</v>
      </c>
      <c r="B32" s="6">
        <f>IF(A32&lt;&gt;" ",+B31*1," ")</f>
        <v>171000.69483453908</v>
      </c>
      <c r="C32" s="6">
        <f>IF(A32&lt;&gt;" ",+C31*1," ")</f>
        <v>171000.69483453908</v>
      </c>
    </row>
    <row r="33" spans="1:3">
      <c r="A33" s="7">
        <f>IF(AND(A32&lt;$B$6)*(A32&lt;&gt;0),1+A32," ")</f>
        <v>22</v>
      </c>
      <c r="B33" s="6">
        <f>IF(A33&lt;&gt;" ",+B32*1," ")</f>
        <v>171000.69483453908</v>
      </c>
      <c r="C33" s="6">
        <f>IF(A33&lt;&gt;" ",+C32*1," ")</f>
        <v>171000.69483453908</v>
      </c>
    </row>
    <row r="34" spans="1:3">
      <c r="A34" s="7">
        <f>IF(AND(A33&lt;$B$6)*(A33&lt;&gt;0),1+A33," ")</f>
        <v>23</v>
      </c>
      <c r="B34" s="6">
        <f>IF(A34&lt;&gt;" ",+B33*1," ")</f>
        <v>171000.69483453908</v>
      </c>
      <c r="C34" s="6">
        <f>IF(A34&lt;&gt;" ",+C33*1," ")</f>
        <v>171000.69483453908</v>
      </c>
    </row>
    <row r="35" spans="1:3">
      <c r="A35" s="7">
        <f>IF(AND(A34&lt;$B$6)*(A34&lt;&gt;0),1+A34," ")</f>
        <v>24</v>
      </c>
      <c r="B35" s="6">
        <f>IF(A35&lt;&gt;" ",+B34*1," ")</f>
        <v>171000.69483453908</v>
      </c>
      <c r="C35" s="6">
        <f>IF(A35&lt;&gt;" ",+C34*1," ")</f>
        <v>171000.69483453908</v>
      </c>
    </row>
    <row r="36" spans="1:3">
      <c r="A36" s="7">
        <f>IF(AND(A35&lt;$B$6)*(A35&lt;&gt;0),1+A35," ")</f>
        <v>25</v>
      </c>
      <c r="B36" s="6">
        <f>IF(A36&lt;&gt;" ",+B35*1," ")</f>
        <v>171000.69483453908</v>
      </c>
      <c r="C36" s="6">
        <f>IF(A36&lt;&gt;" ",+C35*1," ")</f>
        <v>171000.69483453908</v>
      </c>
    </row>
    <row r="37" spans="1:3">
      <c r="A37" s="7">
        <f>IF(AND(A36&lt;$B$6)*(A36&lt;&gt;0),1+A36," ")</f>
        <v>26</v>
      </c>
      <c r="B37" s="6">
        <f>IF(A37&lt;&gt;" ",+B36*1," ")</f>
        <v>171000.69483453908</v>
      </c>
      <c r="C37" s="6">
        <f>IF(A37&lt;&gt;" ",+C36*1," ")</f>
        <v>171000.69483453908</v>
      </c>
    </row>
    <row r="38" spans="1:3">
      <c r="A38" s="7">
        <f>IF(AND(A37&lt;$B$6)*(A37&lt;&gt;0),1+A37," ")</f>
        <v>27</v>
      </c>
      <c r="B38" s="6">
        <f>IF(A38&lt;&gt;" ",+B37*1," ")</f>
        <v>171000.69483453908</v>
      </c>
      <c r="C38" s="6">
        <f>IF(A38&lt;&gt;" ",+C37*1," ")</f>
        <v>171000.69483453908</v>
      </c>
    </row>
    <row r="39" spans="1:3">
      <c r="A39" s="7">
        <f>IF(AND(A38&lt;$B$6)*(A38&lt;&gt;0),1+A38," ")</f>
        <v>28</v>
      </c>
      <c r="B39" s="6">
        <f>IF(A39&lt;&gt;" ",+B38*1," ")</f>
        <v>171000.69483453908</v>
      </c>
      <c r="C39" s="6">
        <f>IF(A39&lt;&gt;" ",+C38*1," ")</f>
        <v>171000.69483453908</v>
      </c>
    </row>
    <row r="40" spans="1:3">
      <c r="A40" s="7">
        <f>IF(AND(A39&lt;$B$6)*(A39&lt;&gt;0),1+A39," ")</f>
        <v>29</v>
      </c>
      <c r="B40" s="6">
        <f>IF(A40&lt;&gt;" ",+B39*1," ")</f>
        <v>171000.69483453908</v>
      </c>
      <c r="C40" s="6">
        <f>IF(A40&lt;&gt;" ",+C39*1," ")</f>
        <v>171000.69483453908</v>
      </c>
    </row>
    <row r="41" spans="1:3">
      <c r="A41" s="7">
        <f>IF(AND(A40&lt;$B$6)*(A40&lt;&gt;0),1+A40," ")</f>
        <v>30</v>
      </c>
      <c r="B41" s="6">
        <f>IF(A41&lt;&gt;" ",+B40*1," ")</f>
        <v>171000.69483453908</v>
      </c>
      <c r="C41" s="6">
        <f>IF(A41&lt;&gt;" ",+C40*1," ")</f>
        <v>171000.69483453908</v>
      </c>
    </row>
    <row r="42" spans="1:3">
      <c r="A42" s="7">
        <f>IF(AND(A41&lt;$B$6)*(A41&lt;&gt;0),1+A41," ")</f>
        <v>31</v>
      </c>
      <c r="B42" s="6">
        <f>IF(A42&lt;&gt;" ",+B41*1," ")</f>
        <v>171000.69483453908</v>
      </c>
      <c r="C42" s="6">
        <f>IF(A42&lt;&gt;" ",+C41*1," ")</f>
        <v>171000.69483453908</v>
      </c>
    </row>
    <row r="43" spans="1:3">
      <c r="A43" s="7">
        <f>IF(AND(A42&lt;$B$6)*(A42&lt;&gt;0),1+A42," ")</f>
        <v>32</v>
      </c>
      <c r="B43" s="6">
        <f>IF(A43&lt;&gt;" ",+B42*1," ")</f>
        <v>171000.69483453908</v>
      </c>
      <c r="C43" s="6">
        <f>IF(A43&lt;&gt;" ",+C42*1," ")</f>
        <v>171000.69483453908</v>
      </c>
    </row>
    <row r="44" spans="1:3">
      <c r="A44" s="7">
        <f>IF(AND(A43&lt;$B$6)*(A43&lt;&gt;0),1+A43," ")</f>
        <v>33</v>
      </c>
      <c r="B44" s="6">
        <f>IF(A44&lt;&gt;" ",+B43*1," ")</f>
        <v>171000.69483453908</v>
      </c>
      <c r="C44" s="6">
        <f>IF(A44&lt;&gt;" ",+C43*1," ")</f>
        <v>171000.69483453908</v>
      </c>
    </row>
    <row r="45" spans="1:3">
      <c r="A45" s="7">
        <f>IF(AND(A44&lt;$B$6)*(A44&lt;&gt;0),1+A44," ")</f>
        <v>34</v>
      </c>
      <c r="B45" s="6">
        <f>IF(A45&lt;&gt;" ",+B44*1," ")</f>
        <v>171000.69483453908</v>
      </c>
      <c r="C45" s="6">
        <f>IF(A45&lt;&gt;" ",+C44*1," ")</f>
        <v>171000.69483453908</v>
      </c>
    </row>
    <row r="46" spans="1:3">
      <c r="A46" s="7">
        <f>IF(AND(A45&lt;$B$6)*(A45&lt;&gt;0),1+A45," ")</f>
        <v>35</v>
      </c>
      <c r="B46" s="6">
        <f>IF(A46&lt;&gt;" ",+B45*1," ")</f>
        <v>171000.69483453908</v>
      </c>
      <c r="C46" s="6">
        <f>IF(A46&lt;&gt;" ",+C45*1," ")</f>
        <v>171000.69483453908</v>
      </c>
    </row>
    <row r="47" spans="1:3">
      <c r="A47" s="7">
        <f>IF(AND(A46&lt;$B$6)*(A46&lt;&gt;0),1+A46," ")</f>
        <v>36</v>
      </c>
      <c r="B47" s="6">
        <f>IF(A47&lt;&gt;" ",+B46*1," ")</f>
        <v>171000.69483453908</v>
      </c>
      <c r="C47" s="6">
        <f>IF(A47&lt;&gt;" ",+C46*1," ")</f>
        <v>171000.69483453908</v>
      </c>
    </row>
    <row r="48" spans="1:3">
      <c r="A48" s="7">
        <f>IF(AND(A47&lt;$B$6)*(A47&lt;&gt;0),1+A47," ")</f>
        <v>37</v>
      </c>
      <c r="B48" s="6">
        <f>IF(A48&lt;&gt;" ",+B47*1," ")</f>
        <v>171000.69483453908</v>
      </c>
      <c r="C48" s="6">
        <f>IF(A48&lt;&gt;" ",+C47*1," ")</f>
        <v>171000.69483453908</v>
      </c>
    </row>
    <row r="49" spans="1:3">
      <c r="A49" s="7">
        <f>IF(AND(A48&lt;$B$6)*(A48&lt;&gt;0),1+A48," ")</f>
        <v>38</v>
      </c>
      <c r="B49" s="6">
        <f>IF(A49&lt;&gt;" ",+B48*1," ")</f>
        <v>171000.69483453908</v>
      </c>
      <c r="C49" s="6">
        <f>IF(A49&lt;&gt;" ",+C48*1," ")</f>
        <v>171000.69483453908</v>
      </c>
    </row>
    <row r="50" spans="1:3">
      <c r="A50" s="7">
        <f>IF(AND(A49&lt;$B$6)*(A49&lt;&gt;0),1+A49," ")</f>
        <v>39</v>
      </c>
      <c r="B50" s="6">
        <f>IF(A50&lt;&gt;" ",+B49*1," ")</f>
        <v>171000.69483453908</v>
      </c>
      <c r="C50" s="6">
        <f>IF(A50&lt;&gt;" ",+C49*1," ")</f>
        <v>171000.69483453908</v>
      </c>
    </row>
    <row r="51" spans="1:3">
      <c r="A51" s="7">
        <f>IF(AND(A50&lt;$B$6)*(A50&lt;&gt;0),1+A50," ")</f>
        <v>40</v>
      </c>
      <c r="B51" s="6">
        <f>IF(A51&lt;&gt;" ",+B50*1," ")</f>
        <v>171000.69483453908</v>
      </c>
      <c r="C51" s="6">
        <f>IF(A51&lt;&gt;" ",+C50*1," ")</f>
        <v>171000.69483453908</v>
      </c>
    </row>
    <row r="52" spans="1:3">
      <c r="A52" s="7">
        <f>IF(AND(A51&lt;$B$6)*(A51&lt;&gt;0),1+A51," ")</f>
        <v>41</v>
      </c>
      <c r="B52" s="6">
        <f>IF(A52&lt;&gt;" ",+B51*1," ")</f>
        <v>171000.69483453908</v>
      </c>
      <c r="C52" s="6">
        <f>IF(A52&lt;&gt;" ",+C51*1," ")</f>
        <v>171000.69483453908</v>
      </c>
    </row>
    <row r="53" spans="1:3">
      <c r="A53" s="7">
        <f>IF(AND(A52&lt;$B$6)*(A52&lt;&gt;0),1+A52," ")</f>
        <v>42</v>
      </c>
      <c r="B53" s="6">
        <f>IF(A53&lt;&gt;" ",+B52*1," ")</f>
        <v>171000.69483453908</v>
      </c>
      <c r="C53" s="6">
        <f>IF(A53&lt;&gt;" ",+C52*1," ")</f>
        <v>171000.69483453908</v>
      </c>
    </row>
    <row r="54" spans="1:3">
      <c r="A54" s="7">
        <f>IF(AND(A53&lt;$B$6)*(A53&lt;&gt;0),1+A53," ")</f>
        <v>43</v>
      </c>
      <c r="B54" s="6">
        <f>IF(A54&lt;&gt;" ",+B53*1," ")</f>
        <v>171000.69483453908</v>
      </c>
      <c r="C54" s="6">
        <f>IF(A54&lt;&gt;" ",+C53*1," ")</f>
        <v>171000.69483453908</v>
      </c>
    </row>
    <row r="55" spans="1:3">
      <c r="A55" s="7">
        <f>IF(AND(A54&lt;$B$6)*(A54&lt;&gt;0),1+A54," ")</f>
        <v>44</v>
      </c>
      <c r="B55" s="6">
        <f>IF(A55&lt;&gt;" ",+B54*1," ")</f>
        <v>171000.69483453908</v>
      </c>
      <c r="C55" s="6">
        <f>IF(A55&lt;&gt;" ",+C54*1," ")</f>
        <v>171000.69483453908</v>
      </c>
    </row>
    <row r="56" spans="1:3">
      <c r="A56" s="7">
        <f>IF(AND(A55&lt;$B$6)*(A55&lt;&gt;0),1+A55," ")</f>
        <v>45</v>
      </c>
      <c r="B56" s="6">
        <f>IF(A56&lt;&gt;" ",+B55*1," ")</f>
        <v>171000.69483453908</v>
      </c>
      <c r="C56" s="6">
        <f>IF(A56&lt;&gt;" ",+C55*1," ")</f>
        <v>171000.69483453908</v>
      </c>
    </row>
    <row r="57" spans="1:3">
      <c r="A57" s="7">
        <f>IF(AND(A56&lt;$B$6)*(A56&lt;&gt;0),1+A56," ")</f>
        <v>46</v>
      </c>
      <c r="B57" s="6">
        <f>IF(A57&lt;&gt;" ",+B56*1," ")</f>
        <v>171000.69483453908</v>
      </c>
      <c r="C57" s="6">
        <f>IF(A57&lt;&gt;" ",+C56*1," ")</f>
        <v>171000.69483453908</v>
      </c>
    </row>
    <row r="58" spans="1:3">
      <c r="A58" s="7">
        <f>IF(AND(A57&lt;$B$6)*(A57&lt;&gt;0),1+A57," ")</f>
        <v>47</v>
      </c>
      <c r="B58" s="6">
        <f>IF(A58&lt;&gt;" ",+B57*1," ")</f>
        <v>171000.69483453908</v>
      </c>
      <c r="C58" s="6">
        <f>IF(A58&lt;&gt;" ",+C57*1," ")</f>
        <v>171000.69483453908</v>
      </c>
    </row>
    <row r="59" spans="1:3">
      <c r="A59" s="7">
        <f>IF(AND(A58&lt;$B$6)*(A58&lt;&gt;0),1+A58," ")</f>
        <v>48</v>
      </c>
      <c r="B59" s="6">
        <f>IF(A59&lt;&gt;" ",+B58*1," ")</f>
        <v>171000.69483453908</v>
      </c>
      <c r="C59" s="6">
        <f>IF(A59&lt;&gt;" ",+C58*1," ")</f>
        <v>171000.69483453908</v>
      </c>
    </row>
    <row r="60" spans="1:3">
      <c r="A60" s="7">
        <f>IF(AND(A59&lt;$B$6)*(A59&lt;&gt;0),1+A59," ")</f>
        <v>49</v>
      </c>
      <c r="B60" s="6">
        <f>IF(A60&lt;&gt;" ",+B59*1," ")</f>
        <v>171000.69483453908</v>
      </c>
      <c r="C60" s="6">
        <f>IF(A60&lt;&gt;" ",+C59*1," ")</f>
        <v>171000.69483453908</v>
      </c>
    </row>
    <row r="61" spans="1:3">
      <c r="A61" s="7">
        <f>IF(AND(A60&lt;$B$6)*(A60&lt;&gt;0),1+A60," ")</f>
        <v>50</v>
      </c>
      <c r="B61" s="6">
        <f>IF(A61&lt;&gt;" ",+B60*1," ")</f>
        <v>171000.69483453908</v>
      </c>
      <c r="C61" s="6">
        <f>IF(A61&lt;&gt;" ",+C60*1," ")</f>
        <v>171000.69483453908</v>
      </c>
    </row>
    <row r="62" spans="1:3">
      <c r="A62" s="7">
        <f>IF(AND(A61&lt;$B$6)*(A61&lt;&gt;0),1+A61," ")</f>
        <v>51</v>
      </c>
      <c r="B62" s="6">
        <f>IF(A62&lt;&gt;" ",+B61*1," ")</f>
        <v>171000.69483453908</v>
      </c>
      <c r="C62" s="6">
        <f>IF(A62&lt;&gt;" ",+C61*1," ")</f>
        <v>171000.69483453908</v>
      </c>
    </row>
    <row r="63" spans="1:3">
      <c r="A63" s="7">
        <f>IF(AND(A62&lt;$B$6)*(A62&lt;&gt;0),1+A62," ")</f>
        <v>52</v>
      </c>
      <c r="B63" s="6">
        <f>IF(A63&lt;&gt;" ",+B62*1," ")</f>
        <v>171000.69483453908</v>
      </c>
      <c r="C63" s="6">
        <f>IF(A63&lt;&gt;" ",+C62*1," ")</f>
        <v>171000.69483453908</v>
      </c>
    </row>
    <row r="64" spans="1:3">
      <c r="A64" s="7">
        <f>IF(AND(A63&lt;$B$6)*(A63&lt;&gt;0),1+A63," ")</f>
        <v>53</v>
      </c>
      <c r="B64" s="6">
        <f>IF(A64&lt;&gt;" ",+B63*1," ")</f>
        <v>171000.69483453908</v>
      </c>
      <c r="C64" s="6">
        <f>IF(A64&lt;&gt;" ",+C63*1," ")</f>
        <v>171000.69483453908</v>
      </c>
    </row>
    <row r="65" spans="1:3">
      <c r="A65" s="7">
        <f>IF(AND(A64&lt;$B$6)*(A64&lt;&gt;0),1+A64," ")</f>
        <v>54</v>
      </c>
      <c r="B65" s="6">
        <f>IF(A65&lt;&gt;" ",+B64*1," ")</f>
        <v>171000.69483453908</v>
      </c>
      <c r="C65" s="6">
        <f>IF(A65&lt;&gt;" ",+C64*1," ")</f>
        <v>171000.69483453908</v>
      </c>
    </row>
    <row r="66" spans="1:3">
      <c r="A66" s="7">
        <f>IF(AND(A65&lt;$B$6)*(A65&lt;&gt;0),1+A65," ")</f>
        <v>55</v>
      </c>
      <c r="B66" s="6">
        <f>IF(A66&lt;&gt;" ",+B65*1," ")</f>
        <v>171000.69483453908</v>
      </c>
      <c r="C66" s="6">
        <f>IF(A66&lt;&gt;" ",+C65*1," ")</f>
        <v>171000.69483453908</v>
      </c>
    </row>
    <row r="67" spans="1:3">
      <c r="A67" s="7">
        <f>IF(AND(A66&lt;$B$6)*(A66&lt;&gt;0),1+A66," ")</f>
        <v>56</v>
      </c>
      <c r="B67" s="6">
        <f>IF(A67&lt;&gt;" ",+B66*1," ")</f>
        <v>171000.69483453908</v>
      </c>
      <c r="C67" s="6">
        <f>IF(A67&lt;&gt;" ",+C66*1," ")</f>
        <v>171000.69483453908</v>
      </c>
    </row>
    <row r="68" spans="1:3">
      <c r="A68" s="7">
        <f>IF(AND(A67&lt;$B$6)*(A67&lt;&gt;0),1+A67," ")</f>
        <v>57</v>
      </c>
      <c r="B68" s="6">
        <f>IF(A68&lt;&gt;" ",+B67*1," ")</f>
        <v>171000.69483453908</v>
      </c>
      <c r="C68" s="6">
        <f>IF(A68&lt;&gt;" ",+C67*1," ")</f>
        <v>171000.69483453908</v>
      </c>
    </row>
    <row r="69" spans="1:3">
      <c r="A69" s="7">
        <f>IF(AND(A68&lt;$B$6)*(A68&lt;&gt;0),1+A68," ")</f>
        <v>58</v>
      </c>
      <c r="B69" s="6">
        <f>IF(A69&lt;&gt;" ",+B68*1," ")</f>
        <v>171000.69483453908</v>
      </c>
      <c r="C69" s="6">
        <f>IF(A69&lt;&gt;" ",+C68*1," ")</f>
        <v>171000.69483453908</v>
      </c>
    </row>
    <row r="70" spans="1:3">
      <c r="A70" s="7">
        <f>IF(AND(A69&lt;$B$6)*(A69&lt;&gt;0),1+A69," ")</f>
        <v>59</v>
      </c>
      <c r="B70" s="6">
        <f>IF(A70&lt;&gt;" ",+B69*1," ")</f>
        <v>171000.69483453908</v>
      </c>
      <c r="C70" s="6">
        <f>IF(A70&lt;&gt;" ",+C69*1," ")</f>
        <v>171000.69483453908</v>
      </c>
    </row>
    <row r="71" spans="1:3">
      <c r="A71" s="7">
        <f>IF(AND(A70&lt;$B$6)*(A70&lt;&gt;0),1+A70," ")</f>
        <v>60</v>
      </c>
      <c r="B71" s="6">
        <f>IF(A71&lt;&gt;" ",+B70*1," ")</f>
        <v>171000.69483453908</v>
      </c>
      <c r="C71" s="6">
        <f>IF(A71&lt;&gt;" ",+C70*1," ")</f>
        <v>171000.69483453908</v>
      </c>
    </row>
    <row r="72" spans="1:3">
      <c r="A72" s="7">
        <f>IF(AND(A71&lt;$B$6)*(A71&lt;&gt;0),1+A71," ")</f>
        <v>61</v>
      </c>
      <c r="B72" s="6">
        <f>IF(A72&lt;&gt;" ",+B71*1," ")</f>
        <v>171000.69483453908</v>
      </c>
      <c r="C72" s="6">
        <f>IF(A72&lt;&gt;" ",+C71*1," ")</f>
        <v>171000.69483453908</v>
      </c>
    </row>
    <row r="73" spans="1:3">
      <c r="A73" s="7">
        <f>IF(AND(A72&lt;$B$6)*(A72&lt;&gt;0),1+A72," ")</f>
        <v>62</v>
      </c>
      <c r="B73" s="6">
        <f>IF(A73&lt;&gt;" ",+B72*1," ")</f>
        <v>171000.69483453908</v>
      </c>
      <c r="C73" s="6">
        <f>IF(A73&lt;&gt;" ",+C72*1," ")</f>
        <v>171000.69483453908</v>
      </c>
    </row>
    <row r="74" spans="1:3">
      <c r="A74" s="7">
        <f>IF(AND(A73&lt;$B$6)*(A73&lt;&gt;0),1+A73," ")</f>
        <v>63</v>
      </c>
      <c r="B74" s="6">
        <f>IF(A74&lt;&gt;" ",+B73*1," ")</f>
        <v>171000.69483453908</v>
      </c>
      <c r="C74" s="6">
        <f>IF(A74&lt;&gt;" ",+C73*1," ")</f>
        <v>171000.69483453908</v>
      </c>
    </row>
    <row r="75" spans="1:3">
      <c r="A75" s="7">
        <f>IF(AND(A74&lt;$B$6)*(A74&lt;&gt;0),1+A74," ")</f>
        <v>64</v>
      </c>
      <c r="B75" s="6">
        <f>IF(A75&lt;&gt;" ",+B74*1," ")</f>
        <v>171000.69483453908</v>
      </c>
      <c r="C75" s="6">
        <f>IF(A75&lt;&gt;" ",+C74*1," ")</f>
        <v>171000.69483453908</v>
      </c>
    </row>
    <row r="76" spans="1:3">
      <c r="A76" s="7">
        <f>IF(AND(A75&lt;$B$6)*(A75&lt;&gt;0),1+A75," ")</f>
        <v>65</v>
      </c>
      <c r="B76" s="6">
        <f>IF(A76&lt;&gt;" ",+B75*1," ")</f>
        <v>171000.69483453908</v>
      </c>
      <c r="C76" s="6">
        <f>IF(A76&lt;&gt;" ",+C75*1," ")</f>
        <v>171000.69483453908</v>
      </c>
    </row>
    <row r="77" spans="1:3">
      <c r="A77" s="7">
        <f>IF(AND(A76&lt;$B$6)*(A76&lt;&gt;0),1+A76," ")</f>
        <v>66</v>
      </c>
      <c r="B77" s="6">
        <f>IF(A77&lt;&gt;" ",+B76*1," ")</f>
        <v>171000.69483453908</v>
      </c>
      <c r="C77" s="6">
        <f>IF(A77&lt;&gt;" ",+C76*1," ")</f>
        <v>171000.69483453908</v>
      </c>
    </row>
    <row r="78" spans="1:3">
      <c r="A78" s="7">
        <f>IF(AND(A77&lt;$B$6)*(A77&lt;&gt;0),1+A77," ")</f>
        <v>67</v>
      </c>
      <c r="B78" s="6">
        <f>IF(A78&lt;&gt;" ",+B77*1," ")</f>
        <v>171000.69483453908</v>
      </c>
      <c r="C78" s="6">
        <f>IF(A78&lt;&gt;" ",+C77*1," ")</f>
        <v>171000.69483453908</v>
      </c>
    </row>
    <row r="79" spans="1:3">
      <c r="A79" s="7">
        <f>IF(AND(A78&lt;$B$6)*(A78&lt;&gt;0),1+A78," ")</f>
        <v>68</v>
      </c>
      <c r="B79" s="6">
        <f>IF(A79&lt;&gt;" ",+B78*1," ")</f>
        <v>171000.69483453908</v>
      </c>
      <c r="C79" s="6">
        <f>IF(A79&lt;&gt;" ",+C78*1," ")</f>
        <v>171000.69483453908</v>
      </c>
    </row>
    <row r="80" spans="1:3">
      <c r="A80" s="7">
        <f>IF(AND(A79&lt;$B$6)*(A79&lt;&gt;0),1+A79," ")</f>
        <v>69</v>
      </c>
      <c r="B80" s="6">
        <f>IF(A80&lt;&gt;" ",+B79*1," ")</f>
        <v>171000.69483453908</v>
      </c>
      <c r="C80" s="6">
        <f>IF(A80&lt;&gt;" ",+C79*1," ")</f>
        <v>171000.69483453908</v>
      </c>
    </row>
    <row r="81" spans="1:3">
      <c r="A81" s="7">
        <f>IF(AND(A80&lt;$B$6)*(A80&lt;&gt;0),1+A80," ")</f>
        <v>70</v>
      </c>
      <c r="B81" s="6">
        <f>IF(A81&lt;&gt;" ",+B80*1," ")</f>
        <v>171000.69483453908</v>
      </c>
      <c r="C81" s="6">
        <f>IF(A81&lt;&gt;" ",+C80*1," ")</f>
        <v>171000.69483453908</v>
      </c>
    </row>
    <row r="82" spans="1:3">
      <c r="A82" s="7">
        <f>IF(AND(A81&lt;$B$6)*(A81&lt;&gt;0),1+A81," ")</f>
        <v>71</v>
      </c>
      <c r="B82" s="6">
        <f>IF(A82&lt;&gt;" ",+B81*1," ")</f>
        <v>171000.69483453908</v>
      </c>
      <c r="C82" s="6">
        <f>IF(A82&lt;&gt;" ",+C81*1," ")</f>
        <v>171000.69483453908</v>
      </c>
    </row>
    <row r="83" spans="1:3">
      <c r="A83" s="7">
        <f>IF(AND(A82&lt;$B$6)*(A82&lt;&gt;0),1+A82," ")</f>
        <v>72</v>
      </c>
      <c r="B83" s="6">
        <f>IF(A83&lt;&gt;" ",+B82*1," ")</f>
        <v>171000.69483453908</v>
      </c>
      <c r="C83" s="6">
        <f>IF(A83&lt;&gt;" ",+C82*1," ")</f>
        <v>171000.69483453908</v>
      </c>
    </row>
    <row r="84" spans="1:3">
      <c r="A84" s="7">
        <f>IF(AND(A83&lt;$B$6)*(A83&lt;&gt;0),1+A83," ")</f>
        <v>73</v>
      </c>
      <c r="B84" s="6">
        <f>IF(A84&lt;&gt;" ",+B83*1," ")</f>
        <v>171000.69483453908</v>
      </c>
      <c r="C84" s="6">
        <f>IF(A84&lt;&gt;" ",+C83*1," ")</f>
        <v>171000.69483453908</v>
      </c>
    </row>
    <row r="85" spans="1:3">
      <c r="A85" s="7">
        <f>IF(AND(A84&lt;$B$6)*(A84&lt;&gt;0),1+A84," ")</f>
        <v>74</v>
      </c>
      <c r="B85" s="6">
        <f>IF(A85&lt;&gt;" ",+B84*1," ")</f>
        <v>171000.69483453908</v>
      </c>
      <c r="C85" s="6">
        <f>IF(A85&lt;&gt;" ",+C84*1," ")</f>
        <v>171000.69483453908</v>
      </c>
    </row>
    <row r="86" spans="1:3">
      <c r="A86" s="7">
        <f>IF(AND(A85&lt;$B$6)*(A85&lt;&gt;0),1+A85," ")</f>
        <v>75</v>
      </c>
      <c r="B86" s="6">
        <f>IF(A86&lt;&gt;" ",+B85*1," ")</f>
        <v>171000.69483453908</v>
      </c>
      <c r="C86" s="6">
        <f>IF(A86&lt;&gt;" ",+C85*1," ")</f>
        <v>171000.69483453908</v>
      </c>
    </row>
    <row r="87" spans="1:3">
      <c r="A87" s="7">
        <f>IF(AND(A86&lt;$B$6)*(A86&lt;&gt;0),1+A86," ")</f>
        <v>76</v>
      </c>
      <c r="B87" s="6">
        <f>IF(A87&lt;&gt;" ",+B86*1," ")</f>
        <v>171000.69483453908</v>
      </c>
      <c r="C87" s="6">
        <f>IF(A87&lt;&gt;" ",+C86*1," ")</f>
        <v>171000.69483453908</v>
      </c>
    </row>
    <row r="88" spans="1:3">
      <c r="A88" s="7">
        <f>IF(AND(A87&lt;$B$6)*(A87&lt;&gt;0),1+A87," ")</f>
        <v>77</v>
      </c>
      <c r="B88" s="6">
        <f>IF(A88&lt;&gt;" ",+B87*1," ")</f>
        <v>171000.69483453908</v>
      </c>
      <c r="C88" s="6">
        <f>IF(A88&lt;&gt;" ",+C87*1," ")</f>
        <v>171000.69483453908</v>
      </c>
    </row>
    <row r="89" spans="1:3">
      <c r="A89" s="7">
        <f>IF(AND(A88&lt;$B$6)*(A88&lt;&gt;0),1+A88," ")</f>
        <v>78</v>
      </c>
      <c r="B89" s="6">
        <f>IF(A89&lt;&gt;" ",+B88*1," ")</f>
        <v>171000.69483453908</v>
      </c>
      <c r="C89" s="6">
        <f>IF(A89&lt;&gt;" ",+C88*1," ")</f>
        <v>171000.69483453908</v>
      </c>
    </row>
    <row r="90" spans="1:3">
      <c r="A90" s="7">
        <f>IF(AND(A89&lt;$B$6)*(A89&lt;&gt;0),1+A89," ")</f>
        <v>79</v>
      </c>
      <c r="B90" s="6">
        <f>IF(A90&lt;&gt;" ",+B89*1," ")</f>
        <v>171000.69483453908</v>
      </c>
      <c r="C90" s="6">
        <f>IF(A90&lt;&gt;" ",+C89*1," ")</f>
        <v>171000.69483453908</v>
      </c>
    </row>
    <row r="91" spans="1:3">
      <c r="A91" s="7">
        <f>IF(AND(A90&lt;$B$6)*(A90&lt;&gt;0),1+A90," ")</f>
        <v>80</v>
      </c>
      <c r="B91" s="6">
        <f>IF(A91&lt;&gt;" ",+B90*1," ")</f>
        <v>171000.69483453908</v>
      </c>
      <c r="C91" s="6">
        <f>IF(A91&lt;&gt;" ",+C90*1," ")</f>
        <v>171000.69483453908</v>
      </c>
    </row>
    <row r="92" spans="1:3">
      <c r="A92" s="7">
        <f>IF(AND(A91&lt;$B$6)*(A91&lt;&gt;0),1+A91," ")</f>
        <v>81</v>
      </c>
      <c r="B92" s="6">
        <f>IF(A92&lt;&gt;" ",+B91*1," ")</f>
        <v>171000.69483453908</v>
      </c>
      <c r="C92" s="6">
        <f>IF(A92&lt;&gt;" ",+C91*1," ")</f>
        <v>171000.69483453908</v>
      </c>
    </row>
    <row r="93" spans="1:3">
      <c r="A93" s="7">
        <f>IF(AND(A92&lt;$B$6)*(A92&lt;&gt;0),1+A92," ")</f>
        <v>82</v>
      </c>
      <c r="B93" s="6">
        <f>IF(A93&lt;&gt;" ",+B92*1," ")</f>
        <v>171000.69483453908</v>
      </c>
      <c r="C93" s="6">
        <f>IF(A93&lt;&gt;" ",+C92*1," ")</f>
        <v>171000.69483453908</v>
      </c>
    </row>
    <row r="94" spans="1:3">
      <c r="A94" s="7">
        <f>IF(AND(A93&lt;$B$6)*(A93&lt;&gt;0),1+A93," ")</f>
        <v>83</v>
      </c>
      <c r="B94" s="6">
        <f>IF(A94&lt;&gt;" ",+B93*1," ")</f>
        <v>171000.69483453908</v>
      </c>
      <c r="C94" s="6">
        <f>IF(A94&lt;&gt;" ",+C93*1," ")</f>
        <v>171000.69483453908</v>
      </c>
    </row>
    <row r="95" spans="1:3">
      <c r="A95" s="7">
        <f>IF(AND(A94&lt;$B$6)*(A94&lt;&gt;0),1+A94," ")</f>
        <v>84</v>
      </c>
      <c r="B95" s="6">
        <f>IF(A95&lt;&gt;" ",+B94*1," ")</f>
        <v>171000.69483453908</v>
      </c>
      <c r="C95" s="6">
        <f>IF(A95&lt;&gt;" ",+C94*1," ")</f>
        <v>171000.69483453908</v>
      </c>
    </row>
    <row r="96" spans="1:3">
      <c r="A96" s="7">
        <f>IF(AND(A95&lt;$B$6)*(A95&lt;&gt;0),1+A95," ")</f>
        <v>85</v>
      </c>
      <c r="B96" s="6">
        <f>IF(A96&lt;&gt;" ",+B95*1," ")</f>
        <v>171000.69483453908</v>
      </c>
      <c r="C96" s="6">
        <f>IF(A96&lt;&gt;" ",+C95*1," ")</f>
        <v>171000.69483453908</v>
      </c>
    </row>
    <row r="97" spans="1:3">
      <c r="A97" s="7">
        <f>IF(AND(A96&lt;$B$6)*(A96&lt;&gt;0),1+A96," ")</f>
        <v>86</v>
      </c>
      <c r="B97" s="6">
        <f>IF(A97&lt;&gt;" ",+B96*1," ")</f>
        <v>171000.69483453908</v>
      </c>
      <c r="C97" s="6">
        <f>IF(A97&lt;&gt;" ",+C96*1," ")</f>
        <v>171000.69483453908</v>
      </c>
    </row>
    <row r="98" spans="1:3">
      <c r="A98" s="7">
        <f>IF(AND(A97&lt;$B$6)*(A97&lt;&gt;0),1+A97," ")</f>
        <v>87</v>
      </c>
      <c r="B98" s="6">
        <f>IF(A98&lt;&gt;" ",+B97*1," ")</f>
        <v>171000.69483453908</v>
      </c>
      <c r="C98" s="6">
        <f>IF(A98&lt;&gt;" ",+C97*1," ")</f>
        <v>171000.69483453908</v>
      </c>
    </row>
    <row r="99" spans="1:3">
      <c r="A99" s="7">
        <f>IF(AND(A98&lt;$B$6)*(A98&lt;&gt;0),1+A98," ")</f>
        <v>88</v>
      </c>
      <c r="B99" s="6">
        <f>IF(A99&lt;&gt;" ",+B98*1," ")</f>
        <v>171000.69483453908</v>
      </c>
      <c r="C99" s="6">
        <f>IF(A99&lt;&gt;" ",+C98*1," ")</f>
        <v>171000.69483453908</v>
      </c>
    </row>
    <row r="100" spans="1:3">
      <c r="A100" s="7">
        <f>IF(AND(A99&lt;$B$6)*(A99&lt;&gt;0),1+A99," ")</f>
        <v>89</v>
      </c>
      <c r="B100" s="6">
        <f>IF(A100&lt;&gt;" ",+B99*1," ")</f>
        <v>171000.69483453908</v>
      </c>
      <c r="C100" s="6">
        <f>IF(A100&lt;&gt;" ",+C99*1," ")</f>
        <v>171000.69483453908</v>
      </c>
    </row>
    <row r="101" spans="1:3">
      <c r="A101" s="7">
        <f>IF(AND(A100&lt;$B$6)*(A100&lt;&gt;0),1+A100," ")</f>
        <v>90</v>
      </c>
      <c r="B101" s="6">
        <f>IF(A101&lt;&gt;" ",+B100*1," ")</f>
        <v>171000.69483453908</v>
      </c>
      <c r="C101" s="6">
        <f>IF(A101&lt;&gt;" ",+C100*1," ")</f>
        <v>171000.69483453908</v>
      </c>
    </row>
    <row r="102" spans="1:3">
      <c r="A102" s="7">
        <f>IF(AND(A101&lt;$B$6)*(A101&lt;&gt;0),1+A101," ")</f>
        <v>91</v>
      </c>
      <c r="B102" s="6">
        <f>IF(A102&lt;&gt;" ",+B101*1," ")</f>
        <v>171000.69483453908</v>
      </c>
      <c r="C102" s="6">
        <f>IF(A102&lt;&gt;" ",+C101*1," ")</f>
        <v>171000.69483453908</v>
      </c>
    </row>
    <row r="103" spans="1:3">
      <c r="A103" s="7">
        <f>IF(AND(A102&lt;$B$6)*(A102&lt;&gt;0),1+A102," ")</f>
        <v>92</v>
      </c>
      <c r="B103" s="6">
        <f>IF(A103&lt;&gt;" ",+B102*1," ")</f>
        <v>171000.69483453908</v>
      </c>
      <c r="C103" s="6">
        <f>IF(A103&lt;&gt;" ",+C102*1," ")</f>
        <v>171000.69483453908</v>
      </c>
    </row>
    <row r="104" spans="1:3">
      <c r="A104" s="7">
        <f>IF(AND(A103&lt;$B$6)*(A103&lt;&gt;0),1+A103," ")</f>
        <v>93</v>
      </c>
      <c r="B104" s="6">
        <f>IF(A104&lt;&gt;" ",+B103*1," ")</f>
        <v>171000.69483453908</v>
      </c>
      <c r="C104" s="6">
        <f>IF(A104&lt;&gt;" ",+C103*1," ")</f>
        <v>171000.69483453908</v>
      </c>
    </row>
    <row r="105" spans="1:3">
      <c r="A105" s="7">
        <f>IF(AND(A104&lt;$B$6)*(A104&lt;&gt;0),1+A104," ")</f>
        <v>94</v>
      </c>
      <c r="B105" s="6">
        <f>IF(A105&lt;&gt;" ",+B104*1," ")</f>
        <v>171000.69483453908</v>
      </c>
      <c r="C105" s="6">
        <f>IF(A105&lt;&gt;" ",+C104*1," ")</f>
        <v>171000.69483453908</v>
      </c>
    </row>
    <row r="106" spans="1:3">
      <c r="A106" s="7">
        <f>IF(AND(A105&lt;$B$6)*(A105&lt;&gt;0),1+A105," ")</f>
        <v>95</v>
      </c>
      <c r="B106" s="6">
        <f>IF(A106&lt;&gt;" ",+B105*1," ")</f>
        <v>171000.69483453908</v>
      </c>
      <c r="C106" s="6">
        <f>IF(A106&lt;&gt;" ",+C105*1," ")</f>
        <v>171000.69483453908</v>
      </c>
    </row>
    <row r="107" spans="1:3">
      <c r="A107" s="7">
        <f>IF(AND(A106&lt;$B$6)*(A106&lt;&gt;0),1+A106," ")</f>
        <v>96</v>
      </c>
      <c r="B107" s="6">
        <f>IF(A107&lt;&gt;" ",+B106*1," ")</f>
        <v>171000.69483453908</v>
      </c>
      <c r="C107" s="6">
        <f>IF(A107&lt;&gt;" ",+C106*1," ")</f>
        <v>171000.69483453908</v>
      </c>
    </row>
    <row r="108" spans="1:3">
      <c r="A108" s="7">
        <f>IF(AND(A107&lt;$B$6)*(A107&lt;&gt;0),1+A107," ")</f>
        <v>97</v>
      </c>
      <c r="B108" s="6">
        <f>IF(A108&lt;&gt;" ",+B107*1," ")</f>
        <v>171000.69483453908</v>
      </c>
      <c r="C108" s="6">
        <f>IF(A108&lt;&gt;" ",+C107*1," ")</f>
        <v>171000.69483453908</v>
      </c>
    </row>
    <row r="109" spans="1:3">
      <c r="A109" s="7">
        <f>IF(AND(A108&lt;$B$6)*(A108&lt;&gt;0),1+A108," ")</f>
        <v>98</v>
      </c>
      <c r="B109" s="6">
        <f>IF(A109&lt;&gt;" ",+B108*1," ")</f>
        <v>171000.69483453908</v>
      </c>
      <c r="C109" s="6">
        <f>IF(A109&lt;&gt;" ",+C108*1," ")</f>
        <v>171000.69483453908</v>
      </c>
    </row>
    <row r="110" spans="1:3">
      <c r="A110" s="7">
        <f>IF(AND(A109&lt;$B$6)*(A109&lt;&gt;0),1+A109," ")</f>
        <v>99</v>
      </c>
      <c r="B110" s="6">
        <f>IF(A110&lt;&gt;" ",+B109*1," ")</f>
        <v>171000.69483453908</v>
      </c>
      <c r="C110" s="6">
        <f>IF(A110&lt;&gt;" ",+C109*1," ")</f>
        <v>171000.69483453908</v>
      </c>
    </row>
    <row r="111" spans="1:3">
      <c r="A111" s="7">
        <f>IF(AND(A110&lt;$B$6)*(A110&lt;&gt;0),1+A110," ")</f>
        <v>100</v>
      </c>
      <c r="B111" s="6">
        <f>IF(A111&lt;&gt;" ",+B110*1," ")</f>
        <v>171000.69483453908</v>
      </c>
      <c r="C111" s="6">
        <f>IF(A111&lt;&gt;" ",+C110*1," ")</f>
        <v>171000.69483453908</v>
      </c>
    </row>
    <row r="112" spans="1:3">
      <c r="A112" s="7">
        <f>IF(AND(A111&lt;$B$6)*(A111&lt;&gt;0),1+A111," ")</f>
        <v>101</v>
      </c>
      <c r="B112" s="6">
        <f>IF(A112&lt;&gt;" ",+B111*1," ")</f>
        <v>171000.69483453908</v>
      </c>
      <c r="C112" s="6">
        <f>IF(A112&lt;&gt;" ",+C111*1," ")</f>
        <v>171000.69483453908</v>
      </c>
    </row>
    <row r="113" spans="1:3">
      <c r="A113" s="7">
        <f>IF(AND(A112&lt;$B$6)*(A112&lt;&gt;0),1+A112," ")</f>
        <v>102</v>
      </c>
      <c r="B113" s="6">
        <f>IF(A113&lt;&gt;" ",+B112*1," ")</f>
        <v>171000.69483453908</v>
      </c>
      <c r="C113" s="6">
        <f>IF(A113&lt;&gt;" ",+C112*1," ")</f>
        <v>171000.69483453908</v>
      </c>
    </row>
    <row r="114" spans="1:3">
      <c r="A114" s="7">
        <f>IF(AND(A113&lt;$B$6)*(A113&lt;&gt;0),1+A113," ")</f>
        <v>103</v>
      </c>
      <c r="B114" s="6">
        <f>IF(A114&lt;&gt;" ",+B113*1," ")</f>
        <v>171000.69483453908</v>
      </c>
      <c r="C114" s="6">
        <f>IF(A114&lt;&gt;" ",+C113*1," ")</f>
        <v>171000.69483453908</v>
      </c>
    </row>
    <row r="115" spans="1:3">
      <c r="A115" s="7">
        <f>IF(AND(A114&lt;$B$6)*(A114&lt;&gt;0),1+A114," ")</f>
        <v>104</v>
      </c>
      <c r="B115" s="6">
        <f>IF(A115&lt;&gt;" ",+B114*1," ")</f>
        <v>171000.69483453908</v>
      </c>
      <c r="C115" s="6">
        <f>IF(A115&lt;&gt;" ",+C114*1," ")</f>
        <v>171000.69483453908</v>
      </c>
    </row>
    <row r="116" spans="1:3">
      <c r="A116" s="7">
        <f>IF(AND(A115&lt;$B$6)*(A115&lt;&gt;0),1+A115," ")</f>
        <v>105</v>
      </c>
      <c r="B116" s="6">
        <f>IF(A116&lt;&gt;" ",+B115*1," ")</f>
        <v>171000.69483453908</v>
      </c>
      <c r="C116" s="6">
        <f>IF(A116&lt;&gt;" ",+C115*1," ")</f>
        <v>171000.69483453908</v>
      </c>
    </row>
    <row r="117" spans="1:3">
      <c r="A117" s="7">
        <f>IF(AND(A116&lt;$B$6)*(A116&lt;&gt;0),1+A116," ")</f>
        <v>106</v>
      </c>
      <c r="B117" s="6">
        <f>IF(A117&lt;&gt;" ",+B116*1," ")</f>
        <v>171000.69483453908</v>
      </c>
      <c r="C117" s="6">
        <f>IF(A117&lt;&gt;" ",+C116*1," ")</f>
        <v>171000.69483453908</v>
      </c>
    </row>
    <row r="118" spans="1:3">
      <c r="A118" s="7">
        <f>IF(AND(A117&lt;$B$6)*(A117&lt;&gt;0),1+A117," ")</f>
        <v>107</v>
      </c>
      <c r="B118" s="6">
        <f>IF(A118&lt;&gt;" ",+B117*1," ")</f>
        <v>171000.69483453908</v>
      </c>
      <c r="C118" s="6">
        <f>IF(A118&lt;&gt;" ",+C117*1," ")</f>
        <v>171000.69483453908</v>
      </c>
    </row>
    <row r="119" spans="1:3">
      <c r="A119" s="7">
        <f>IF(AND(A118&lt;$B$6)*(A118&lt;&gt;0),1+A118," ")</f>
        <v>108</v>
      </c>
      <c r="B119" s="6">
        <f>IF(A119&lt;&gt;" ",+B118*1," ")</f>
        <v>171000.69483453908</v>
      </c>
      <c r="C119" s="6">
        <f>IF(A119&lt;&gt;" ",+C118*1," ")</f>
        <v>171000.69483453908</v>
      </c>
    </row>
    <row r="120" spans="1:3">
      <c r="A120" s="7">
        <f>IF(AND(A119&lt;$B$6)*(A119&lt;&gt;0),1+A119," ")</f>
        <v>109</v>
      </c>
      <c r="B120" s="6">
        <f>IF(A120&lt;&gt;" ",+B119*1," ")</f>
        <v>171000.69483453908</v>
      </c>
      <c r="C120" s="6">
        <f>IF(A120&lt;&gt;" ",+C119*1," ")</f>
        <v>171000.69483453908</v>
      </c>
    </row>
    <row r="121" spans="1:3">
      <c r="A121" s="7">
        <f>IF(AND(A120&lt;$B$6)*(A120&lt;&gt;0),1+A120," ")</f>
        <v>110</v>
      </c>
      <c r="B121" s="6">
        <f>IF(A121&lt;&gt;" ",+B120*1," ")</f>
        <v>171000.69483453908</v>
      </c>
      <c r="C121" s="6">
        <f>IF(A121&lt;&gt;" ",+C120*1," ")</f>
        <v>171000.69483453908</v>
      </c>
    </row>
    <row r="122" spans="1:3">
      <c r="A122" s="7">
        <f>IF(AND(A121&lt;$B$6)*(A121&lt;&gt;0),1+A121," ")</f>
        <v>111</v>
      </c>
      <c r="B122" s="6">
        <f>IF(A122&lt;&gt;" ",+B121*1," ")</f>
        <v>171000.69483453908</v>
      </c>
      <c r="C122" s="6">
        <f>IF(A122&lt;&gt;" ",+C121*1," ")</f>
        <v>171000.69483453908</v>
      </c>
    </row>
    <row r="123" spans="1:3">
      <c r="A123" s="7">
        <f>IF(AND(A122&lt;$B$6)*(A122&lt;&gt;0),1+A122," ")</f>
        <v>112</v>
      </c>
      <c r="B123" s="6">
        <f>IF(A123&lt;&gt;" ",+B122*1," ")</f>
        <v>171000.69483453908</v>
      </c>
      <c r="C123" s="6">
        <f>IF(A123&lt;&gt;" ",+C122*1," ")</f>
        <v>171000.69483453908</v>
      </c>
    </row>
    <row r="124" spans="1:3">
      <c r="A124" s="7">
        <f>IF(AND(A123&lt;$B$6)*(A123&lt;&gt;0),1+A123," ")</f>
        <v>113</v>
      </c>
      <c r="B124" s="6">
        <f>IF(A124&lt;&gt;" ",+B123*1," ")</f>
        <v>171000.69483453908</v>
      </c>
      <c r="C124" s="6">
        <f>IF(A124&lt;&gt;" ",+C123*1," ")</f>
        <v>171000.69483453908</v>
      </c>
    </row>
    <row r="125" spans="1:3">
      <c r="A125" s="7">
        <f>IF(AND(A124&lt;$B$6)*(A124&lt;&gt;0),1+A124," ")</f>
        <v>114</v>
      </c>
      <c r="B125" s="6">
        <f>IF(A125&lt;&gt;" ",+B124*1," ")</f>
        <v>171000.69483453908</v>
      </c>
      <c r="C125" s="6">
        <f>IF(A125&lt;&gt;" ",+C124*1," ")</f>
        <v>171000.69483453908</v>
      </c>
    </row>
    <row r="126" spans="1:3">
      <c r="A126" s="7">
        <f>IF(AND(A125&lt;$B$6)*(A125&lt;&gt;0),1+A125," ")</f>
        <v>115</v>
      </c>
      <c r="B126" s="6">
        <f>IF(A126&lt;&gt;" ",+B125*1," ")</f>
        <v>171000.69483453908</v>
      </c>
      <c r="C126" s="6">
        <f>IF(A126&lt;&gt;" ",+C125*1," ")</f>
        <v>171000.69483453908</v>
      </c>
    </row>
    <row r="127" spans="1:3">
      <c r="A127" s="7">
        <f>IF(AND(A126&lt;$B$6)*(A126&lt;&gt;0),1+A126," ")</f>
        <v>116</v>
      </c>
      <c r="B127" s="6">
        <f>IF(A127&lt;&gt;" ",+B126*1," ")</f>
        <v>171000.69483453908</v>
      </c>
      <c r="C127" s="6">
        <f>IF(A127&lt;&gt;" ",+C126*1," ")</f>
        <v>171000.69483453908</v>
      </c>
    </row>
    <row r="128" spans="1:3">
      <c r="A128" s="7">
        <f>IF(AND(A127&lt;$B$6)*(A127&lt;&gt;0),1+A127," ")</f>
        <v>117</v>
      </c>
      <c r="B128" s="6">
        <f>IF(A128&lt;&gt;" ",+B127*1," ")</f>
        <v>171000.69483453908</v>
      </c>
      <c r="C128" s="6">
        <f>IF(A128&lt;&gt;" ",+C127*1," ")</f>
        <v>171000.69483453908</v>
      </c>
    </row>
    <row r="129" spans="1:3">
      <c r="A129" s="7">
        <f>IF(AND(A128&lt;$B$6)*(A128&lt;&gt;0),1+A128," ")</f>
        <v>118</v>
      </c>
      <c r="B129" s="6">
        <f>IF(A129&lt;&gt;" ",+B128*1," ")</f>
        <v>171000.69483453908</v>
      </c>
      <c r="C129" s="6">
        <f>IF(A129&lt;&gt;" ",+C128*1," ")</f>
        <v>171000.69483453908</v>
      </c>
    </row>
    <row r="130" spans="1:3">
      <c r="A130" s="7">
        <f>IF(AND(A129&lt;$B$6)*(A129&lt;&gt;0),1+A129," ")</f>
        <v>119</v>
      </c>
      <c r="B130" s="6">
        <f>IF(A130&lt;&gt;" ",+B129*1," ")</f>
        <v>171000.69483453908</v>
      </c>
      <c r="C130" s="6">
        <f>IF(A130&lt;&gt;" ",+C129*1," ")</f>
        <v>171000.69483453908</v>
      </c>
    </row>
    <row r="131" spans="1:3">
      <c r="A131" s="7">
        <f>IF(AND(A130&lt;$B$6)*(A130&lt;&gt;0),1+A130," ")</f>
        <v>120</v>
      </c>
      <c r="B131" s="6">
        <f>IF(A131&lt;&gt;" ",+B130*1," ")</f>
        <v>171000.69483453908</v>
      </c>
      <c r="C131" s="6">
        <f>IF(A131&lt;&gt;" ",+C130*1," ")</f>
        <v>171000.69483453908</v>
      </c>
    </row>
    <row r="132" spans="1:3">
      <c r="A132" s="7" t="str">
        <f>IF(AND(A131&lt;$B$6)*(A131&lt;&gt;0),1+A131," ")</f>
        <v xml:space="preserve"> </v>
      </c>
      <c r="B132" s="6" t="str">
        <f>IF(A132&lt;&gt;" ",+B131*1," ")</f>
        <v xml:space="preserve"> </v>
      </c>
      <c r="C132" s="6" t="str">
        <f>IF(A132&lt;&gt;" ",+C131*1," ")</f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24"/>
  <sheetViews>
    <sheetView tabSelected="1" topLeftCell="J1" zoomScale="90" zoomScaleNormal="90" workbookViewId="0">
      <pane ySplit="3" topLeftCell="F24" activePane="bottomLeft" state="frozen"/>
      <selection pane="bottomLeft" activeCell="Q38" sqref="Q38"/>
    </sheetView>
  </sheetViews>
  <sheetFormatPr defaultColWidth="11.42578125" defaultRowHeight="14.45"/>
  <cols>
    <col min="1" max="1" width="9.85546875" bestFit="1" customWidth="1"/>
    <col min="2" max="2" width="14.140625" bestFit="1" customWidth="1"/>
    <col min="3" max="5" width="12.140625" bestFit="1" customWidth="1"/>
    <col min="6" max="6" width="13.7109375" bestFit="1" customWidth="1"/>
    <col min="7" max="7" width="14.28515625" bestFit="1" customWidth="1"/>
    <col min="8" max="8" width="10.42578125" bestFit="1" customWidth="1"/>
    <col min="9" max="9" width="8.140625" bestFit="1" customWidth="1"/>
    <col min="10" max="10" width="12.140625" bestFit="1" customWidth="1"/>
    <col min="11" max="11" width="8.28515625" customWidth="1"/>
    <col min="12" max="12" width="3.28515625" bestFit="1" customWidth="1"/>
    <col min="13" max="13" width="4.28515625" bestFit="1" customWidth="1"/>
    <col min="14" max="14" width="5" bestFit="1" customWidth="1"/>
    <col min="15" max="15" width="12.5703125" bestFit="1" customWidth="1"/>
    <col min="16" max="16" width="14.85546875" customWidth="1"/>
    <col min="17" max="17" width="13.5703125" bestFit="1" customWidth="1"/>
    <col min="18" max="18" width="14.5703125" bestFit="1" customWidth="1"/>
    <col min="19" max="19" width="16.28515625" bestFit="1" customWidth="1"/>
    <col min="20" max="20" width="16.28515625" customWidth="1"/>
    <col min="21" max="21" width="14.5703125" hidden="1" customWidth="1"/>
    <col min="22" max="22" width="17.140625" customWidth="1"/>
    <col min="23" max="23" width="15.85546875" customWidth="1"/>
    <col min="24" max="24" width="14.140625" customWidth="1"/>
    <col min="25" max="25" width="12.7109375" customWidth="1"/>
    <col min="26" max="26" width="14.7109375" customWidth="1"/>
    <col min="27" max="27" width="13.140625" bestFit="1" customWidth="1"/>
    <col min="28" max="28" width="13.85546875" customWidth="1"/>
    <col min="29" max="29" width="13" customWidth="1"/>
    <col min="30" max="34" width="13.140625" bestFit="1" customWidth="1"/>
    <col min="35" max="35" width="12.5703125" bestFit="1" customWidth="1"/>
    <col min="36" max="41" width="13.7109375" bestFit="1" customWidth="1"/>
    <col min="42" max="42" width="13.140625" customWidth="1"/>
  </cols>
  <sheetData>
    <row r="1" spans="1:26" ht="23.1" customHeight="1" thickBot="1">
      <c r="A1" s="10" t="s">
        <v>16</v>
      </c>
      <c r="B1" s="13">
        <v>100757000</v>
      </c>
      <c r="C1" s="10" t="s">
        <v>17</v>
      </c>
      <c r="D1" s="12">
        <v>0.12330000000000001</v>
      </c>
      <c r="E1" s="10" t="s">
        <v>18</v>
      </c>
      <c r="F1" s="8">
        <f>((D1+D2)/12)</f>
        <v>1.9400000000000001E-2</v>
      </c>
      <c r="H1" s="19" t="s">
        <v>19</v>
      </c>
      <c r="J1" s="53">
        <v>45250</v>
      </c>
    </row>
    <row r="2" spans="1:26" ht="20.45" customHeight="1" thickBot="1">
      <c r="A2" s="10" t="s">
        <v>20</v>
      </c>
      <c r="B2" s="14">
        <v>48</v>
      </c>
      <c r="C2" s="10" t="s">
        <v>21</v>
      </c>
      <c r="D2" s="58">
        <v>0.1095</v>
      </c>
      <c r="E2" s="10" t="s">
        <v>22</v>
      </c>
      <c r="F2" s="2">
        <f>+PMT(F1,B2,-B1,0)</f>
        <v>3244886.6641625254</v>
      </c>
      <c r="G2" s="2"/>
      <c r="J2" s="59">
        <v>53</v>
      </c>
      <c r="Q2" s="123" t="s">
        <v>23</v>
      </c>
      <c r="R2" s="130"/>
      <c r="S2" s="130"/>
      <c r="T2" s="130"/>
      <c r="U2" s="130"/>
      <c r="V2" s="130"/>
      <c r="W2" s="131"/>
    </row>
    <row r="3" spans="1:26" ht="15" customHeight="1" thickBot="1">
      <c r="B3" s="80" t="s">
        <v>24</v>
      </c>
      <c r="C3" s="80" t="s">
        <v>25</v>
      </c>
      <c r="D3" s="80" t="s">
        <v>26</v>
      </c>
      <c r="E3" s="80" t="s">
        <v>13</v>
      </c>
      <c r="F3" s="9" t="s">
        <v>27</v>
      </c>
      <c r="G3" s="9" t="s">
        <v>28</v>
      </c>
      <c r="H3" s="9" t="s">
        <v>6</v>
      </c>
      <c r="I3" s="9" t="s">
        <v>29</v>
      </c>
      <c r="J3" s="9" t="s">
        <v>30</v>
      </c>
      <c r="K3" s="9" t="s">
        <v>31</v>
      </c>
      <c r="L3" s="9" t="s">
        <v>32</v>
      </c>
      <c r="M3" s="9" t="s">
        <v>33</v>
      </c>
      <c r="N3" s="9" t="s">
        <v>34</v>
      </c>
      <c r="O3" s="9" t="s">
        <v>32</v>
      </c>
      <c r="P3" s="15" t="s">
        <v>35</v>
      </c>
      <c r="Q3" s="116" t="s">
        <v>36</v>
      </c>
      <c r="R3" s="117" t="s">
        <v>37</v>
      </c>
      <c r="S3" s="118" t="s">
        <v>38</v>
      </c>
      <c r="T3" s="117" t="s">
        <v>39</v>
      </c>
      <c r="U3" s="119" t="s">
        <v>40</v>
      </c>
      <c r="V3" s="118" t="s">
        <v>41</v>
      </c>
      <c r="W3" s="120" t="s">
        <v>42</v>
      </c>
    </row>
    <row r="4" spans="1:26">
      <c r="A4" s="11">
        <f>+TasaImplicita!A12</f>
        <v>1</v>
      </c>
      <c r="B4" s="55">
        <f>+B1</f>
        <v>100757000</v>
      </c>
      <c r="C4" s="55">
        <f>+B4*F1</f>
        <v>1954685.8</v>
      </c>
      <c r="D4" s="55">
        <f>+E4-C4</f>
        <v>1290200.8641625254</v>
      </c>
      <c r="E4" s="55">
        <f>+F2</f>
        <v>3244886.6641625254</v>
      </c>
      <c r="F4" s="56">
        <f>+B4-D4</f>
        <v>99466799.13583748</v>
      </c>
      <c r="G4" s="60">
        <v>0.12096</v>
      </c>
      <c r="H4" s="57">
        <f>+D2</f>
        <v>0.1095</v>
      </c>
      <c r="I4" s="8">
        <f>((G4+H4)/12)</f>
        <v>1.9205E-2</v>
      </c>
      <c r="J4" s="2">
        <f>PMT(I4,K4,-F4,0)</f>
        <v>3232168.0728495889</v>
      </c>
      <c r="K4" s="7">
        <f>+$B$2-A4</f>
        <v>47</v>
      </c>
      <c r="L4">
        <v>20</v>
      </c>
      <c r="M4">
        <v>12</v>
      </c>
      <c r="N4">
        <v>2023</v>
      </c>
      <c r="O4" s="20">
        <f>+C4/30</f>
        <v>65156.193333333336</v>
      </c>
      <c r="P4" s="32">
        <f>+(C4/30)*10</f>
        <v>651561.93333333335</v>
      </c>
      <c r="Q4" s="82">
        <v>45280</v>
      </c>
      <c r="R4" s="83">
        <v>1954686</v>
      </c>
      <c r="S4" s="83">
        <v>1290201</v>
      </c>
      <c r="T4" s="83"/>
      <c r="U4" s="83"/>
      <c r="V4" s="83">
        <f>SUM(R4:U4)</f>
        <v>3244887</v>
      </c>
      <c r="W4" s="84">
        <f>+B4-S4</f>
        <v>99466799</v>
      </c>
      <c r="Z4" s="21"/>
    </row>
    <row r="5" spans="1:26">
      <c r="A5" s="11">
        <f>IF(AND(A4&lt;$B$2)*(A4&lt;&gt;0),1+A4," ")</f>
        <v>2</v>
      </c>
      <c r="B5" s="55">
        <f>IF(A5=" "," ",+F4)</f>
        <v>99466799.13583748</v>
      </c>
      <c r="C5" s="55">
        <f>IF(A5=" "," ",+B5*I4)</f>
        <v>1910259.8774037587</v>
      </c>
      <c r="D5" s="61">
        <v>1318764</v>
      </c>
      <c r="E5" s="55">
        <f>IF(A5=" "," ",+J4)</f>
        <v>3232168.0728495889</v>
      </c>
      <c r="F5" s="62">
        <f>+B5-D5</f>
        <v>98148035.13583748</v>
      </c>
      <c r="G5" s="60">
        <v>0.11833</v>
      </c>
      <c r="H5" s="57">
        <f>IF(A5=" "," ",+H4)</f>
        <v>0.1095</v>
      </c>
      <c r="I5" s="8">
        <f>IF(A5=" "," ",((G5+H5)/12))</f>
        <v>1.8985833333333334E-2</v>
      </c>
      <c r="J5" s="2">
        <f>PMT(I5,K5,-F5,0)</f>
        <v>3218255.2057381938</v>
      </c>
      <c r="K5" s="7">
        <f>IF(A2=" "," ",+$B$2-A5)</f>
        <v>46</v>
      </c>
      <c r="L5">
        <f>IF(A5&lt;&gt;" ",+L4," ")</f>
        <v>20</v>
      </c>
      <c r="M5">
        <f>IF(AND(A5&lt;&gt;" ")*(M4=12),1,1+M4)</f>
        <v>1</v>
      </c>
      <c r="N5">
        <f>IF(AND(A5&lt;&gt;" ")*(M5=1),1+N4,N4)</f>
        <v>2024</v>
      </c>
      <c r="O5" s="20">
        <f>+C5/30</f>
        <v>63675.32924679196</v>
      </c>
      <c r="P5" s="32">
        <f>+(C5/30)*10</f>
        <v>636753.29246791964</v>
      </c>
      <c r="Q5" s="67">
        <v>45314</v>
      </c>
      <c r="R5" s="22">
        <v>1910260</v>
      </c>
      <c r="S5" s="22">
        <v>1318764</v>
      </c>
      <c r="T5" s="63">
        <v>3144</v>
      </c>
      <c r="U5" s="39"/>
      <c r="V5" s="22">
        <f>SUM(R5:U5)</f>
        <v>3232168</v>
      </c>
      <c r="W5" s="66">
        <f>+W4-S5</f>
        <v>98148035</v>
      </c>
      <c r="Z5" s="21"/>
    </row>
    <row r="6" spans="1:26">
      <c r="A6" s="11">
        <f>IF(AND(A5&lt;$B$2)*(A5&lt;&gt;0),1+A5," ")</f>
        <v>3</v>
      </c>
      <c r="B6" s="55">
        <f>IF(A6=" "," ",+F5)</f>
        <v>98148035.13583748</v>
      </c>
      <c r="C6" s="55">
        <f>IF(A6=" "," ",+B6*I5)</f>
        <v>1863422.2370831545</v>
      </c>
      <c r="D6" s="61">
        <v>1355807</v>
      </c>
      <c r="E6" s="55">
        <f>IF(A6=" "," ",+J5)</f>
        <v>3218255.2057381938</v>
      </c>
      <c r="F6" s="64">
        <f>+B6-D6</f>
        <v>96792228.13583748</v>
      </c>
      <c r="G6" s="60">
        <v>0.11859</v>
      </c>
      <c r="H6" s="57">
        <f>IF(A6=" "," ",+H5)</f>
        <v>0.1095</v>
      </c>
      <c r="I6" s="8">
        <f>IF(A6=" "," ",((G6+H6)/12))</f>
        <v>1.90075E-2</v>
      </c>
      <c r="J6" s="2">
        <f>PMT(I6,K6,-F6,0)</f>
        <v>3219582.3161609531</v>
      </c>
      <c r="K6" s="7">
        <f>IF(A3=" "," ",+$B$2-A6)</f>
        <v>45</v>
      </c>
      <c r="L6">
        <f>IF(A6&lt;&gt;" ",+L5," ")</f>
        <v>20</v>
      </c>
      <c r="M6">
        <f>IF(AND(A6&lt;&gt;" ")*(M5=12),1,1+M5)</f>
        <v>2</v>
      </c>
      <c r="N6">
        <f>IF(AND(A6&lt;&gt;" ")*(M6=1),1+N5,N5)</f>
        <v>2024</v>
      </c>
      <c r="O6" s="20">
        <f>1863363/30</f>
        <v>62112.1</v>
      </c>
      <c r="P6" s="32">
        <f>+O6*10</f>
        <v>621121</v>
      </c>
      <c r="Q6" s="67">
        <v>45344</v>
      </c>
      <c r="R6" s="22">
        <v>1863363</v>
      </c>
      <c r="S6" s="22">
        <v>1355807</v>
      </c>
      <c r="T6" s="63">
        <v>2226</v>
      </c>
      <c r="U6" s="39"/>
      <c r="V6" s="22">
        <f>SUM(R6:U6)</f>
        <v>3221396</v>
      </c>
      <c r="W6" s="66">
        <f>+W5-S6</f>
        <v>96792228</v>
      </c>
      <c r="Z6" s="21"/>
    </row>
    <row r="7" spans="1:26">
      <c r="A7" s="87">
        <f>IF(AND(A6&lt;$B$2)*(A6&lt;&gt;0),1+A6," ")</f>
        <v>4</v>
      </c>
      <c r="B7" s="85">
        <f>IF(A7=" "," ",+F6)</f>
        <v>96792228.13583748</v>
      </c>
      <c r="C7" s="85">
        <f>IF(A7=" "," ",+B7*I6)</f>
        <v>1839778.2762919308</v>
      </c>
      <c r="D7" s="85">
        <v>1381911</v>
      </c>
      <c r="E7" s="85">
        <f>IF(A7=" "," ",+J6)</f>
        <v>3219582.3161609531</v>
      </c>
      <c r="F7" s="85">
        <f>+B7-D7</f>
        <v>95410317.13583748</v>
      </c>
      <c r="G7" s="86">
        <v>0.11514000000000001</v>
      </c>
      <c r="H7" s="86">
        <f>IF(A7=" "," ",+H6)</f>
        <v>0.1095</v>
      </c>
      <c r="I7" s="88">
        <f>IF(A7=" "," ",((G7+H7)/12))</f>
        <v>1.8720000000000001E-2</v>
      </c>
      <c r="J7" s="85">
        <f>PMT(I7,K7,-F7,0)</f>
        <v>3201826.5932657998</v>
      </c>
      <c r="K7" s="89">
        <f>IF(A4=" "," ",+$B$2-A7)</f>
        <v>44</v>
      </c>
      <c r="L7" s="90">
        <f>IF(A7&lt;&gt;" ",+L6," ")</f>
        <v>20</v>
      </c>
      <c r="M7" s="90">
        <f>IF(AND(A7&lt;&gt;" ")*(M6=12),1,1+M6)</f>
        <v>3</v>
      </c>
      <c r="N7" s="90">
        <f>IF(AND(A7&lt;&gt;" ")*(M7=1),1+N6,N6)</f>
        <v>2024</v>
      </c>
      <c r="O7" s="91">
        <f>+C7/30</f>
        <v>61325.942543064361</v>
      </c>
      <c r="P7" s="32">
        <f>+O7*10</f>
        <v>613259.42543064361</v>
      </c>
      <c r="Q7" s="38">
        <v>45371</v>
      </c>
      <c r="R7" s="22">
        <v>1839738</v>
      </c>
      <c r="S7" s="22">
        <v>1381911</v>
      </c>
      <c r="T7" s="63">
        <v>49</v>
      </c>
      <c r="U7" s="22"/>
      <c r="V7" s="22">
        <f>SUM(R7:U7)</f>
        <v>3221698</v>
      </c>
      <c r="W7" s="22">
        <f>+W6-S7</f>
        <v>95410317</v>
      </c>
      <c r="Z7" s="21"/>
    </row>
    <row r="8" spans="1:26">
      <c r="A8" s="87">
        <f>IF(AND(A7&lt;$B$2)*(A7&lt;&gt;0),1+A7," ")</f>
        <v>5</v>
      </c>
      <c r="B8" s="85">
        <f>IF(A8=" "," ",+F7)</f>
        <v>95410317.13583748</v>
      </c>
      <c r="C8" s="85">
        <f>IF(A8=" "," ",+B8*I7)</f>
        <v>1786081.1367828776</v>
      </c>
      <c r="D8" s="85">
        <v>1412549</v>
      </c>
      <c r="E8" s="85">
        <f>IF(A8=" "," ",+J7)</f>
        <v>3201826.5932657998</v>
      </c>
      <c r="F8" s="85">
        <f>+B8-D8</f>
        <v>93997768.13583748</v>
      </c>
      <c r="G8" s="86">
        <v>0.11138000000000001</v>
      </c>
      <c r="H8" s="86">
        <f>IF(A8=" "," ",+H7)</f>
        <v>0.1095</v>
      </c>
      <c r="I8" s="88">
        <f>IF(A8=" "," ",((G8+H8)/12))</f>
        <v>1.8406666666666668E-2</v>
      </c>
      <c r="J8" s="85">
        <f>PMT(I8,K8,-F8,0)</f>
        <v>3183082.7937184386</v>
      </c>
      <c r="K8" s="89">
        <f>IF(A5=" "," ",+$B$2-A8)</f>
        <v>43</v>
      </c>
      <c r="L8" s="90">
        <f>IF(A8&lt;&gt;" ",+L7," ")</f>
        <v>20</v>
      </c>
      <c r="M8" s="90">
        <f>IF(AND(A8&lt;&gt;" ")*(M7=12),1,1+M7)</f>
        <v>4</v>
      </c>
      <c r="N8" s="90">
        <f>IF(AND(A8&lt;&gt;" ")*(M8=1),1+N7,N7)</f>
        <v>2024</v>
      </c>
      <c r="O8" s="91">
        <f>+C8/30</f>
        <v>59536.037892762586</v>
      </c>
      <c r="P8" s="32">
        <f>+O8*10</f>
        <v>595360.37892762583</v>
      </c>
      <c r="Q8" s="38">
        <v>45405</v>
      </c>
      <c r="R8" s="22">
        <v>1786081</v>
      </c>
      <c r="S8" s="22">
        <v>1412549</v>
      </c>
      <c r="T8" s="63">
        <v>3197</v>
      </c>
      <c r="U8" s="22"/>
      <c r="V8" s="22">
        <f>SUM(R8:U8)</f>
        <v>3201827</v>
      </c>
      <c r="W8" s="22">
        <f>+W7-S8</f>
        <v>93997768</v>
      </c>
      <c r="Z8" s="21"/>
    </row>
    <row r="9" spans="1:26">
      <c r="A9" s="87">
        <f>IF(AND(A8&lt;$B$2)*(A8&lt;&gt;0),1+A8," ")</f>
        <v>6</v>
      </c>
      <c r="B9" s="85">
        <f>IF(A9=" "," ",+F8)</f>
        <v>93997768.13583748</v>
      </c>
      <c r="C9" s="85">
        <f>IF(A9=" "," ",+B9*I8)</f>
        <v>1730185.585486982</v>
      </c>
      <c r="D9" s="85">
        <v>1454053</v>
      </c>
      <c r="E9" s="85">
        <f>IF(A9=" "," ",+J8)</f>
        <v>3183082.7937184386</v>
      </c>
      <c r="F9" s="85">
        <f>+B9-D9</f>
        <v>92543715.13583748</v>
      </c>
      <c r="G9" s="86">
        <v>0.11008</v>
      </c>
      <c r="H9" s="86">
        <f>IF(A9=" "," ",+H8)</f>
        <v>0.1095</v>
      </c>
      <c r="I9" s="88">
        <f>IF(A9=" "," ",((G9+H9)/12))</f>
        <v>1.8298333333333333E-2</v>
      </c>
      <c r="J9" s="85">
        <f>PMT(I9,K9,-F9,0)</f>
        <v>3176665.2564457608</v>
      </c>
      <c r="K9" s="89">
        <f>IF(A6=" "," ",+$B$2-A9)</f>
        <v>42</v>
      </c>
      <c r="L9" s="90">
        <f>IF(A9&lt;&gt;" ",+L8," ")</f>
        <v>20</v>
      </c>
      <c r="M9" s="90">
        <f>IF(AND(A9&lt;&gt;" ")*(M8=12),1,1+M8)</f>
        <v>5</v>
      </c>
      <c r="N9" s="90">
        <f>IF(AND(A9&lt;&gt;" ")*(M9=1),1+N8,N8)</f>
        <v>2024</v>
      </c>
      <c r="O9" s="91">
        <f>+C9/30</f>
        <v>57672.852849566065</v>
      </c>
      <c r="P9" s="32">
        <f>+O9*10</f>
        <v>576728.52849566063</v>
      </c>
      <c r="Q9" s="38">
        <v>45434</v>
      </c>
      <c r="R9" s="22">
        <v>1730127</v>
      </c>
      <c r="S9" s="22">
        <v>1454053</v>
      </c>
      <c r="T9" s="63">
        <v>2165</v>
      </c>
      <c r="U9" s="22"/>
      <c r="V9" s="22">
        <f>SUM(R9:U9)</f>
        <v>3186345</v>
      </c>
      <c r="W9" s="22">
        <f>+W8-S9</f>
        <v>92543715</v>
      </c>
      <c r="Z9" s="21"/>
    </row>
    <row r="10" spans="1:26">
      <c r="A10" s="87">
        <f>IF(AND(A9&lt;$B$2)*(A9&lt;&gt;0),1+A9," ")</f>
        <v>7</v>
      </c>
      <c r="B10" s="85">
        <f>IF(A10=" "," ",+F9)</f>
        <v>92543715.13583748</v>
      </c>
      <c r="C10" s="85">
        <f>IF(A10=" "," ",+B10*I9)</f>
        <v>1693395.7474605995</v>
      </c>
      <c r="D10" s="85">
        <v>1481100</v>
      </c>
      <c r="E10" s="85">
        <f>IF(A10=" "," ",+J9)</f>
        <v>3176665.2564457608</v>
      </c>
      <c r="F10" s="85">
        <f>+B10-D10</f>
        <v>91062615.13583748</v>
      </c>
      <c r="G10" s="86">
        <v>0.10706</v>
      </c>
      <c r="H10" s="86">
        <f>IF(A10=" "," ",+H9)</f>
        <v>0.1095</v>
      </c>
      <c r="I10" s="88">
        <f>IF(A10=" "," ",((G10+H10)/12))</f>
        <v>1.8046666666666666E-2</v>
      </c>
      <c r="J10" s="85">
        <f>PMT(I10,K10,-F10,0)</f>
        <v>3162246.6725283577</v>
      </c>
      <c r="K10" s="89">
        <f>IF(A7=" "," ",+$B$2-A10)</f>
        <v>41</v>
      </c>
      <c r="L10" s="90">
        <f>IF(A10&lt;&gt;" ",+L9," ")</f>
        <v>20</v>
      </c>
      <c r="M10" s="90">
        <f>IF(AND(A10&lt;&gt;" ")*(M9=12),1,1+M9)</f>
        <v>6</v>
      </c>
      <c r="N10" s="90">
        <f>IF(AND(A10&lt;&gt;" ")*(M10=1),1+N9,N9)</f>
        <v>2024</v>
      </c>
      <c r="O10" s="91">
        <f>+C10/30</f>
        <v>56446.524915353315</v>
      </c>
      <c r="P10" s="32">
        <f>+O10*10</f>
        <v>564465.24915353314</v>
      </c>
      <c r="Q10" s="38">
        <v>45467</v>
      </c>
      <c r="R10" s="22">
        <v>1693359</v>
      </c>
      <c r="S10" s="22">
        <v>1481100</v>
      </c>
      <c r="T10" s="63">
        <v>4230</v>
      </c>
      <c r="U10" s="22"/>
      <c r="V10" s="22">
        <f>SUM(R10:U10)</f>
        <v>3178689</v>
      </c>
      <c r="W10" s="22">
        <f>+W9-S10</f>
        <v>91062615</v>
      </c>
      <c r="Z10" s="21"/>
    </row>
    <row r="11" spans="1:26">
      <c r="A11" s="87">
        <f>IF(AND(A10&lt;$B$2)*(A10&lt;&gt;0),1+A10," ")</f>
        <v>8</v>
      </c>
      <c r="B11" s="85">
        <f>IF(A11=" "," ",+F10)</f>
        <v>91062615.13583748</v>
      </c>
      <c r="C11" s="85">
        <f>IF(A11=" "," ",+B11*I10)</f>
        <v>1643376.6611514136</v>
      </c>
      <c r="D11" s="85">
        <f>+S11</f>
        <v>1522931</v>
      </c>
      <c r="E11" s="85">
        <f>IF(A11=" "," ",+J10)</f>
        <v>3162246.6725283577</v>
      </c>
      <c r="F11" s="85">
        <f>+B11-D11</f>
        <v>89539684.13583748</v>
      </c>
      <c r="G11" s="86">
        <v>0.10212</v>
      </c>
      <c r="H11" s="86">
        <f>IF(A11=" "," ",+H10)</f>
        <v>0.1095</v>
      </c>
      <c r="I11" s="88">
        <f>IF(A11=" "," ",((G11+H11)/12))</f>
        <v>1.7635000000000001E-2</v>
      </c>
      <c r="J11" s="85">
        <f>PMT(I11,K11,-F11,0)</f>
        <v>3138959.2968288488</v>
      </c>
      <c r="K11" s="89">
        <f>IF(A8=" "," ",+$B$2-A11)</f>
        <v>40</v>
      </c>
      <c r="L11" s="90">
        <f>IF(A11&lt;&gt;" ",+L10," ")</f>
        <v>20</v>
      </c>
      <c r="M11" s="90">
        <f>IF(AND(A11&lt;&gt;" ")*(M10=12),1,1+M10)</f>
        <v>7</v>
      </c>
      <c r="N11" s="90">
        <f>IF(AND(A11&lt;&gt;" ")*(M11=1),1+N10,N10)</f>
        <v>2024</v>
      </c>
      <c r="O11" s="91">
        <f>1643302/30</f>
        <v>54776.73333333333</v>
      </c>
      <c r="P11" s="32">
        <f>+O11*10</f>
        <v>547767.33333333326</v>
      </c>
      <c r="Q11" s="38">
        <v>45497</v>
      </c>
      <c r="R11" s="22">
        <v>1652869</v>
      </c>
      <c r="S11" s="22">
        <v>1522931</v>
      </c>
      <c r="T11" s="63">
        <v>4200</v>
      </c>
      <c r="U11" s="22"/>
      <c r="V11" s="22">
        <f>SUM(R11:U11)</f>
        <v>3180000</v>
      </c>
      <c r="W11" s="22">
        <f>+W10-S11</f>
        <v>89539684</v>
      </c>
      <c r="Z11" s="21"/>
    </row>
    <row r="12" spans="1:26">
      <c r="A12" s="87">
        <f>IF(AND(A11&lt;$B$2)*(A11&lt;&gt;0),1+A11," ")</f>
        <v>9</v>
      </c>
      <c r="B12" s="85">
        <f>IF(A12=" "," ",+F11)</f>
        <v>89539684.13583748</v>
      </c>
      <c r="C12" s="85">
        <f>IF(A12=" "," ",+B12*I11)</f>
        <v>1579032.329735494</v>
      </c>
      <c r="D12" s="85">
        <f>+S12</f>
        <v>1554264</v>
      </c>
      <c r="E12" s="85">
        <f>IF(A12=" "," ",+J11)</f>
        <v>3138959.2968288488</v>
      </c>
      <c r="F12" s="85">
        <f>+B12-D12</f>
        <v>87985420.13583748</v>
      </c>
      <c r="G12" s="86">
        <v>0.10088999999999999</v>
      </c>
      <c r="H12" s="86">
        <f>IF(A12=" "," ",+H11)</f>
        <v>0.1095</v>
      </c>
      <c r="I12" s="88">
        <f>IF(A12=" "," ",((G12+H12)/12))</f>
        <v>1.7532499999999999E-2</v>
      </c>
      <c r="J12" s="85">
        <f>PMT(I12,K12,-F12,0)</f>
        <v>3133535.1399434535</v>
      </c>
      <c r="K12" s="89">
        <f>IF(A9=" "," ",+$B$2-A12)</f>
        <v>39</v>
      </c>
      <c r="L12" s="90">
        <f>IF(A12&lt;&gt;" ",+L11," ")</f>
        <v>20</v>
      </c>
      <c r="M12" s="90">
        <f>IF(AND(A12&lt;&gt;" ")*(M11=12),1,1+M11)</f>
        <v>8</v>
      </c>
      <c r="N12" s="90">
        <f>IF(AND(A12&lt;&gt;" ")*(M12=1),1+N11,N11)</f>
        <v>2024</v>
      </c>
      <c r="O12" s="91">
        <f>1569466/30</f>
        <v>52315.533333333333</v>
      </c>
      <c r="P12" s="32">
        <f>+O12*10</f>
        <v>523155.33333333331</v>
      </c>
      <c r="Q12" s="38">
        <v>45530</v>
      </c>
      <c r="R12" s="22">
        <v>1569466</v>
      </c>
      <c r="S12" s="22">
        <v>1554264</v>
      </c>
      <c r="T12" s="63">
        <v>6270</v>
      </c>
      <c r="U12" s="22"/>
      <c r="V12" s="22">
        <f>SUM(R12:U12)</f>
        <v>3130000</v>
      </c>
      <c r="W12" s="22">
        <f>+W11-S12</f>
        <v>87985420</v>
      </c>
      <c r="Z12" s="21"/>
    </row>
    <row r="13" spans="1:26">
      <c r="A13" s="87">
        <f>IF(AND(A12&lt;$B$2)*(A12&lt;&gt;0),1+A12," ")</f>
        <v>10</v>
      </c>
      <c r="B13" s="85">
        <f>IF(A13=" "," ",+F12)</f>
        <v>87985420.13583748</v>
      </c>
      <c r="C13" s="85">
        <f>IF(A13=" "," ",+B13*I12)</f>
        <v>1542604.3785315705</v>
      </c>
      <c r="D13" s="85">
        <f>+S13</f>
        <v>1582811</v>
      </c>
      <c r="E13" s="85">
        <f>IF(A13=" "," ",+J12)</f>
        <v>3133535.1399434535</v>
      </c>
      <c r="F13" s="85">
        <f>+B13-D13</f>
        <v>86402609.13583748</v>
      </c>
      <c r="G13" s="86">
        <v>9.7280000000000005E-2</v>
      </c>
      <c r="H13" s="86">
        <f>IF(A13=" "," ",+H12)</f>
        <v>0.1095</v>
      </c>
      <c r="I13" s="88">
        <f>IF(A13=" "," ",((G13+H13)/12))</f>
        <v>1.7231666666666669E-2</v>
      </c>
      <c r="J13" s="85">
        <f>PMT(I13,K13,-F13,0)</f>
        <v>3117708.1642321232</v>
      </c>
      <c r="K13" s="89">
        <f>IF(A10=" "," ",+$B$2-A13)</f>
        <v>38</v>
      </c>
      <c r="L13" s="90">
        <f>IF(A13&lt;&gt;" ",+L12," ")</f>
        <v>20</v>
      </c>
      <c r="M13" s="90">
        <f>IF(AND(A13&lt;&gt;" ")*(M12=12),1,1+M12)</f>
        <v>9</v>
      </c>
      <c r="N13" s="90">
        <f>IF(AND(A13&lt;&gt;" ")*(M13=1),1+N12,N12)</f>
        <v>2024</v>
      </c>
      <c r="O13" s="91">
        <f>+C13/30</f>
        <v>51420.145951052349</v>
      </c>
      <c r="P13" s="32">
        <f>+O13*10</f>
        <v>514201.45951052348</v>
      </c>
      <c r="Q13" s="38">
        <v>45568</v>
      </c>
      <c r="R13" s="22">
        <v>1743476</v>
      </c>
      <c r="S13" s="22">
        <v>1582811</v>
      </c>
      <c r="T13" s="63">
        <v>13792</v>
      </c>
      <c r="U13" s="22"/>
      <c r="V13" s="22">
        <f>SUM(R13:U13)</f>
        <v>3340079</v>
      </c>
      <c r="W13" s="22">
        <f>+W12-S13</f>
        <v>86402609</v>
      </c>
      <c r="Z13" s="21"/>
    </row>
    <row r="14" spans="1:26">
      <c r="A14" s="87">
        <f>IF(AND(A13&lt;$B$2)*(A13&lt;&gt;0),1+A13," ")</f>
        <v>11</v>
      </c>
      <c r="B14" s="85">
        <f>IF(A14=" "," ",+F13)</f>
        <v>86402609.13583748</v>
      </c>
      <c r="C14" s="85">
        <f>IF(A14=" "," ",+B14*I13)</f>
        <v>1488860.9597590398</v>
      </c>
      <c r="D14" s="85">
        <f>+S14</f>
        <v>1642269</v>
      </c>
      <c r="E14" s="85">
        <f>IF(A14=" "," ",+J13)</f>
        <v>3117708.1642321232</v>
      </c>
      <c r="F14" s="85">
        <f>+B14-D14</f>
        <v>84760340.13583748</v>
      </c>
      <c r="G14" s="86">
        <v>9.3289999999999998E-2</v>
      </c>
      <c r="H14" s="86">
        <f>IF(A14=" "," ",+H13)</f>
        <v>0.1095</v>
      </c>
      <c r="I14" s="88">
        <f>IF(A14=" "," ",((G14+H14)/12))</f>
        <v>1.6899166666666667E-2</v>
      </c>
      <c r="J14" s="85">
        <f>PMT(I14,K14,-F14,0)</f>
        <v>3099853.6245556399</v>
      </c>
      <c r="K14" s="89">
        <f>IF(A11=" "," ",+$B$2-A14)</f>
        <v>37</v>
      </c>
      <c r="L14" s="90">
        <f>IF(A14&lt;&gt;" ",+L13," ")</f>
        <v>20</v>
      </c>
      <c r="M14" s="90">
        <f>IF(AND(A14&lt;&gt;" ")*(M13=12),1,1+M13)</f>
        <v>10</v>
      </c>
      <c r="N14" s="90">
        <f>IF(AND(A14&lt;&gt;" ")*(M14=1),1+N13,N13)</f>
        <v>2024</v>
      </c>
      <c r="O14" s="91">
        <f>+C14/30</f>
        <v>49628.698658634661</v>
      </c>
      <c r="P14" s="32">
        <f>+O14*10</f>
        <v>496286.98658634664</v>
      </c>
      <c r="Q14" s="38">
        <v>45586</v>
      </c>
      <c r="R14" s="22">
        <v>1491392</v>
      </c>
      <c r="S14" s="22">
        <v>1642269</v>
      </c>
      <c r="T14" s="63">
        <v>1239</v>
      </c>
      <c r="U14" s="22"/>
      <c r="V14" s="22">
        <f>SUM(R14:U14)</f>
        <v>3134900</v>
      </c>
      <c r="W14" s="22">
        <f>+W13-S14</f>
        <v>84760340</v>
      </c>
      <c r="Z14" s="21"/>
    </row>
    <row r="15" spans="1:26">
      <c r="A15" s="87">
        <f>IF(AND(A14&lt;$B$2)*(A14&lt;&gt;0),1+A14," ")</f>
        <v>12</v>
      </c>
      <c r="B15" s="85">
        <f>IF(A15=" "," ",+F14)</f>
        <v>84760340.13583748</v>
      </c>
      <c r="C15" s="85">
        <f>IF(A15=" "," ",+B15*I14)</f>
        <v>1432379.1146788734</v>
      </c>
      <c r="D15" s="85">
        <f>+S15</f>
        <v>1666408</v>
      </c>
      <c r="E15" s="85">
        <f>IF(A15=" "," ",+J14)</f>
        <v>3099853.6245556399</v>
      </c>
      <c r="F15" s="85">
        <f>+B15-D15</f>
        <v>83093932.13583748</v>
      </c>
      <c r="G15" s="86">
        <v>9.2069999999999999E-2</v>
      </c>
      <c r="H15" s="86">
        <f>IF(A15=" "," ",+H14)</f>
        <v>0.1095</v>
      </c>
      <c r="I15" s="88">
        <f>IF(A15=" "," ",((G15+H15)/12))</f>
        <v>1.67975E-2</v>
      </c>
      <c r="J15" s="85">
        <f>PMT(I15,K15,-F15,0)</f>
        <v>3094719.4448656295</v>
      </c>
      <c r="K15" s="89">
        <f>IF(A12=" "," ",+$B$2-A15)</f>
        <v>36</v>
      </c>
      <c r="L15" s="90">
        <f>IF(A15&lt;&gt;" ",+L14," ")</f>
        <v>20</v>
      </c>
      <c r="M15" s="90">
        <f>IF(AND(A15&lt;&gt;" ")*(M14=12),1,1+M14)</f>
        <v>11</v>
      </c>
      <c r="N15" s="90">
        <f>IF(AND(A15&lt;&gt;" ")*(M15=1),1+N14,N14)</f>
        <v>2024</v>
      </c>
      <c r="O15" s="91">
        <f>+C15/30</f>
        <v>47745.970489295782</v>
      </c>
      <c r="P15" s="32">
        <f>+O15*10</f>
        <v>477459.70489295782</v>
      </c>
      <c r="Q15" s="38">
        <v>45617</v>
      </c>
      <c r="R15" s="22">
        <v>1429612</v>
      </c>
      <c r="S15" s="22">
        <v>1666408</v>
      </c>
      <c r="T15" s="63">
        <v>1067</v>
      </c>
      <c r="U15" s="22"/>
      <c r="V15" s="22">
        <f>SUM(R15:U15)</f>
        <v>3097087</v>
      </c>
      <c r="W15" s="22">
        <f>+W14-S15</f>
        <v>83093932</v>
      </c>
      <c r="Z15" s="21"/>
    </row>
    <row r="16" spans="1:26" ht="14.45" customHeight="1">
      <c r="A16" s="87">
        <f>IF(AND(A15&lt;$B$2)*(A15&lt;&gt;0),1+A15," ")</f>
        <v>13</v>
      </c>
      <c r="B16" s="85">
        <f>IF(A16=" "," ",+F15)</f>
        <v>83093932.13583748</v>
      </c>
      <c r="C16" s="85">
        <f>IF(A16=" "," ",+B16*I15)</f>
        <v>1395770.32505173</v>
      </c>
      <c r="D16" s="85">
        <f>+S16</f>
        <v>1696900</v>
      </c>
      <c r="E16" s="85">
        <f>IF(A16=" "," ",+J15)</f>
        <v>3094719.4448656295</v>
      </c>
      <c r="F16" s="85">
        <f>+B16-D16</f>
        <v>81397032.13583748</v>
      </c>
      <c r="G16" s="86">
        <v>8.77E-2</v>
      </c>
      <c r="H16" s="86">
        <f>IF(A16=" "," ",+H15)</f>
        <v>0.1095</v>
      </c>
      <c r="I16" s="88">
        <f>IF(A16=" "," ",((G16+H16)/12))</f>
        <v>1.6433333333333331E-2</v>
      </c>
      <c r="J16" s="85">
        <f>PMT(I16,K16,-F16,0)</f>
        <v>3076748.4808694087</v>
      </c>
      <c r="K16" s="89">
        <f>IF(A13=" "," ",+$B$2-A16)</f>
        <v>35</v>
      </c>
      <c r="L16" s="90">
        <f>IF(A16&lt;&gt;" ",+L15," ")</f>
        <v>20</v>
      </c>
      <c r="M16" s="90">
        <f>IF(AND(A16&lt;&gt;" ")*(M15=12),1,1+M15)</f>
        <v>12</v>
      </c>
      <c r="N16" s="90">
        <f>IF(AND(A16&lt;&gt;" ")*(M16=1),1+N15,N15)</f>
        <v>2024</v>
      </c>
      <c r="O16" s="91">
        <f>1440731/30</f>
        <v>48024.366666666669</v>
      </c>
      <c r="P16" s="32">
        <f>+O16*10</f>
        <v>480243.66666666669</v>
      </c>
      <c r="Q16" s="38">
        <v>45649</v>
      </c>
      <c r="R16" s="22">
        <v>1440731</v>
      </c>
      <c r="S16" s="22">
        <v>1696900</v>
      </c>
      <c r="T16" s="63">
        <v>3116</v>
      </c>
      <c r="U16" s="22"/>
      <c r="V16" s="22">
        <f>SUM(R16:U16)</f>
        <v>3140747</v>
      </c>
      <c r="W16" s="22">
        <f>+W15-S16</f>
        <v>81397032</v>
      </c>
      <c r="Z16" s="21"/>
    </row>
    <row r="17" spans="1:26">
      <c r="A17" s="87">
        <f>IF(AND(A16&lt;$B$2)*(A16&lt;&gt;0),1+A16," ")</f>
        <v>14</v>
      </c>
      <c r="B17" s="85">
        <f>IF(A17=" "," ",+F16)</f>
        <v>81397032.13583748</v>
      </c>
      <c r="C17" s="85">
        <f>IF(A17=" "," ",+B17*I16)</f>
        <v>1337624.5614322624</v>
      </c>
      <c r="D17" s="85">
        <f>+S17</f>
        <v>1734156</v>
      </c>
      <c r="E17" s="85">
        <f>IF(A17=" "," ",+J16)</f>
        <v>3076748.4808694087</v>
      </c>
      <c r="F17" s="85">
        <f>+B17-D17</f>
        <v>79662876.13583748</v>
      </c>
      <c r="G17" s="86">
        <v>8.9050000000000004E-2</v>
      </c>
      <c r="H17" s="86">
        <f>IF(A17=" "," ",+H16)</f>
        <v>0.1095</v>
      </c>
      <c r="I17" s="88">
        <f>IF(A17=" "," ",((G17+H17)/12))</f>
        <v>1.6545833333333333E-2</v>
      </c>
      <c r="J17" s="85">
        <f>PMT(I17,K17,-F17,0)</f>
        <v>3082371.2824153504</v>
      </c>
      <c r="K17" s="89">
        <f>IF(A14=" "," ",+$B$2-A17)</f>
        <v>34</v>
      </c>
      <c r="L17" s="90">
        <f>IF(A17&lt;&gt;" ",+L16," ")</f>
        <v>20</v>
      </c>
      <c r="M17" s="90">
        <f>IF(AND(A17&lt;&gt;" ")*(M16=12),1,1+M16)</f>
        <v>1</v>
      </c>
      <c r="N17" s="90">
        <f>IF(AND(A17&lt;&gt;" ")*(M17=1),1+N16,N16)</f>
        <v>2025</v>
      </c>
      <c r="O17" s="91">
        <f>1337574/30</f>
        <v>44585.8</v>
      </c>
      <c r="P17" s="32">
        <f>+O17*10</f>
        <v>445858</v>
      </c>
      <c r="Q17" s="38">
        <v>45685</v>
      </c>
      <c r="R17" s="22">
        <v>1337547</v>
      </c>
      <c r="S17" s="22">
        <v>1734156</v>
      </c>
      <c r="T17" s="63">
        <v>8053</v>
      </c>
      <c r="U17" s="22"/>
      <c r="V17" s="22">
        <f>SUM(R17:U17)</f>
        <v>3079756</v>
      </c>
      <c r="W17" s="22">
        <f>+W16-S17</f>
        <v>79662876</v>
      </c>
      <c r="Z17" s="21"/>
    </row>
    <row r="18" spans="1:26">
      <c r="A18" s="87">
        <f>IF(AND(A17&lt;$B$2)*(A17&lt;&gt;0),1+A17," ")</f>
        <v>15</v>
      </c>
      <c r="B18" s="85">
        <f>IF(A18=" "," ",+F17)</f>
        <v>79662876.13583748</v>
      </c>
      <c r="C18" s="85">
        <f>IF(A18=" "," ",+B18*I17)</f>
        <v>1318088.6713975442</v>
      </c>
      <c r="D18" s="85">
        <f>+S18</f>
        <v>1758103</v>
      </c>
      <c r="E18" s="85">
        <f>IF(A18=" "," ",+J17)</f>
        <v>3082371.2824153504</v>
      </c>
      <c r="F18" s="85">
        <f>+B18-D18</f>
        <v>77904773.13583748</v>
      </c>
      <c r="G18" s="86">
        <v>8.9749999999999996E-2</v>
      </c>
      <c r="H18" s="86">
        <f>IF(A18=" "," ",+H17)</f>
        <v>0.1095</v>
      </c>
      <c r="I18" s="88">
        <f>IF(A18=" "," ",((G18+H18)/12))</f>
        <v>1.6604166666666666E-2</v>
      </c>
      <c r="J18" s="85">
        <f>PMT(I18,K18,-F18,0)</f>
        <v>3085361.7488486515</v>
      </c>
      <c r="K18" s="89">
        <f>IF(A15=" "," ",+$B$2-A18)</f>
        <v>33</v>
      </c>
      <c r="L18" s="90">
        <f>IF(A18&lt;&gt;" ",+L17," ")</f>
        <v>20</v>
      </c>
      <c r="M18" s="90">
        <f>IF(AND(A18&lt;&gt;" ")*(M17=12),1,1+M17)</f>
        <v>2</v>
      </c>
      <c r="N18" s="90">
        <f>IF(AND(A18&lt;&gt;" ")*(M18=1),1+N17,N17)</f>
        <v>2025</v>
      </c>
      <c r="O18" s="91">
        <f>1317956/30</f>
        <v>43931.866666666669</v>
      </c>
      <c r="P18" s="32">
        <f>+O18*10</f>
        <v>439318.66666666669</v>
      </c>
      <c r="Q18" s="38">
        <v>45720</v>
      </c>
      <c r="R18" s="22">
        <v>1317956</v>
      </c>
      <c r="S18" s="22">
        <v>1758103</v>
      </c>
      <c r="T18" s="63">
        <v>14141</v>
      </c>
      <c r="U18" s="22"/>
      <c r="V18" s="22">
        <f>SUM(R18:U18)</f>
        <v>3090200</v>
      </c>
      <c r="W18" s="22">
        <f>+W17-S18</f>
        <v>77904773</v>
      </c>
      <c r="Z18" s="21"/>
    </row>
    <row r="19" spans="1:26">
      <c r="A19" s="87">
        <f>IF(AND(A18&lt;$B$2)*(A18&lt;&gt;0),1+A18," ")</f>
        <v>16</v>
      </c>
      <c r="B19" s="85">
        <f>IF(A19=" "," ",+F18)</f>
        <v>77904773.13583748</v>
      </c>
      <c r="C19" s="85">
        <f>IF(A19=" "," ",+B19*I18)</f>
        <v>1293543.8372763016</v>
      </c>
      <c r="D19" s="85">
        <f>+S19</f>
        <v>1791818</v>
      </c>
      <c r="E19" s="85">
        <f>IF(A19=" "," ",+J18)</f>
        <v>3085361.7488486515</v>
      </c>
      <c r="F19" s="85">
        <f>+B19-D19</f>
        <v>76112955.13583748</v>
      </c>
      <c r="G19" s="86">
        <v>8.9510000000000006E-2</v>
      </c>
      <c r="H19" s="86">
        <f>IF(A19=" "," ",+H18)</f>
        <v>0.1095</v>
      </c>
      <c r="I19" s="88">
        <f>IF(A19=" "," ",((G19+H19)/12))</f>
        <v>1.6584166666666667E-2</v>
      </c>
      <c r="J19" s="85">
        <f>PMT(I19,K19,-F19,0)</f>
        <v>3084445.1051570829</v>
      </c>
      <c r="K19" s="89">
        <f>IF(A16=" "," ",+$B$2-A19)</f>
        <v>32</v>
      </c>
      <c r="L19" s="90">
        <f>IF(A19&lt;&gt;" ",+L18," ")</f>
        <v>20</v>
      </c>
      <c r="M19" s="90">
        <f>IF(AND(A19&lt;&gt;" ")*(M18=12),1,1+M18)</f>
        <v>3</v>
      </c>
      <c r="N19" s="90">
        <f>IF(AND(A19&lt;&gt;" ")*(M19=1),1+N18,N18)</f>
        <v>2025</v>
      </c>
      <c r="O19" s="91">
        <f>+C19/30</f>
        <v>43118.127909210052</v>
      </c>
      <c r="P19" s="32">
        <f>+O19*10</f>
        <v>431181.27909210051</v>
      </c>
      <c r="Q19" s="38">
        <v>45747</v>
      </c>
      <c r="R19" s="22">
        <v>1293544</v>
      </c>
      <c r="S19" s="22">
        <f>1781517+10301</f>
        <v>1791818</v>
      </c>
      <c r="T19" s="63">
        <v>10301</v>
      </c>
      <c r="U19" s="22"/>
      <c r="V19" s="22">
        <f>SUM(R19:U19)</f>
        <v>3095663</v>
      </c>
      <c r="W19" s="22">
        <f>+W18-S19</f>
        <v>76112955</v>
      </c>
      <c r="Z19" s="21"/>
    </row>
    <row r="20" spans="1:26" ht="14.45" customHeight="1">
      <c r="A20" s="87">
        <f>IF(AND(A19&lt;$B$2)*(A19&lt;&gt;0),1+A19," ")</f>
        <v>17</v>
      </c>
      <c r="B20" s="85">
        <f>IF(A20=" "," ",+F19)</f>
        <v>76112955.13583748</v>
      </c>
      <c r="C20" s="85">
        <f>IF(A20=" "," ",+B20*I19)</f>
        <v>1262269.9334652515</v>
      </c>
      <c r="D20" s="85">
        <v>1822175</v>
      </c>
      <c r="E20" s="85">
        <f>IF(A20=" "," ",+J19)</f>
        <v>3084445.1051570829</v>
      </c>
      <c r="F20" s="85">
        <f>+B20-D20</f>
        <v>74290780.13583748</v>
      </c>
      <c r="G20" s="86">
        <v>8.9520000000000002E-2</v>
      </c>
      <c r="H20" s="86">
        <f>IF(A20=" "," ",+H19)</f>
        <v>0.1095</v>
      </c>
      <c r="I20" s="88">
        <f>IF(A20=" "," ",((G20+H20)/12))</f>
        <v>1.6584999999999999E-2</v>
      </c>
      <c r="J20" s="85">
        <f>PMT(I20,K20,-F20,0)</f>
        <v>3084482.2547254139</v>
      </c>
      <c r="K20" s="89">
        <f>IF(A17=" "," ",+$B$2-A20)</f>
        <v>31</v>
      </c>
      <c r="L20" s="90">
        <f>IF(A20&lt;&gt;" ",+L19," ")</f>
        <v>20</v>
      </c>
      <c r="M20" s="90">
        <f>IF(AND(A20&lt;&gt;" ")*(M19=12),1,1+M19)</f>
        <v>4</v>
      </c>
      <c r="N20" s="90">
        <f>IF(AND(A20&lt;&gt;" ")*(M20=1),1+N19,N19)</f>
        <v>2025</v>
      </c>
      <c r="O20" s="91">
        <f>+C20/30</f>
        <v>42075.664448841715</v>
      </c>
      <c r="P20" s="32">
        <f>+O20*10</f>
        <v>420756.64448841714</v>
      </c>
      <c r="Q20" s="112">
        <v>45803</v>
      </c>
      <c r="R20" s="110">
        <v>2547499</v>
      </c>
      <c r="S20" s="110">
        <v>3684845</v>
      </c>
      <c r="T20" s="114">
        <v>46253</v>
      </c>
      <c r="U20" s="39"/>
      <c r="V20" s="22">
        <f>SUM(R20:U20)</f>
        <v>6278597</v>
      </c>
      <c r="W20" s="22">
        <f>+W19-S20</f>
        <v>72428110</v>
      </c>
      <c r="Z20" s="21"/>
    </row>
    <row r="21" spans="1:26" ht="14.45" customHeight="1">
      <c r="A21" s="87">
        <f>IF(AND(A20&lt;$B$2)*(A20&lt;&gt;0),1+A20," ")</f>
        <v>18</v>
      </c>
      <c r="B21" s="85">
        <f>IF(A21=" "," ",+F20)</f>
        <v>74290780.13583748</v>
      </c>
      <c r="C21" s="85">
        <f>IF(A21=" "," ",+B21*I20)</f>
        <v>1232112.5885528645</v>
      </c>
      <c r="D21" s="85">
        <v>1852369</v>
      </c>
      <c r="E21" s="85">
        <f>IF(A21=" "," ",+J20)</f>
        <v>3084482.2547254139</v>
      </c>
      <c r="F21" s="85">
        <f>+B21-D21</f>
        <v>72438411.13583748</v>
      </c>
      <c r="G21" s="86">
        <v>8.7590000000000001E-2</v>
      </c>
      <c r="H21" s="86">
        <f>IF(A21=" "," ",+H20)</f>
        <v>0.1095</v>
      </c>
      <c r="I21" s="88">
        <f>IF(A21=" "," ",((G21+H21)/12))</f>
        <v>1.6424166666666667E-2</v>
      </c>
      <c r="J21" s="85">
        <f>PMT(I21,K21,-F21,0)</f>
        <v>3077521.7569606923</v>
      </c>
      <c r="K21" s="89">
        <f>IF(A18=" "," ",+$B$2-A21)</f>
        <v>30</v>
      </c>
      <c r="L21" s="90">
        <f>IF(A21&lt;&gt;" ",+L20," ")</f>
        <v>20</v>
      </c>
      <c r="M21" s="90">
        <f>IF(AND(A21&lt;&gt;" ")*(M20=12),1,1+M20)</f>
        <v>5</v>
      </c>
      <c r="N21" s="90">
        <f>IF(AND(A21&lt;&gt;" ")*(M21=1),1+N20,N20)</f>
        <v>2025</v>
      </c>
      <c r="O21" s="91">
        <f>+C21/30</f>
        <v>41070.419618428816</v>
      </c>
      <c r="P21" s="32">
        <f>+O21*10</f>
        <v>410704.19618428813</v>
      </c>
      <c r="Q21" s="113"/>
      <c r="R21" s="111"/>
      <c r="S21" s="111"/>
      <c r="T21" s="115"/>
      <c r="U21" s="39"/>
      <c r="V21" s="39"/>
      <c r="W21" s="39"/>
      <c r="Z21" s="21"/>
    </row>
    <row r="22" spans="1:26">
      <c r="A22" s="87">
        <f>IF(AND(A21&lt;$B$2)*(A21&lt;&gt;0),1+A21," ")</f>
        <v>19</v>
      </c>
      <c r="B22" s="85">
        <f>IF(A22=" "," ",+F21)</f>
        <v>72438411.13583748</v>
      </c>
      <c r="C22" s="85">
        <f>IF(A22=" "," ",+B22*I21)</f>
        <v>1189740.5375635175</v>
      </c>
      <c r="D22" s="85">
        <f>1864785+22997</f>
        <v>1887782</v>
      </c>
      <c r="E22" s="85">
        <f>IF(A22=" "," ",+J21)</f>
        <v>3077521.7569606923</v>
      </c>
      <c r="F22" s="85">
        <f>+B22-D22</f>
        <v>70550629.13583748</v>
      </c>
      <c r="G22" s="86">
        <v>8.7379999999999999E-2</v>
      </c>
      <c r="H22" s="86">
        <f>IF(A22=" "," ",+H21)</f>
        <v>0.1095</v>
      </c>
      <c r="I22" s="88">
        <f>IF(A22=" "," ",((G22+H22)/12))</f>
        <v>1.6406666666666667E-2</v>
      </c>
      <c r="J22" s="85">
        <f>PMT(I22,K22,-F22,0)</f>
        <v>3076787.1763822911</v>
      </c>
      <c r="K22" s="89">
        <f>IF(A19=" "," ",+$B$2-A22)</f>
        <v>29</v>
      </c>
      <c r="L22" s="90">
        <f>IF(A22&lt;&gt;" ",+L21," ")</f>
        <v>20</v>
      </c>
      <c r="M22" s="90">
        <f>IF(AND(A22&lt;&gt;" ")*(M21=12),1,1+M21)</f>
        <v>6</v>
      </c>
      <c r="N22" s="90">
        <f>IF(AND(A22&lt;&gt;" ")*(M22=1),1+N21,N21)</f>
        <v>2025</v>
      </c>
      <c r="O22" s="91">
        <f>+C22/30</f>
        <v>39658.017918783917</v>
      </c>
      <c r="P22" s="32">
        <f>+O22*10</f>
        <v>396580.17918783915</v>
      </c>
      <c r="Q22" s="38">
        <v>45849</v>
      </c>
      <c r="R22" s="22">
        <v>1136624</v>
      </c>
      <c r="S22" s="22">
        <v>1864785</v>
      </c>
      <c r="T22" s="63">
        <v>22997</v>
      </c>
      <c r="U22" s="22"/>
      <c r="V22" s="22">
        <f>SUM(R22:U22)</f>
        <v>3024406</v>
      </c>
      <c r="W22" s="22">
        <f>+W20-S22</f>
        <v>70563325</v>
      </c>
      <c r="Z22" s="21"/>
    </row>
    <row r="23" spans="1:26" ht="14.1" customHeight="1">
      <c r="A23" s="11">
        <f>IF(AND(A22&lt;$B$2)*(A22&lt;&gt;0),1+A22," ")</f>
        <v>20</v>
      </c>
      <c r="B23" s="56">
        <f>IF(A23=" "," ",+F22)</f>
        <v>70550629.13583748</v>
      </c>
      <c r="C23" s="56">
        <f>IF(A23=" "," ",+B23*I22)</f>
        <v>1157500.655355307</v>
      </c>
      <c r="D23" s="56">
        <f>1891242+28044</f>
        <v>1919286</v>
      </c>
      <c r="E23" s="56">
        <f>IF(A23=" "," ",+J22)</f>
        <v>3076787.1763822911</v>
      </c>
      <c r="F23" s="56">
        <f>+B23-D23</f>
        <v>68631343.13583748</v>
      </c>
      <c r="G23" s="57">
        <v>8.6800000000000002E-2</v>
      </c>
      <c r="H23" s="57">
        <f>IF(A23=" "," ",+H22)</f>
        <v>0.1095</v>
      </c>
      <c r="I23" s="100">
        <f>IF(A23=" "," ",((G23+H23)/12))</f>
        <v>1.6358333333333332E-2</v>
      </c>
      <c r="J23" s="56">
        <f>PMT(I23,K23,-F23,0)</f>
        <v>3074820.8730386174</v>
      </c>
      <c r="K23" s="101">
        <f>IF(A20=" "," ",+$B$2-A23)</f>
        <v>28</v>
      </c>
      <c r="L23">
        <f>IF(A23&lt;&gt;" ",+L22," ")</f>
        <v>20</v>
      </c>
      <c r="M23">
        <f>IF(AND(A23&lt;&gt;" ")*(M22=12),1,1+M22)</f>
        <v>7</v>
      </c>
      <c r="N23">
        <f>IF(AND(A23&lt;&gt;" ")*(M23=1),1+N22,N22)</f>
        <v>2025</v>
      </c>
      <c r="O23" s="20">
        <f>1157501/30</f>
        <v>38583.366666666669</v>
      </c>
      <c r="P23" s="32">
        <f>+O23*10</f>
        <v>385833.66666666669</v>
      </c>
      <c r="Q23" s="38">
        <v>45884</v>
      </c>
      <c r="R23" s="22">
        <v>1157501</v>
      </c>
      <c r="S23" s="22">
        <v>1914239</v>
      </c>
      <c r="T23" s="63">
        <v>28308</v>
      </c>
      <c r="U23" s="22"/>
      <c r="V23" s="22">
        <f>SUM(R23:U23)</f>
        <v>3100048</v>
      </c>
      <c r="W23" s="22">
        <f>+W22-S23</f>
        <v>68649086</v>
      </c>
      <c r="Z23" s="21"/>
    </row>
    <row r="24" spans="1:26">
      <c r="A24" s="11">
        <f>IF(AND(A23&lt;$B$2)*(A23&lt;&gt;0),1+A23," ")</f>
        <v>21</v>
      </c>
      <c r="B24" s="56">
        <f>IF(A24=" "," ",+F23)</f>
        <v>68631343.13583748</v>
      </c>
      <c r="C24" s="56">
        <f>IF(A24=" "," ",+B24*I23)</f>
        <v>1122694.388130408</v>
      </c>
      <c r="D24" s="56">
        <f>1927978+24149</f>
        <v>1952127</v>
      </c>
      <c r="E24" s="56">
        <f>IF(A24=" "," ",+J23)</f>
        <v>3074820.8730386174</v>
      </c>
      <c r="F24" s="56">
        <f>+B24-D24</f>
        <v>66679216.13583748</v>
      </c>
      <c r="G24" s="86">
        <v>8.7580000000000005E-2</v>
      </c>
      <c r="H24" s="57">
        <f>IF(A24=" "," ",+H23)</f>
        <v>0.1095</v>
      </c>
      <c r="I24" s="100">
        <f>IF(A24=" "," ",((G24+H24)/12))</f>
        <v>1.6423333333333335E-2</v>
      </c>
      <c r="J24" s="56">
        <f>PMT(I24,K24,-F24,0)</f>
        <v>3077381.5500517809</v>
      </c>
      <c r="K24" s="101">
        <f>IF(A21=" "," ",+$B$2-A24)</f>
        <v>27</v>
      </c>
      <c r="L24">
        <f>IF(A24&lt;&gt;" ",+L23," ")</f>
        <v>20</v>
      </c>
      <c r="M24">
        <f>IF(AND(A24&lt;&gt;" ")*(M23=12),1,1+M23)</f>
        <v>8</v>
      </c>
      <c r="N24">
        <f>IF(AND(A24&lt;&gt;" ")*(M24=1),1+N23,N23)</f>
        <v>2025</v>
      </c>
      <c r="O24" s="20">
        <f>1122694/30</f>
        <v>37423.133333333331</v>
      </c>
      <c r="P24" s="32">
        <f>+O24*10</f>
        <v>374231.33333333331</v>
      </c>
      <c r="Q24" s="38">
        <v>45917</v>
      </c>
      <c r="R24" s="22">
        <v>1122694</v>
      </c>
      <c r="S24" s="22">
        <v>1956022</v>
      </c>
      <c r="T24" s="63">
        <v>31284</v>
      </c>
      <c r="U24" s="22"/>
      <c r="V24" s="22">
        <f>SUM(R24:U24)</f>
        <v>3110000</v>
      </c>
      <c r="W24" s="22">
        <f>+W23-S24</f>
        <v>66693064</v>
      </c>
      <c r="X24" s="22"/>
      <c r="Y24" s="22"/>
      <c r="Z24" s="21"/>
    </row>
    <row r="25" spans="1:26">
      <c r="A25" s="11">
        <f>IF(AND(A24&lt;$B$2)*(A24&lt;&gt;0),1+A24," ")</f>
        <v>22</v>
      </c>
      <c r="B25" s="56">
        <f>IF(A25=" "," ",+F24)</f>
        <v>66679216.13583748</v>
      </c>
      <c r="C25" s="56">
        <f>IF(A25=" "," ",+B25*I24)</f>
        <v>1095094.9930042378</v>
      </c>
      <c r="D25" s="56">
        <f>1980003+2284</f>
        <v>1982287</v>
      </c>
      <c r="E25" s="56">
        <f>IF(A25=" "," ",+J24)</f>
        <v>3077381.5500517809</v>
      </c>
      <c r="F25" s="85">
        <f>+B25-D25</f>
        <v>64696929.13583748</v>
      </c>
      <c r="G25" s="86">
        <v>8.745E-2</v>
      </c>
      <c r="H25" s="57">
        <f>IF(A25=" "," ",+H24)</f>
        <v>0.1095</v>
      </c>
      <c r="I25" s="100">
        <f>IF(A25=" "," ",((G25+H25)/12))</f>
        <v>1.64125E-2</v>
      </c>
      <c r="J25" s="56">
        <f>PMT(I25,K25,-F25,0)</f>
        <v>3076968.714813666</v>
      </c>
      <c r="K25" s="101">
        <f>IF(A22=" "," ",+$B$2-A25)</f>
        <v>26</v>
      </c>
      <c r="L25">
        <f>IF(A25&lt;&gt;" ",+L24," ")</f>
        <v>20</v>
      </c>
      <c r="M25">
        <f>IF(AND(A25&lt;&gt;" ")*(M24=12),1,1+M24)</f>
        <v>9</v>
      </c>
      <c r="N25">
        <f>IF(AND(A25&lt;&gt;" ")*(M25=1),1+N24,N24)</f>
        <v>2025</v>
      </c>
      <c r="O25" s="20">
        <f>1095095/30</f>
        <v>36503.166666666664</v>
      </c>
      <c r="P25" s="32">
        <f>+O25*10</f>
        <v>365031.66666666663</v>
      </c>
      <c r="Q25" s="38">
        <v>45952</v>
      </c>
      <c r="R25" s="22">
        <v>1095095</v>
      </c>
      <c r="S25" s="22">
        <v>2004152</v>
      </c>
      <c r="T25" s="63">
        <v>36753</v>
      </c>
      <c r="U25" s="22"/>
      <c r="V25" s="22">
        <f>SUM(R25:U25)</f>
        <v>3136000</v>
      </c>
      <c r="W25" s="22">
        <f>+W24-S25</f>
        <v>64688912</v>
      </c>
      <c r="Z25" s="21"/>
    </row>
    <row r="26" spans="1:26">
      <c r="A26" s="102">
        <f>IF(AND(A25&lt;$B$2)*(A25&lt;&gt;0),1+A25," ")</f>
        <v>23</v>
      </c>
      <c r="B26" s="55">
        <f>IF(A26=" "," ",+F25)</f>
        <v>64696929.13583748</v>
      </c>
      <c r="C26" s="55">
        <f>IF(A26=" "," ",+B26*I25)</f>
        <v>1061838.3494419327</v>
      </c>
      <c r="D26" s="55">
        <f>2013186+1945</f>
        <v>2015131</v>
      </c>
      <c r="E26" s="55">
        <f>IF(A26=" "," ",+J25)</f>
        <v>3076968.714813666</v>
      </c>
      <c r="F26" s="55">
        <f>+B26-D26</f>
        <v>62681798.13583748</v>
      </c>
      <c r="G26" s="103">
        <v>8.7569999999999995E-2</v>
      </c>
      <c r="H26" s="104">
        <f>IF(A26=" "," ",+H25)</f>
        <v>0.1095</v>
      </c>
      <c r="I26" s="105">
        <f>IF(A26=" "," ",((G26+H26)/12))</f>
        <v>1.64225E-2</v>
      </c>
      <c r="J26" s="55">
        <f>PMT(I26,K26,-F26,0)</f>
        <v>3077336.6869732081</v>
      </c>
      <c r="K26" s="106">
        <f>IF(A23=" "," ",+$B$2-A26)</f>
        <v>25</v>
      </c>
      <c r="L26" s="5">
        <f>IF(A26&lt;&gt;" ",+L25," ")</f>
        <v>20</v>
      </c>
      <c r="M26" s="5">
        <f>IF(AND(A26&lt;&gt;" ")*(M25=12),1,1+M25)</f>
        <v>10</v>
      </c>
      <c r="N26" s="5">
        <f>IF(AND(A26&lt;&gt;" ")*(M26=1),1+N25,N25)</f>
        <v>2025</v>
      </c>
      <c r="O26" s="20">
        <f>1061838/30</f>
        <v>35394.6</v>
      </c>
      <c r="P26" s="32">
        <f>+O26*10</f>
        <v>353946</v>
      </c>
      <c r="Q26" s="38">
        <v>45981</v>
      </c>
      <c r="R26" s="22">
        <v>1061838</v>
      </c>
      <c r="S26" s="22">
        <v>2015470</v>
      </c>
      <c r="T26" s="63">
        <v>34692</v>
      </c>
      <c r="U26" s="22"/>
      <c r="V26" s="22">
        <f>SUM(R26:U26)</f>
        <v>3112000</v>
      </c>
      <c r="W26" s="22">
        <f>+W25-S26</f>
        <v>62673442</v>
      </c>
      <c r="Z26" s="21"/>
    </row>
    <row r="27" spans="1:26">
      <c r="A27" s="11">
        <f>IF(AND(A26&lt;$B$2)*(A26&lt;&gt;0),1+A26," ")</f>
        <v>24</v>
      </c>
      <c r="B27" s="56">
        <f>IF(A27=" "," ",+F26)</f>
        <v>62681798.13583748</v>
      </c>
      <c r="C27" s="56">
        <f>IF(A27=" "," ",+B27*I26)</f>
        <v>1029391.8298857909</v>
      </c>
      <c r="D27" s="56">
        <v>2047945</v>
      </c>
      <c r="E27" s="56">
        <f>IF(A27=" "," ",+J26)</f>
        <v>3077336.6869732081</v>
      </c>
      <c r="F27" s="56">
        <f>+B27-D27</f>
        <v>60633853.13583748</v>
      </c>
      <c r="G27" s="108">
        <v>8.7620000000000003E-2</v>
      </c>
      <c r="H27" s="57">
        <f>IF(A27=" "," ",+H26)</f>
        <v>0.1095</v>
      </c>
      <c r="I27" s="100">
        <f>IF(A27=" "," ",((G27+H27)/12))</f>
        <v>1.6426666666666669E-2</v>
      </c>
      <c r="J27" s="56">
        <f>PMT(I27,K27,-F27,0)</f>
        <v>3077484.5487803547</v>
      </c>
      <c r="K27" s="101">
        <f>IF(A24=" "," ",+$B$2-A27)</f>
        <v>24</v>
      </c>
      <c r="L27">
        <f>IF(A27&lt;&gt;" ",+L26," ")</f>
        <v>20</v>
      </c>
      <c r="M27">
        <f>IF(AND(A27&lt;&gt;" ")*(M26=12),1,1+M26)</f>
        <v>11</v>
      </c>
      <c r="N27">
        <f>IF(AND(A27&lt;&gt;" ")*(M27=1),1+N26,N26)</f>
        <v>2025</v>
      </c>
      <c r="O27" s="20">
        <f>1029392/30</f>
        <v>34313.066666666666</v>
      </c>
      <c r="P27" s="32">
        <f>+O27*10</f>
        <v>343130.66666666663</v>
      </c>
      <c r="Q27" s="38">
        <v>46030</v>
      </c>
      <c r="R27" s="22">
        <v>1071991</v>
      </c>
      <c r="S27" s="22">
        <v>2049890</v>
      </c>
      <c r="T27" s="63">
        <v>78119</v>
      </c>
      <c r="U27" s="22"/>
      <c r="V27" s="22">
        <f>SUM(R27:U27)</f>
        <v>3200000</v>
      </c>
      <c r="W27" s="22">
        <f>+W26-S27</f>
        <v>60623552</v>
      </c>
      <c r="Z27" s="21"/>
    </row>
    <row r="28" spans="1:26">
      <c r="A28" s="102">
        <f>IF(AND(A27&lt;$B$2)*(A27&lt;&gt;0),1+A27," ")</f>
        <v>25</v>
      </c>
      <c r="B28" s="55">
        <f>IF(A28=" "," ",+F27)</f>
        <v>60633853.13583748</v>
      </c>
      <c r="C28" s="55">
        <f>IF(A28=" "," ",+B28*I27)</f>
        <v>996012.09417802386</v>
      </c>
      <c r="D28" s="55">
        <v>2081473</v>
      </c>
      <c r="E28" s="55">
        <f>IF(A28=" "," ",+J27)</f>
        <v>3077484.5487803547</v>
      </c>
      <c r="F28" s="55">
        <f>+B28-D28</f>
        <v>58552380.13583748</v>
      </c>
      <c r="G28" s="109">
        <v>8.8730000000000003E-2</v>
      </c>
      <c r="H28" s="104">
        <f>IF(A28=" "," ",+H27)</f>
        <v>0.1095</v>
      </c>
      <c r="I28" s="105">
        <f>IF(A28=" "," ",((G28+H28)/12))</f>
        <v>1.6519166666666668E-2</v>
      </c>
      <c r="J28" s="55">
        <f>PMT(I28,K28,-F28,0)</f>
        <v>3080645.9324075961</v>
      </c>
      <c r="K28" s="106">
        <f>IF(A25=" "," ",+$B$2-A28)</f>
        <v>23</v>
      </c>
      <c r="L28" s="5">
        <f>IF(A28&lt;&gt;" ",+L27," ")</f>
        <v>20</v>
      </c>
      <c r="M28" s="5">
        <f>IF(AND(A28&lt;&gt;" ")*(M27=12),1,1+M27)</f>
        <v>12</v>
      </c>
      <c r="N28" s="5">
        <f>IF(AND(A28&lt;&gt;" ")*(M28=1),1+N27,N27)</f>
        <v>2025</v>
      </c>
      <c r="O28" s="20">
        <f>996012/30</f>
        <v>33200.400000000001</v>
      </c>
      <c r="P28" s="32">
        <f>+O28*10</f>
        <v>332004</v>
      </c>
      <c r="Q28" s="38">
        <v>46050</v>
      </c>
      <c r="R28" s="22">
        <v>953413</v>
      </c>
      <c r="S28" s="22">
        <v>2081473</v>
      </c>
      <c r="T28" s="63">
        <v>35114</v>
      </c>
      <c r="U28" s="39"/>
      <c r="V28" s="22">
        <f>SUM(R28:U28)</f>
        <v>3070000</v>
      </c>
      <c r="W28" s="22">
        <f>+W27-S28</f>
        <v>58542079</v>
      </c>
      <c r="Z28" s="21"/>
    </row>
    <row r="29" spans="1:26">
      <c r="A29" s="11">
        <f>IF(AND(A28&lt;$B$2)*(A28&lt;&gt;0),1+A28," ")</f>
        <v>26</v>
      </c>
      <c r="B29" s="56">
        <f>IF(A29=" "," ",+F28)</f>
        <v>58552380.13583748</v>
      </c>
      <c r="C29" s="56">
        <f>IF(A29=" "," ",+B29*I28)</f>
        <v>967236.52619392204</v>
      </c>
      <c r="D29" s="56">
        <f>+S29+14714</f>
        <v>2113409</v>
      </c>
      <c r="E29" s="56">
        <f>IF(A29=" "," ",+J28)</f>
        <v>3080645.9324075961</v>
      </c>
      <c r="F29" s="56">
        <f>+B29-D29</f>
        <v>56438971.13583748</v>
      </c>
      <c r="G29" s="108">
        <v>9.0770000000000003E-2</v>
      </c>
      <c r="H29" s="57">
        <f>IF(A29=" "," ",+H28)</f>
        <v>0.1095</v>
      </c>
      <c r="I29" s="100">
        <f>IF(A29=" "," ",((G29+H29)/12))</f>
        <v>1.6689166666666668E-2</v>
      </c>
      <c r="J29" s="56">
        <f>PMT(I29,K29,-F29,0)</f>
        <v>3086234.5979601871</v>
      </c>
      <c r="K29" s="101">
        <f>IF(A26=" "," ",+$B$2-A29)</f>
        <v>22</v>
      </c>
      <c r="L29">
        <f>IF(A29&lt;&gt;" ",+L28," ")</f>
        <v>20</v>
      </c>
      <c r="M29">
        <f>IF(AND(A29&lt;&gt;" ")*(M28=12),1,1+M28)</f>
        <v>1</v>
      </c>
      <c r="N29">
        <f>IF(AND(A29&lt;&gt;" ")*(M29=1),1+N28,N28)</f>
        <v>2026</v>
      </c>
      <c r="O29" s="20">
        <f>967237/30</f>
        <v>32241.233333333334</v>
      </c>
      <c r="P29" s="32">
        <f>+O29*10</f>
        <v>322412.33333333331</v>
      </c>
      <c r="Q29" s="38">
        <v>46071</v>
      </c>
      <c r="R29" s="22">
        <v>967237</v>
      </c>
      <c r="S29" s="22">
        <v>2098695</v>
      </c>
      <c r="T29" s="63">
        <v>34068</v>
      </c>
      <c r="U29" s="22"/>
      <c r="V29" s="22">
        <f>SUM(R29:U29)</f>
        <v>3100000</v>
      </c>
      <c r="W29" s="22">
        <f>+W28-S29</f>
        <v>56443384</v>
      </c>
      <c r="Z29" s="21"/>
    </row>
    <row r="30" spans="1:26">
      <c r="A30" s="11">
        <f>IF(AND(A29&lt;$B$2)*(A29&lt;&gt;0),1+A29," ")</f>
        <v>27</v>
      </c>
      <c r="B30" s="2">
        <f>IF(A30=" "," ",+F29)</f>
        <v>56438971.13583748</v>
      </c>
      <c r="C30" s="2">
        <f>IF(A30=" "," ",+B30*I29)</f>
        <v>941919.39578118105</v>
      </c>
      <c r="D30" s="2">
        <v>2144316</v>
      </c>
      <c r="E30" s="2">
        <f>IF(A30=" "," ",+J29)</f>
        <v>3086234.5979601871</v>
      </c>
      <c r="F30" s="2">
        <f>+B30-D30</f>
        <v>54294655.13583748</v>
      </c>
      <c r="G30" s="108">
        <v>9.6619999999999998E-2</v>
      </c>
      <c r="H30" s="33">
        <f>IF(A30=" "," ",+H29)</f>
        <v>0.1095</v>
      </c>
      <c r="I30" s="8">
        <f>IF(A30=" "," ",((G30+H30)/12))</f>
        <v>1.7176666666666666E-2</v>
      </c>
      <c r="J30" s="2">
        <f>PMT(I30,K30,-F30,0)</f>
        <v>3101638.2304415274</v>
      </c>
      <c r="K30" s="101">
        <f>IF(A27=" "," ",+$B$2-A30)</f>
        <v>21</v>
      </c>
      <c r="L30">
        <f>IF(A30&lt;&gt;" ",+L29," ")</f>
        <v>20</v>
      </c>
      <c r="M30">
        <f>IF(AND(A30&lt;&gt;" ")*(M29=12),1,1+M29)</f>
        <v>2</v>
      </c>
      <c r="N30">
        <f>IF(AND(A30&lt;&gt;" ")*(M30=1),1+N29,N29)</f>
        <v>2026</v>
      </c>
      <c r="O30" s="20">
        <f>941919/30</f>
        <v>31397.3</v>
      </c>
      <c r="P30" s="32">
        <f>+O30*10</f>
        <v>313973</v>
      </c>
      <c r="Q30" s="38">
        <v>46111</v>
      </c>
      <c r="R30" s="22">
        <v>967129</v>
      </c>
      <c r="S30" s="22">
        <v>2159030</v>
      </c>
      <c r="T30" s="63">
        <v>63841</v>
      </c>
      <c r="U30" s="22"/>
      <c r="V30" s="22">
        <f>SUM(R30:U30)</f>
        <v>3190000</v>
      </c>
      <c r="W30" s="22">
        <f>+W29-S30</f>
        <v>54284354</v>
      </c>
      <c r="Z30" s="21"/>
    </row>
    <row r="31" spans="1:26" ht="15" customHeight="1">
      <c r="A31" s="11">
        <f>IF(AND(A30&lt;$B$2)*(A30&lt;&gt;0),1+A30," ")</f>
        <v>28</v>
      </c>
      <c r="B31" s="2">
        <f>IF(A31=" "," ",+F30)</f>
        <v>54294655.13583748</v>
      </c>
      <c r="C31" s="2">
        <f>IF(A31=" "," ",+B31*I30)</f>
        <v>932601.19304990175</v>
      </c>
      <c r="D31" s="2">
        <v>2169037</v>
      </c>
      <c r="E31" s="2">
        <f>IF(A31=" "," ",+J30)</f>
        <v>3101638.2304415274</v>
      </c>
      <c r="F31" s="2">
        <f>+B31-D31</f>
        <v>52125618.13583748</v>
      </c>
      <c r="G31" s="108">
        <v>0.10299999999999999</v>
      </c>
      <c r="H31" s="33">
        <f>IF(A31=" "," ",+H30)</f>
        <v>0.1095</v>
      </c>
      <c r="I31" s="8">
        <f>IF(A31=" "," ",((G31+H31)/12))</f>
        <v>1.7708333333333333E-2</v>
      </c>
      <c r="J31" s="2">
        <f>PMT(I31,K31,-F31,0)</f>
        <v>3117768.0648019221</v>
      </c>
      <c r="K31" s="101">
        <f>IF(A28=" "," ",+$B$2-A31)</f>
        <v>20</v>
      </c>
      <c r="L31">
        <f>IF(A31&lt;&gt;" ",+L30," ")</f>
        <v>20</v>
      </c>
      <c r="M31">
        <f>IF(AND(A31&lt;&gt;" ")*(M30=12),1,1+M30)</f>
        <v>3</v>
      </c>
      <c r="N31">
        <f>IF(AND(A31&lt;&gt;" ")*(M31=1),1+N30,N30)</f>
        <v>2026</v>
      </c>
      <c r="O31" s="20">
        <f>932601/30</f>
        <v>31086.7</v>
      </c>
      <c r="P31" s="32">
        <f>+O31*10</f>
        <v>310867</v>
      </c>
      <c r="Q31" s="38">
        <v>46157</v>
      </c>
      <c r="R31" s="22">
        <v>1830449</v>
      </c>
      <c r="S31" s="22">
        <v>4338215</v>
      </c>
      <c r="T31" s="63">
        <v>109121</v>
      </c>
      <c r="U31" s="39"/>
      <c r="V31" s="22">
        <f>SUM(R31:U31)</f>
        <v>6277785</v>
      </c>
      <c r="W31" s="22">
        <f>+W30-S31</f>
        <v>49946139</v>
      </c>
    </row>
    <row r="32" spans="1:26" ht="15" customHeight="1">
      <c r="A32" s="11">
        <f>IF(AND(A31&lt;$B$2)*(A31&lt;&gt;0),1+A31," ")</f>
        <v>29</v>
      </c>
      <c r="B32" s="2">
        <f>IF(A32=" "," ",+F31)</f>
        <v>52125618.13583748</v>
      </c>
      <c r="C32" s="2">
        <f>IF(A32=" "," ",+B32*I31)</f>
        <v>923057.82115545531</v>
      </c>
      <c r="D32" s="2">
        <f>2169178+25532</f>
        <v>2194710</v>
      </c>
      <c r="E32" s="2">
        <f>IF(A32=" "," ",+J31)</f>
        <v>3117768.0648019221</v>
      </c>
      <c r="F32" s="2">
        <f>+B32-D32</f>
        <v>49930908.13583748</v>
      </c>
      <c r="G32" s="108">
        <v>0.10745</v>
      </c>
      <c r="H32" s="33">
        <f>IF(A32=" "," ",+H31)</f>
        <v>0.1095</v>
      </c>
      <c r="I32" s="8">
        <f>IF(A32=" "," ",((G32+H32)/12))</f>
        <v>1.8079166666666667E-2</v>
      </c>
      <c r="J32" s="2">
        <f>PMT(I32,K32,-F32,0)</f>
        <v>3128541.9283711342</v>
      </c>
      <c r="K32" s="101">
        <f>IF(A29=" "," ",+$B$2-A32)</f>
        <v>19</v>
      </c>
      <c r="L32">
        <f>IF(A32&lt;&gt;" ",+L31," ")</f>
        <v>20</v>
      </c>
      <c r="M32">
        <f>IF(AND(A32&lt;&gt;" ")*(M31=12),1,1+M31)</f>
        <v>4</v>
      </c>
      <c r="N32">
        <f>IF(AND(A32&lt;&gt;" ")*(M32=1),1+N31,N31)</f>
        <v>2026</v>
      </c>
      <c r="O32" s="20">
        <f>923058/30</f>
        <v>30768.6</v>
      </c>
      <c r="P32" s="32">
        <f>+O32*10</f>
        <v>307686</v>
      </c>
      <c r="Q32" s="38">
        <v>46196</v>
      </c>
      <c r="R32" s="22">
        <v>902709</v>
      </c>
      <c r="S32" s="22">
        <v>2247971</v>
      </c>
      <c r="T32" s="63">
        <v>49320</v>
      </c>
      <c r="U32" s="39"/>
      <c r="V32" s="22">
        <f>SUM(R32:U32)</f>
        <v>3200000</v>
      </c>
      <c r="W32" s="22">
        <f>+W31-S32</f>
        <v>47698168</v>
      </c>
      <c r="Z32" s="21"/>
    </row>
    <row r="33" spans="1:31" ht="15" customHeight="1">
      <c r="A33" s="11">
        <f>IF(AND(A32&lt;$B$2)*(A32&lt;&gt;0),1+A32," ")</f>
        <v>30</v>
      </c>
      <c r="B33" s="2">
        <f>IF(A33=" "," ",+F32)</f>
        <v>49930908.13583748</v>
      </c>
      <c r="C33" s="2">
        <f>IF(A33=" "," ",+B33*I32)</f>
        <v>902709.21000582841</v>
      </c>
      <c r="D33" s="2">
        <f>2222439+3394</f>
        <v>2225833</v>
      </c>
      <c r="E33" s="2">
        <f>IF(A33=" "," ",+J32)</f>
        <v>3128541.9283711342</v>
      </c>
      <c r="F33" s="2">
        <f>+B33-D33</f>
        <v>47705075.13583748</v>
      </c>
      <c r="G33" s="108">
        <v>0.10580000000000001</v>
      </c>
      <c r="H33" s="33">
        <f>IF(A33=" "," ",+H32)</f>
        <v>0.1095</v>
      </c>
      <c r="I33" s="8">
        <f>IF(A33=" "," ",((G33+H33)/12))</f>
        <v>1.7941666666666665E-2</v>
      </c>
      <c r="J33" s="2">
        <f>PMT(I33,K33,-F33,0)</f>
        <v>3124732.5515996655</v>
      </c>
      <c r="K33" s="101">
        <f>IF(A30=" "," ",+$B$2-A33)</f>
        <v>18</v>
      </c>
      <c r="L33">
        <f>IF(A33&lt;&gt;" ",+L32," ")</f>
        <v>20</v>
      </c>
      <c r="M33">
        <f>IF(AND(A33&lt;&gt;" ")*(M32=12),1,1+M32)</f>
        <v>5</v>
      </c>
      <c r="N33">
        <f>IF(AND(A33&lt;&gt;" ")*(M33=1),1+N32,N32)</f>
        <v>2026</v>
      </c>
      <c r="O33" s="20">
        <f>902709/30</f>
        <v>30090.3</v>
      </c>
      <c r="P33" s="32">
        <f>+O33*10</f>
        <v>300903</v>
      </c>
      <c r="Q33" s="38"/>
      <c r="R33" s="22"/>
      <c r="S33" s="22"/>
      <c r="T33" s="63"/>
      <c r="U33" s="39"/>
      <c r="V33" s="22"/>
      <c r="W33" s="22"/>
    </row>
    <row r="34" spans="1:31" ht="15" customHeight="1">
      <c r="A34" s="11">
        <f>IF(AND(A33&lt;$B$2)*(A33&lt;&gt;0),1+A33," ")</f>
        <v>31</v>
      </c>
      <c r="B34" s="2">
        <f>IF(A34=" "," ",+F33)</f>
        <v>47705075.13583748</v>
      </c>
      <c r="C34" s="2">
        <f>IF(A34=" "," ",+B34*I33)</f>
        <v>855908.55639548402</v>
      </c>
      <c r="D34" s="2">
        <v>2230961</v>
      </c>
      <c r="E34" s="2">
        <f>IF(A34=" "," ",+J33)</f>
        <v>3124732.5515996655</v>
      </c>
      <c r="F34" s="2">
        <f>+B34-D34</f>
        <v>45474114.13583748</v>
      </c>
      <c r="G34" s="108">
        <v>0.10935</v>
      </c>
      <c r="H34" s="33">
        <f>IF(A34=" "," ",+H33)</f>
        <v>0.1095</v>
      </c>
      <c r="I34" s="8">
        <f>IF(A34=" "," ",((G34+H34)/12))</f>
        <v>1.82375E-2</v>
      </c>
      <c r="J34" s="2">
        <f>PMT(I34,K34,-F34,0)</f>
        <v>3135134.3560400126</v>
      </c>
      <c r="K34" s="101">
        <f>IF(A31=" "," ",+$B$2-A34)</f>
        <v>17</v>
      </c>
      <c r="L34">
        <f>IF(A34&lt;&gt;" ",+L33," ")</f>
        <v>20</v>
      </c>
      <c r="M34">
        <f>IF(AND(A34&lt;&gt;" ")*(M33=12),1,1+M33)</f>
        <v>6</v>
      </c>
      <c r="N34">
        <f>IF(AND(A34&lt;&gt;" ")*(M34=1),1+N33,N33)</f>
        <v>2026</v>
      </c>
      <c r="O34" s="20">
        <f>855909/30</f>
        <v>28530.3</v>
      </c>
      <c r="P34" s="32">
        <f>+O34*10</f>
        <v>285303</v>
      </c>
      <c r="Q34" s="39"/>
      <c r="R34" s="39"/>
      <c r="S34" s="39"/>
      <c r="T34" s="39"/>
      <c r="U34" s="39"/>
      <c r="V34" s="22"/>
      <c r="W34" s="39"/>
    </row>
    <row r="35" spans="1:31" ht="15" customHeight="1">
      <c r="A35" s="94">
        <f>IF(AND(A34&lt;$B$2)*(A34&lt;&gt;0),1+A34," ")</f>
        <v>32</v>
      </c>
      <c r="B35" s="95">
        <f>IF(A35=" "," ",+F34)</f>
        <v>45474114.13583748</v>
      </c>
      <c r="C35" s="95">
        <f>IF(A35=" "," ",+B35*I34)</f>
        <v>829334.15655233606</v>
      </c>
      <c r="D35" s="95">
        <f>IF(A35=" "," ",+E35-C35)</f>
        <v>2305800.1994876764</v>
      </c>
      <c r="E35" s="95">
        <f>IF(A35=" "," ",+J34)</f>
        <v>3135134.3560400126</v>
      </c>
      <c r="F35" s="95">
        <f>+B35-D35</f>
        <v>43168313.936349802</v>
      </c>
      <c r="G35" s="121">
        <v>0</v>
      </c>
      <c r="H35" s="96">
        <f>IF(A35=" "," ",+H34)</f>
        <v>0.1095</v>
      </c>
      <c r="I35" s="97">
        <f>IF(A35=" "," ",((G35+H35)/12))</f>
        <v>9.1249999999999994E-3</v>
      </c>
      <c r="J35" s="95">
        <f>PMT(I35,K35,-F35,0)</f>
        <v>2912035.3011821974</v>
      </c>
      <c r="K35" s="98">
        <f>IF(A32=" "," ",+$B$2-A35)</f>
        <v>16</v>
      </c>
      <c r="L35" s="99">
        <f>IF(A35&lt;&gt;" ",+L34," ")</f>
        <v>20</v>
      </c>
      <c r="M35" s="99">
        <f>IF(AND(A35&lt;&gt;" ")*(M34=12),1,1+M34)</f>
        <v>7</v>
      </c>
      <c r="N35" s="99">
        <f>IF(AND(A35&lt;&gt;" ")*(M35=1),1+N34,N34)</f>
        <v>2026</v>
      </c>
      <c r="O35" s="20">
        <f>828644/30</f>
        <v>27621.466666666667</v>
      </c>
      <c r="P35" s="32">
        <f>+O35*10</f>
        <v>276214.66666666669</v>
      </c>
      <c r="Q35" s="39"/>
      <c r="R35" s="39"/>
      <c r="S35" s="39"/>
      <c r="T35" s="39"/>
      <c r="U35" s="39"/>
      <c r="V35" s="22"/>
      <c r="W35" s="39"/>
    </row>
    <row r="36" spans="1:31" ht="15" customHeight="1">
      <c r="A36" s="94">
        <f>IF(AND(A35&lt;$B$2)*(A35&lt;&gt;0),1+A35," ")</f>
        <v>33</v>
      </c>
      <c r="B36" s="95">
        <f>IF(A36=" "," ",+F35)</f>
        <v>43168313.936349802</v>
      </c>
      <c r="C36" s="95">
        <f>IF(A36=" "," ",+B36*I35)</f>
        <v>393910.86466919194</v>
      </c>
      <c r="D36" s="95">
        <f>IF(A36=" "," ",+E36-C36)</f>
        <v>2518124.4365130053</v>
      </c>
      <c r="E36" s="95">
        <f>IF(A36=" "," ",+J35)</f>
        <v>2912035.3011821974</v>
      </c>
      <c r="F36" s="95">
        <f>+B36-D36</f>
        <v>40650189.499836795</v>
      </c>
      <c r="G36" s="107">
        <v>0</v>
      </c>
      <c r="H36" s="96">
        <f>IF(A36=" "," ",+H35)</f>
        <v>0.1095</v>
      </c>
      <c r="I36" s="97">
        <f>IF(A36=" "," ",((G36+H36)/12))</f>
        <v>9.1249999999999994E-3</v>
      </c>
      <c r="J36" s="95">
        <f>PMT(I36,K36,-F36,0)</f>
        <v>2912035.3011821969</v>
      </c>
      <c r="K36" s="98">
        <f>IF(A33=" "," ",+$B$2-A36)</f>
        <v>15</v>
      </c>
      <c r="L36" s="99">
        <f>IF(A36&lt;&gt;" ",+L35," ")</f>
        <v>20</v>
      </c>
      <c r="M36" s="99">
        <f>IF(AND(A36&lt;&gt;" ")*(M35=12),1,1+M35)</f>
        <v>8</v>
      </c>
      <c r="N36" s="99">
        <f>IF(AND(A36&lt;&gt;" ")*(M36=1),1+N35,N35)</f>
        <v>2026</v>
      </c>
      <c r="O36" s="20">
        <f>805138/30</f>
        <v>26837.933333333334</v>
      </c>
      <c r="P36" s="32">
        <f>+O36*10</f>
        <v>268379.33333333337</v>
      </c>
      <c r="Q36" s="39"/>
      <c r="R36" s="39"/>
      <c r="S36" s="39"/>
      <c r="T36" s="39"/>
      <c r="U36" s="39"/>
      <c r="V36" s="22"/>
      <c r="W36" s="39"/>
    </row>
    <row r="37" spans="1:31">
      <c r="A37" s="11">
        <f>IF(AND(A36&lt;$B$2)*(A36&lt;&gt;0),1+A36," ")</f>
        <v>34</v>
      </c>
      <c r="B37" s="2">
        <f>IF(A37=" "," ",+F36)</f>
        <v>40650189.499836795</v>
      </c>
      <c r="C37" s="2">
        <f>IF(A37=" "," ",+B37*I36)</f>
        <v>370932.97918601072</v>
      </c>
      <c r="D37" s="2">
        <f>IF(A37=" "," ",+E37-C37)</f>
        <v>2541102.3219961864</v>
      </c>
      <c r="E37" s="54">
        <f>IF(A37=" "," ",+J36)</f>
        <v>2912035.3011821969</v>
      </c>
      <c r="F37" s="55">
        <f>+B37-D37</f>
        <v>38109087.177840605</v>
      </c>
      <c r="G37" s="12">
        <v>0.12332</v>
      </c>
      <c r="H37" s="12">
        <f>IF(A37=" "," ",+H36)</f>
        <v>0.1095</v>
      </c>
      <c r="I37" s="8">
        <f>IF(A37=" "," ",((G37+H37)/12))</f>
        <v>1.9401666666666668E-2</v>
      </c>
      <c r="J37" s="2">
        <f>PMT(I37,K37,-F37,0)</f>
        <v>3134645.2344357152</v>
      </c>
      <c r="K37" s="7">
        <f>IF(A34=" "," ",+$B$2-A37)</f>
        <v>14</v>
      </c>
      <c r="L37">
        <f>IF(A37&lt;&gt;" ",+L36," ")</f>
        <v>20</v>
      </c>
      <c r="M37">
        <f>IF(AND(A37&lt;&gt;" ")*(M36=12),1,1+M36)</f>
        <v>9</v>
      </c>
      <c r="N37">
        <f>IF(AND(A37&lt;&gt;" ")*(M37=1),1+N36,N36)</f>
        <v>2026</v>
      </c>
      <c r="P37" s="93"/>
      <c r="Q37" s="39"/>
      <c r="R37" s="39"/>
      <c r="S37" s="39"/>
      <c r="T37" s="39"/>
      <c r="U37" s="39"/>
      <c r="V37" s="39"/>
      <c r="W37" s="39"/>
    </row>
    <row r="38" spans="1:31">
      <c r="A38" s="11">
        <f>IF(AND(A37&lt;$B$2)*(A37&lt;&gt;0),1+A37," ")</f>
        <v>35</v>
      </c>
      <c r="B38" s="2">
        <f>IF(A38=" "," ",+F37)</f>
        <v>38109087.177840605</v>
      </c>
      <c r="C38" s="2">
        <f>IF(A38=" "," ",+B38*I37)</f>
        <v>739379.80639540416</v>
      </c>
      <c r="D38" s="2">
        <f>IF(A38=" "," ",+E38-C38)</f>
        <v>2395265.4280403112</v>
      </c>
      <c r="E38" s="54">
        <f>IF(A38=" "," ",+J37)</f>
        <v>3134645.2344357152</v>
      </c>
      <c r="F38" s="55">
        <f>+B38-D38</f>
        <v>35713821.749800295</v>
      </c>
      <c r="G38" s="12">
        <v>0.12332</v>
      </c>
      <c r="H38" s="12">
        <f>IF(A38=" "," ",+H37)</f>
        <v>0.1095</v>
      </c>
      <c r="I38" s="8">
        <f>IF(A38=" "," ",((G38+H38)/12))</f>
        <v>1.9401666666666668E-2</v>
      </c>
      <c r="J38" s="2">
        <f>PMT(I38,K38,-F38,0)</f>
        <v>3134645.2344357166</v>
      </c>
      <c r="K38" s="7">
        <f>IF(A35=" "," ",+$B$2-A38)</f>
        <v>13</v>
      </c>
      <c r="L38">
        <f>IF(A38&lt;&gt;" ",+L37," ")</f>
        <v>20</v>
      </c>
      <c r="M38">
        <f>IF(AND(A38&lt;&gt;" ")*(M37=12),1,1+M37)</f>
        <v>10</v>
      </c>
      <c r="N38">
        <f>IF(AND(A38&lt;&gt;" ")*(M38=1),1+N37,N37)</f>
        <v>2026</v>
      </c>
      <c r="P38" s="93"/>
      <c r="Q38" s="39"/>
      <c r="R38" s="39"/>
      <c r="S38" s="39"/>
      <c r="T38" s="39"/>
      <c r="U38" s="39"/>
      <c r="V38" s="39"/>
      <c r="W38" s="39"/>
    </row>
    <row r="39" spans="1:31">
      <c r="A39" s="11">
        <f>IF(AND(A38&lt;$B$2)*(A38&lt;&gt;0),1+A38," ")</f>
        <v>36</v>
      </c>
      <c r="B39" s="2">
        <f>IF(A39=" "," ",+F38)</f>
        <v>35713821.749800295</v>
      </c>
      <c r="C39" s="2">
        <f>IF(A39=" "," ",+B39*I38)</f>
        <v>692907.66498237546</v>
      </c>
      <c r="D39" s="2">
        <f>IF(A39=" "," ",+E39-C39)</f>
        <v>2441737.569453341</v>
      </c>
      <c r="E39" s="54">
        <f>IF(A39=" "," ",+J38)</f>
        <v>3134645.2344357166</v>
      </c>
      <c r="F39" s="55">
        <f>+B39-D39</f>
        <v>33272084.180346955</v>
      </c>
      <c r="G39" s="12">
        <v>0.12332</v>
      </c>
      <c r="H39" s="12">
        <f>IF(A39=" "," ",+H38)</f>
        <v>0.1095</v>
      </c>
      <c r="I39" s="8">
        <f>IF(A39=" "," ",((G39+H39)/12))</f>
        <v>1.9401666666666668E-2</v>
      </c>
      <c r="J39" s="2">
        <f>PMT(I39,K39,-F39,0)</f>
        <v>3134645.2344357166</v>
      </c>
      <c r="K39" s="7">
        <f>IF(A36=" "," ",+$B$2-A39)</f>
        <v>12</v>
      </c>
      <c r="L39">
        <f>IF(A39&lt;&gt;" ",+L38," ")</f>
        <v>20</v>
      </c>
      <c r="M39">
        <f>IF(AND(A39&lt;&gt;" ")*(M38=12),1,1+M38)</f>
        <v>11</v>
      </c>
      <c r="N39">
        <f>IF(AND(A39&lt;&gt;" ")*(M39=1),1+N38,N38)</f>
        <v>2026</v>
      </c>
      <c r="P39" s="93"/>
      <c r="Q39" s="39"/>
      <c r="R39" s="39"/>
      <c r="S39" s="39"/>
      <c r="T39" s="39"/>
      <c r="U39" s="39"/>
      <c r="V39" s="39"/>
      <c r="W39" s="39"/>
    </row>
    <row r="40" spans="1:31">
      <c r="A40" s="11">
        <f>IF(AND(A39&lt;$B$2)*(A39&lt;&gt;0),1+A39," ")</f>
        <v>37</v>
      </c>
      <c r="B40" s="2">
        <f>IF(A40=" "," ",+F39)</f>
        <v>33272084.180346955</v>
      </c>
      <c r="C40" s="2">
        <f>IF(A40=" "," ",+B40*I39)</f>
        <v>645533.88657236483</v>
      </c>
      <c r="D40" s="2">
        <f>IF(A40=" "," ",+E40-C40)</f>
        <v>2489111.3478633519</v>
      </c>
      <c r="E40" s="54">
        <f>IF(A40=" "," ",+J39)</f>
        <v>3134645.2344357166</v>
      </c>
      <c r="F40" s="55">
        <f>+B40-D40</f>
        <v>30782972.832483605</v>
      </c>
      <c r="G40" s="12">
        <v>0.12332</v>
      </c>
      <c r="H40" s="12">
        <f>IF(A40=" "," ",+H39)</f>
        <v>0.1095</v>
      </c>
      <c r="I40" s="8">
        <f>IF(A40=" "," ",((G40+H40)/12))</f>
        <v>1.9401666666666668E-2</v>
      </c>
      <c r="J40" s="2">
        <f>PMT(I40,K40,-F40,0)</f>
        <v>3134645.2344357166</v>
      </c>
      <c r="K40" s="7">
        <f>IF(A37=" "," ",+$B$2-A40)</f>
        <v>11</v>
      </c>
      <c r="L40">
        <f>IF(A40&lt;&gt;" ",+L39," ")</f>
        <v>20</v>
      </c>
      <c r="M40">
        <f>IF(AND(A40&lt;&gt;" ")*(M39=12),1,1+M39)</f>
        <v>12</v>
      </c>
      <c r="N40">
        <f>IF(AND(A40&lt;&gt;" ")*(M40=1),1+N39,N39)</f>
        <v>2026</v>
      </c>
    </row>
    <row r="41" spans="1:31">
      <c r="A41" s="11">
        <f>IF(AND(A40&lt;$B$2)*(A40&lt;&gt;0),1+A40," ")</f>
        <v>38</v>
      </c>
      <c r="B41" s="2">
        <f>IF(A41=" "," ",+F40)</f>
        <v>30782972.832483605</v>
      </c>
      <c r="C41" s="2">
        <f>IF(A41=" "," ",+B41*I40)</f>
        <v>597240.97790490277</v>
      </c>
      <c r="D41" s="2">
        <f>IF(A41=" "," ",+E41-C41)</f>
        <v>2537404.2565308139</v>
      </c>
      <c r="E41" s="54">
        <f>IF(A41=" "," ",+J40)</f>
        <v>3134645.2344357166</v>
      </c>
      <c r="F41" s="55">
        <f>+B41-D41</f>
        <v>28245568.575952791</v>
      </c>
      <c r="G41" s="12">
        <v>0.12332</v>
      </c>
      <c r="H41" s="12">
        <f>IF(A41=" "," ",+H40)</f>
        <v>0.1095</v>
      </c>
      <c r="I41" s="8">
        <f>IF(A41=" "," ",((G41+H41)/12))</f>
        <v>1.9401666666666668E-2</v>
      </c>
      <c r="J41" s="2">
        <f>PMT(I41,K41,-F41,0)</f>
        <v>3134645.2344357171</v>
      </c>
      <c r="K41" s="7">
        <f>IF(A38=" "," ",+$B$2-A41)</f>
        <v>10</v>
      </c>
      <c r="L41">
        <f>IF(A41&lt;&gt;" ",+L40," ")</f>
        <v>20</v>
      </c>
      <c r="M41">
        <f>IF(AND(A41&lt;&gt;" ")*(M40=12),1,1+M40)</f>
        <v>1</v>
      </c>
      <c r="N41">
        <f>IF(AND(A41&lt;&gt;" ")*(M41=1),1+N40,N40)</f>
        <v>2027</v>
      </c>
    </row>
    <row r="42" spans="1:31">
      <c r="A42" s="11">
        <f>IF(AND(A41&lt;$B$2)*(A41&lt;&gt;0),1+A41," ")</f>
        <v>39</v>
      </c>
      <c r="B42" s="2">
        <f>IF(A42=" "," ",+F41)</f>
        <v>28245568.575952791</v>
      </c>
      <c r="C42" s="2">
        <f>IF(A42=" "," ",+B42*I41)</f>
        <v>548011.10632111074</v>
      </c>
      <c r="D42" s="2">
        <f>IF(A42=" "," ",+E42-C42)</f>
        <v>2586634.1281146063</v>
      </c>
      <c r="E42" s="54">
        <f>IF(A42=" "," ",+J41)</f>
        <v>3134645.2344357171</v>
      </c>
      <c r="F42" s="55">
        <f>+B42-D42</f>
        <v>25658934.447838183</v>
      </c>
      <c r="G42" s="12">
        <v>0.12332</v>
      </c>
      <c r="H42" s="12">
        <f>IF(A42=" "," ",+H41)</f>
        <v>0.1095</v>
      </c>
      <c r="I42" s="8">
        <f>IF(A42=" "," ",((G42+H42)/12))</f>
        <v>1.9401666666666668E-2</v>
      </c>
      <c r="J42" s="2">
        <f>PMT(I42,K42,-F42,0)</f>
        <v>3134645.2344357166</v>
      </c>
      <c r="K42" s="7">
        <f>IF(A39=" "," ",+$B$2-A42)</f>
        <v>9</v>
      </c>
      <c r="L42">
        <f>IF(A42&lt;&gt;" ",+L41," ")</f>
        <v>20</v>
      </c>
      <c r="M42">
        <f>IF(AND(A42&lt;&gt;" ")*(M41=12),1,1+M41)</f>
        <v>2</v>
      </c>
      <c r="N42">
        <f>IF(AND(A42&lt;&gt;" ")*(M42=1),1+N41,N41)</f>
        <v>2027</v>
      </c>
    </row>
    <row r="43" spans="1:31">
      <c r="A43" s="11">
        <f>IF(AND(A42&lt;$B$2)*(A42&lt;&gt;0),1+A42," ")</f>
        <v>40</v>
      </c>
      <c r="B43" s="2">
        <f>IF(A43=" "," ",+F42)</f>
        <v>25658934.447838183</v>
      </c>
      <c r="C43" s="2">
        <f>IF(A43=" "," ",+B43*I42)</f>
        <v>497826.09317880718</v>
      </c>
      <c r="D43" s="2">
        <f>IF(A43=" "," ",+E43-C43)</f>
        <v>2636819.1412569094</v>
      </c>
      <c r="E43" s="54">
        <f>IF(A43=" "," ",+J42)</f>
        <v>3134645.2344357166</v>
      </c>
      <c r="F43" s="55">
        <f>+B43-D43</f>
        <v>23022115.306581274</v>
      </c>
      <c r="G43" s="12">
        <v>0.12332</v>
      </c>
      <c r="H43" s="12">
        <f>IF(A43=" "," ",+H42)</f>
        <v>0.1095</v>
      </c>
      <c r="I43" s="8">
        <f>IF(A43=" "," ",((G43+H43)/12))</f>
        <v>1.9401666666666668E-2</v>
      </c>
      <c r="J43" s="2">
        <f>PMT(I43,K43,-F43,0)</f>
        <v>3134645.2344357171</v>
      </c>
      <c r="K43" s="7">
        <f>IF(A40=" "," ",+$B$2-A43)</f>
        <v>8</v>
      </c>
      <c r="L43">
        <f>IF(A43&lt;&gt;" ",+L42," ")</f>
        <v>20</v>
      </c>
      <c r="M43">
        <f>IF(AND(A43&lt;&gt;" ")*(M42=12),1,1+M42)</f>
        <v>3</v>
      </c>
      <c r="N43">
        <f>IF(AND(A43&lt;&gt;" ")*(M43=1),1+N42,N42)</f>
        <v>2027</v>
      </c>
    </row>
    <row r="44" spans="1:31">
      <c r="A44" s="11">
        <f>IF(AND(A43&lt;$B$2)*(A43&lt;&gt;0),1+A43," ")</f>
        <v>41</v>
      </c>
      <c r="B44" s="2">
        <f>IF(A44=" "," ",+F43)</f>
        <v>23022115.306581274</v>
      </c>
      <c r="C44" s="2">
        <f>IF(A44=" "," ",+B44*I43)</f>
        <v>446667.40713985439</v>
      </c>
      <c r="D44" s="2">
        <f>IF(A44=" "," ",+E44-C44)</f>
        <v>2687977.8272958626</v>
      </c>
      <c r="E44" s="54">
        <f>IF(A44=" "," ",+J43)</f>
        <v>3134645.2344357171</v>
      </c>
      <c r="F44" s="55">
        <f>+B44-D44</f>
        <v>20334137.479285412</v>
      </c>
      <c r="G44" s="12">
        <v>0.12332</v>
      </c>
      <c r="H44" s="12">
        <f>IF(A44=" "," ",+H43)</f>
        <v>0.1095</v>
      </c>
      <c r="I44" s="8">
        <f>IF(A44=" "," ",((G44+H44)/12))</f>
        <v>1.9401666666666668E-2</v>
      </c>
      <c r="J44" s="2">
        <f>PMT(I44,K44,-F44,0)</f>
        <v>3134645.2344357166</v>
      </c>
      <c r="K44" s="7">
        <f>IF(A41=" "," ",+$B$2-A44)</f>
        <v>7</v>
      </c>
      <c r="L44">
        <f>IF(A44&lt;&gt;" ",+L43," ")</f>
        <v>20</v>
      </c>
      <c r="M44">
        <f>IF(AND(A44&lt;&gt;" ")*(M43=12),1,1+M43)</f>
        <v>4</v>
      </c>
      <c r="N44">
        <f>IF(AND(A44&lt;&gt;" ")*(M44=1),1+N43,N43)</f>
        <v>2027</v>
      </c>
    </row>
    <row r="45" spans="1:31">
      <c r="A45" s="11">
        <f>IF(AND(A44&lt;$B$2)*(A44&lt;&gt;0),1+A44," ")</f>
        <v>42</v>
      </c>
      <c r="B45" s="2">
        <f>IF(A45=" "," ",+F44)</f>
        <v>20334137.479285412</v>
      </c>
      <c r="C45" s="2">
        <f>IF(A45=" "," ",+B45*I44)</f>
        <v>394516.15732726915</v>
      </c>
      <c r="D45" s="2">
        <f>IF(A45=" "," ",+E45-C45)</f>
        <v>2740129.0771084474</v>
      </c>
      <c r="E45" s="54">
        <f>IF(A45=" "," ",+J44)</f>
        <v>3134645.2344357166</v>
      </c>
      <c r="F45" s="55">
        <f>+B45-D45</f>
        <v>17594008.402176965</v>
      </c>
      <c r="G45" s="12">
        <v>0.12332</v>
      </c>
      <c r="H45" s="12">
        <f>IF(A45=" "," ",+H44)</f>
        <v>0.1095</v>
      </c>
      <c r="I45" s="8">
        <f>IF(A45=" "," ",((G45+H45)/12))</f>
        <v>1.9401666666666668E-2</v>
      </c>
      <c r="J45" s="2">
        <f>PMT(I45,K45,-F45,0)</f>
        <v>3134645.2344357171</v>
      </c>
      <c r="K45" s="7">
        <f>IF(A42=" "," ",+$B$2-A45)</f>
        <v>6</v>
      </c>
      <c r="L45">
        <f>IF(A45&lt;&gt;" ",+L44," ")</f>
        <v>20</v>
      </c>
      <c r="M45">
        <f>IF(AND(A45&lt;&gt;" ")*(M44=12),1,1+M44)</f>
        <v>5</v>
      </c>
      <c r="N45">
        <f>IF(AND(A45&lt;&gt;" ")*(M45=1),1+N44,N44)</f>
        <v>2027</v>
      </c>
    </row>
    <row r="46" spans="1:31">
      <c r="A46" s="11">
        <f>IF(AND(A45&lt;$B$2)*(A45&lt;&gt;0),1+A45," ")</f>
        <v>43</v>
      </c>
      <c r="B46" s="2">
        <f>IF(A46=" "," ",+F45)</f>
        <v>17594008.402176965</v>
      </c>
      <c r="C46" s="2">
        <f>IF(A46=" "," ",+B46*I45)</f>
        <v>341353.08634957008</v>
      </c>
      <c r="D46" s="2">
        <f>IF(A46=" "," ",+E46-C46)</f>
        <v>2793292.1480861469</v>
      </c>
      <c r="E46" s="54">
        <f>IF(A46=" "," ",+J45)</f>
        <v>3134645.2344357171</v>
      </c>
      <c r="F46" s="55">
        <f>+B46-D46</f>
        <v>14800716.254090818</v>
      </c>
      <c r="G46" s="12">
        <v>0.12332</v>
      </c>
      <c r="H46" s="12">
        <f>IF(A46=" "," ",+H45)</f>
        <v>0.1095</v>
      </c>
      <c r="I46" s="8">
        <f>IF(A46=" "," ",((G46+H46)/12))</f>
        <v>1.9401666666666668E-2</v>
      </c>
      <c r="J46" s="2">
        <f>PMT(I46,K46,-F46,0)</f>
        <v>3134645.2344357171</v>
      </c>
      <c r="K46" s="7">
        <f>IF(A43=" "," ",+$B$2-A46)</f>
        <v>5</v>
      </c>
      <c r="L46">
        <f>IF(A46&lt;&gt;" ",+L45," ")</f>
        <v>20</v>
      </c>
      <c r="M46">
        <f>IF(AND(A46&lt;&gt;" ")*(M45=12),1,1+M45)</f>
        <v>6</v>
      </c>
      <c r="N46">
        <f>IF(AND(A46&lt;&gt;" ")*(M46=1),1+N45,N45)</f>
        <v>2027</v>
      </c>
      <c r="AE46">
        <f>+AE47/20</f>
        <v>47616.9</v>
      </c>
    </row>
    <row r="47" spans="1:31">
      <c r="A47" s="11">
        <f>IF(AND(A46&lt;$B$2)*(A46&lt;&gt;0),1+A46," ")</f>
        <v>44</v>
      </c>
      <c r="B47" s="2">
        <f>IF(A47=" "," ",+F46)</f>
        <v>14800716.254090818</v>
      </c>
      <c r="C47" s="2">
        <f>IF(A47=" "," ",+B47*I46)</f>
        <v>287158.56318978535</v>
      </c>
      <c r="D47" s="2">
        <f>IF(A47=" "," ",+E47-C47)</f>
        <v>2847486.6712459316</v>
      </c>
      <c r="E47" s="54">
        <f>IF(A47=" "," ",+J46)</f>
        <v>3134645.2344357171</v>
      </c>
      <c r="F47" s="55">
        <f>+B47-D47</f>
        <v>11953229.582844887</v>
      </c>
      <c r="G47" s="12">
        <v>0.12332</v>
      </c>
      <c r="H47" s="12">
        <f>IF(A47=" "," ",+H46)</f>
        <v>0.1095</v>
      </c>
      <c r="I47" s="8">
        <f>IF(A47=" "," ",((G47+H47)/12))</f>
        <v>1.9401666666666668E-2</v>
      </c>
      <c r="J47" s="2">
        <f>PMT(I47,K47,-F47,0)</f>
        <v>3134645.2344357171</v>
      </c>
      <c r="K47" s="7">
        <f>IF(A44=" "," ",+$B$2-A47)</f>
        <v>4</v>
      </c>
      <c r="L47">
        <f>IF(A47&lt;&gt;" ",+L46," ")</f>
        <v>20</v>
      </c>
      <c r="M47">
        <f>IF(AND(A47&lt;&gt;" ")*(M46=12),1,1+M46)</f>
        <v>7</v>
      </c>
      <c r="N47">
        <f>IF(AND(A47&lt;&gt;" ")*(M47=1),1+N46,N46)</f>
        <v>2027</v>
      </c>
      <c r="AC47">
        <v>333053</v>
      </c>
      <c r="AE47" s="21">
        <f>+AE55+AE50</f>
        <v>952338</v>
      </c>
    </row>
    <row r="48" spans="1:31">
      <c r="A48" s="11">
        <f>IF(AND(A47&lt;$B$2)*(A47&lt;&gt;0),1+A47," ")</f>
        <v>45</v>
      </c>
      <c r="B48" s="2">
        <f>IF(A48=" "," ",+F47)</f>
        <v>11953229.582844887</v>
      </c>
      <c r="C48" s="2">
        <f>IF(A48=" "," ",+B48*I47)</f>
        <v>231912.57595649557</v>
      </c>
      <c r="D48" s="2">
        <f>IF(A48=" "," ",+E48-C48)</f>
        <v>2902732.6584792216</v>
      </c>
      <c r="E48" s="54">
        <f>IF(A48=" "," ",+J47)</f>
        <v>3134645.2344357171</v>
      </c>
      <c r="F48" s="55">
        <f>+B48-D48</f>
        <v>9050496.9243656658</v>
      </c>
      <c r="G48" s="12">
        <v>0.12332</v>
      </c>
      <c r="H48" s="12">
        <f>IF(A48=" "," ",+H47)</f>
        <v>0.1095</v>
      </c>
      <c r="I48" s="8">
        <f>IF(A48=" "," ",((G48+H48)/12))</f>
        <v>1.9401666666666668E-2</v>
      </c>
      <c r="J48" s="2">
        <f>PMT(I48,K48,-F48,0)</f>
        <v>3134645.2344357171</v>
      </c>
      <c r="K48" s="7">
        <f>IF(A45=" "," ",+$B$2-A48)</f>
        <v>3</v>
      </c>
      <c r="L48">
        <f>IF(A48&lt;&gt;" ",+L47," ")</f>
        <v>20</v>
      </c>
      <c r="M48">
        <f>IF(AND(A48&lt;&gt;" ")*(M47=12),1,1+M47)</f>
        <v>8</v>
      </c>
      <c r="N48">
        <f>IF(AND(A48&lt;&gt;" ")*(M48=1),1+N47,N47)</f>
        <v>2027</v>
      </c>
      <c r="AC48">
        <v>-134914</v>
      </c>
    </row>
    <row r="49" spans="1:42">
      <c r="A49" s="11">
        <f>IF(AND(A48&lt;$B$2)*(A48&lt;&gt;0),1+A48," ")</f>
        <v>46</v>
      </c>
      <c r="B49" s="2">
        <f>IF(A49=" "," ",+F48)</f>
        <v>9050496.9243656658</v>
      </c>
      <c r="C49" s="2">
        <f>IF(A49=" "," ",+B49*I48)</f>
        <v>175594.72449423454</v>
      </c>
      <c r="D49" s="2">
        <f>IF(A49=" "," ",+E49-C49)</f>
        <v>2959050.5099414825</v>
      </c>
      <c r="E49" s="54">
        <f>IF(A49=" "," ",+J48)</f>
        <v>3134645.2344357171</v>
      </c>
      <c r="F49" s="55">
        <f>+B49-D49</f>
        <v>6091446.4144241828</v>
      </c>
      <c r="G49" s="12">
        <v>0.12332</v>
      </c>
      <c r="H49" s="12">
        <f>IF(A49=" "," ",+H48)</f>
        <v>0.1095</v>
      </c>
      <c r="I49" s="8">
        <f>IF(A49=" "," ",((G49+H49)/12))</f>
        <v>1.9401666666666668E-2</v>
      </c>
      <c r="J49" s="2">
        <f>PMT(I49,K49,-F49,0)</f>
        <v>3134645.2344357166</v>
      </c>
      <c r="K49" s="7">
        <f>IF(A46=" "," ",+$B$2-A49)</f>
        <v>2</v>
      </c>
      <c r="L49">
        <f>IF(A49&lt;&gt;" ",+L48," ")</f>
        <v>20</v>
      </c>
      <c r="M49">
        <f>IF(AND(A49&lt;&gt;" ")*(M48=12),1,1+M48)</f>
        <v>9</v>
      </c>
      <c r="N49">
        <f>IF(AND(A49&lt;&gt;" ")*(M49=1),1+N48,N48)</f>
        <v>2027</v>
      </c>
      <c r="AC49">
        <f>SUM(AC47:AC48)</f>
        <v>198139</v>
      </c>
    </row>
    <row r="50" spans="1:42">
      <c r="A50" s="11">
        <f>IF(AND(A49&lt;$B$2)*(A49&lt;&gt;0),1+A49," ")</f>
        <v>47</v>
      </c>
      <c r="B50" s="2">
        <f>IF(A50=" "," ",+F49)</f>
        <v>6091446.4144241828</v>
      </c>
      <c r="C50" s="2">
        <f>IF(A50=" "," ",+B50*I49)</f>
        <v>118184.21285051986</v>
      </c>
      <c r="D50" s="2">
        <f>IF(A50=" "," ",+E50-C50)</f>
        <v>3016461.0215851967</v>
      </c>
      <c r="E50" s="54">
        <f>IF(A50=" "," ",+J49)</f>
        <v>3134645.2344357166</v>
      </c>
      <c r="F50" s="55">
        <f>+B50-D50</f>
        <v>3074985.3928389861</v>
      </c>
      <c r="G50" s="12">
        <v>0.12332</v>
      </c>
      <c r="H50" s="12">
        <f>IF(A50=" "," ",+H49)</f>
        <v>0.1095</v>
      </c>
      <c r="I50" s="8">
        <f>IF(A50=" "," ",((G50+H50)/12))</f>
        <v>1.9401666666666668E-2</v>
      </c>
      <c r="J50" s="2">
        <f>PMT(I50,K50,-F50,0)</f>
        <v>3134645.2344357166</v>
      </c>
      <c r="K50" s="7">
        <f>IF(A47=" "," ",+$B$2-A50)</f>
        <v>1</v>
      </c>
      <c r="L50">
        <f>IF(A50&lt;&gt;" ",+L49," ")</f>
        <v>20</v>
      </c>
      <c r="M50">
        <f>IF(AND(A50&lt;&gt;" ")*(M49=12),1,1+M49)</f>
        <v>10</v>
      </c>
      <c r="N50">
        <f>IF(AND(A50&lt;&gt;" ")*(M50=1),1+N49,N49)</f>
        <v>2027</v>
      </c>
      <c r="AC50" s="59" t="s">
        <v>43</v>
      </c>
      <c r="AE50">
        <v>60649</v>
      </c>
    </row>
    <row r="51" spans="1:42">
      <c r="A51" s="11">
        <f>IF(AND(A50&lt;$B$2)*(A50&lt;&gt;0),1+A50," ")</f>
        <v>48</v>
      </c>
      <c r="B51" s="2">
        <f>IF(A51=" "," ",+F50)</f>
        <v>3074985.3928389861</v>
      </c>
      <c r="C51" s="2">
        <f>IF(A51=" "," ",+B51*I50)</f>
        <v>59659.841596731065</v>
      </c>
      <c r="D51" s="2">
        <f>IF(A51=" "," ",+E51-C51)</f>
        <v>3074985.3928389857</v>
      </c>
      <c r="E51" s="54">
        <f>IF(A51=" "," ",+J50)</f>
        <v>3134645.2344357166</v>
      </c>
      <c r="F51" s="55">
        <f>+B51-D51</f>
        <v>0</v>
      </c>
      <c r="G51" s="12">
        <v>0.12332</v>
      </c>
      <c r="H51" s="12">
        <f>IF(A51=" "," ",+H50)</f>
        <v>0.1095</v>
      </c>
      <c r="I51" s="8">
        <f>IF(A51=" "," ",((G51+H51)/12))</f>
        <v>1.9401666666666668E-2</v>
      </c>
      <c r="J51" s="2" t="e">
        <f>PMT(I51,K51,-F51,0)</f>
        <v>#NUM!</v>
      </c>
      <c r="K51" s="7">
        <f>IF(A48=" "," ",+$B$2-A51)</f>
        <v>0</v>
      </c>
      <c r="L51">
        <f>IF(A51&lt;&gt;" ",+L50," ")</f>
        <v>20</v>
      </c>
      <c r="M51">
        <f>IF(AND(A51&lt;&gt;" ")*(M50=12),1,1+M50)</f>
        <v>11</v>
      </c>
      <c r="N51">
        <f>IF(AND(A51&lt;&gt;" ")*(M51=1),1+N50,N50)</f>
        <v>2027</v>
      </c>
      <c r="R51" s="4"/>
      <c r="AC51" s="4">
        <f>+(AC55+AC49)/20</f>
        <v>57514.564755352112</v>
      </c>
      <c r="AD51" s="21"/>
      <c r="AE51" t="s">
        <v>44</v>
      </c>
    </row>
    <row r="52" spans="1:42">
      <c r="A52" s="11"/>
      <c r="B52" s="2"/>
      <c r="C52" s="2"/>
      <c r="D52" s="2"/>
      <c r="E52" s="54"/>
      <c r="F52" s="55"/>
      <c r="G52" s="12"/>
      <c r="H52" s="12"/>
      <c r="I52" s="8"/>
      <c r="J52" s="2"/>
      <c r="K52" s="7"/>
      <c r="Q52" s="124" t="s">
        <v>45</v>
      </c>
      <c r="R52" s="132"/>
      <c r="S52" s="132"/>
      <c r="T52" s="132"/>
      <c r="U52" s="132"/>
      <c r="V52" s="132"/>
      <c r="W52" s="133"/>
      <c r="AB52" s="21"/>
      <c r="AC52" s="4">
        <f>+O16*10</f>
        <v>480243.66666666669</v>
      </c>
      <c r="AD52" s="21"/>
      <c r="AG52">
        <f>+O19*20</f>
        <v>862362.55818420101</v>
      </c>
    </row>
    <row r="53" spans="1:42">
      <c r="A53" s="11"/>
      <c r="B53" s="2"/>
      <c r="C53" s="2"/>
      <c r="D53" s="2"/>
      <c r="E53" s="54"/>
      <c r="F53" s="55"/>
      <c r="G53" s="12"/>
      <c r="H53" s="12"/>
      <c r="I53" s="8"/>
      <c r="J53" s="2"/>
      <c r="K53" s="7"/>
      <c r="AD53" s="21"/>
      <c r="AG53">
        <f>+O20*10</f>
        <v>420756.64448841714</v>
      </c>
      <c r="AI53" s="81">
        <v>-163</v>
      </c>
    </row>
    <row r="54" spans="1:42">
      <c r="A54" s="11"/>
      <c r="B54" s="2"/>
      <c r="C54" s="2"/>
      <c r="D54" s="2"/>
      <c r="E54" s="54"/>
      <c r="F54" s="55"/>
      <c r="G54" s="12"/>
      <c r="H54" s="12"/>
      <c r="I54" s="8"/>
      <c r="J54" s="2"/>
      <c r="K54" s="7"/>
      <c r="Q54" s="42">
        <v>45231</v>
      </c>
      <c r="R54" s="42">
        <v>45261</v>
      </c>
      <c r="S54" s="42">
        <v>45292</v>
      </c>
      <c r="T54" s="42">
        <v>45323</v>
      </c>
      <c r="U54" s="42">
        <v>45352</v>
      </c>
      <c r="V54" s="42">
        <v>45383</v>
      </c>
      <c r="W54" s="42">
        <v>45413</v>
      </c>
      <c r="X54" s="42">
        <v>45444</v>
      </c>
      <c r="Y54" s="42">
        <v>45474</v>
      </c>
      <c r="Z54" s="42">
        <v>45505</v>
      </c>
      <c r="AA54" s="42">
        <v>45536</v>
      </c>
      <c r="AB54" s="42">
        <v>45566</v>
      </c>
      <c r="AC54" s="42">
        <v>45597</v>
      </c>
      <c r="AD54" s="42">
        <v>45627</v>
      </c>
      <c r="AE54" s="79">
        <v>45658</v>
      </c>
      <c r="AF54" s="79">
        <v>45689</v>
      </c>
      <c r="AG54" s="79">
        <v>45717</v>
      </c>
      <c r="AH54" s="79">
        <v>45748</v>
      </c>
      <c r="AI54" s="79">
        <v>45778</v>
      </c>
      <c r="AJ54" s="79">
        <v>45809</v>
      </c>
      <c r="AK54" s="79">
        <v>45839</v>
      </c>
      <c r="AL54" s="79">
        <v>45870</v>
      </c>
      <c r="AM54" s="79">
        <v>45901</v>
      </c>
      <c r="AN54" s="79">
        <v>45931</v>
      </c>
      <c r="AO54" s="79">
        <v>45962</v>
      </c>
      <c r="AP54" s="79">
        <v>45992</v>
      </c>
    </row>
    <row r="55" spans="1:42">
      <c r="A55" s="11"/>
      <c r="B55" s="2"/>
      <c r="C55" s="2"/>
      <c r="D55" s="2"/>
      <c r="E55" s="54"/>
      <c r="F55" s="55"/>
      <c r="G55" s="12"/>
      <c r="H55" s="12"/>
      <c r="I55" s="8"/>
      <c r="J55" s="2"/>
      <c r="K55" s="7"/>
      <c r="Q55" s="21">
        <f>+P4</f>
        <v>651561.93333333335</v>
      </c>
      <c r="R55" s="21">
        <f>+R4-Q55</f>
        <v>1303124.0666666667</v>
      </c>
      <c r="S55" s="21">
        <f>+R5-R56</f>
        <v>1273506.7075320804</v>
      </c>
      <c r="T55" s="20">
        <f>+R6-S56</f>
        <v>1242242</v>
      </c>
      <c r="U55" s="21">
        <f>-13+R7-T56</f>
        <v>1226465.5745693564</v>
      </c>
      <c r="V55" s="21">
        <f>+R8-U56</f>
        <v>1190720.6210723743</v>
      </c>
      <c r="W55" s="21">
        <f>+R9-V56</f>
        <v>1153398.4715043395</v>
      </c>
      <c r="X55" s="21">
        <f>+R10-W56</f>
        <v>1128893.750846467</v>
      </c>
      <c r="Y55" s="21">
        <f>+R11-X56</f>
        <v>1105101.6666666667</v>
      </c>
      <c r="Z55" s="21">
        <f>+R12-P12</f>
        <v>1046310.6666666667</v>
      </c>
      <c r="AA55" s="21">
        <f>+C13-Z56</f>
        <v>1028402.9190210471</v>
      </c>
      <c r="AB55" s="21">
        <f>+R14-P14</f>
        <v>995105.01341365336</v>
      </c>
      <c r="AC55" s="21">
        <f>+R15-AB56</f>
        <v>952152.29510704218</v>
      </c>
      <c r="AD55" s="21">
        <f>+R16-AC56</f>
        <v>960487.33333333326</v>
      </c>
      <c r="AE55" s="21">
        <f>+R17-AD56</f>
        <v>891689</v>
      </c>
      <c r="AF55" s="21">
        <f>1317956-AE56</f>
        <v>878637.33333333326</v>
      </c>
      <c r="AG55" s="21">
        <f>+C19-AF56</f>
        <v>862362.55818420113</v>
      </c>
      <c r="AH55" s="21">
        <f>+C20-AG56</f>
        <v>841513.28897683439</v>
      </c>
      <c r="AI55" s="92">
        <f>+C21-AH56+AI53</f>
        <v>821245.39236857637</v>
      </c>
      <c r="AJ55" s="21">
        <f>+O22*20-1</f>
        <v>793159.3583756783</v>
      </c>
      <c r="AK55" s="21">
        <f>+O23*20+3</f>
        <v>771670.33333333337</v>
      </c>
      <c r="AL55" s="21">
        <f>+O24*20-49</f>
        <v>748413.66666666663</v>
      </c>
      <c r="AM55" s="21">
        <f>+O25*20-5</f>
        <v>730058.33333333326</v>
      </c>
      <c r="AN55" s="21">
        <f>+O26*20-6</f>
        <v>707886</v>
      </c>
      <c r="AO55" s="21">
        <f>+O27*20-3</f>
        <v>686258.33333333326</v>
      </c>
      <c r="AP55" s="21">
        <f>+O28*20+2</f>
        <v>664010</v>
      </c>
    </row>
    <row r="56" spans="1:42">
      <c r="A56" s="11"/>
      <c r="B56" s="2"/>
      <c r="C56" s="2"/>
      <c r="D56" s="2"/>
      <c r="E56" s="54"/>
      <c r="F56" s="55"/>
      <c r="G56" s="12"/>
      <c r="H56" s="12"/>
      <c r="I56" s="8"/>
      <c r="J56" s="2"/>
      <c r="K56" s="7"/>
      <c r="Q56" s="35"/>
      <c r="R56" s="36">
        <f>+P5</f>
        <v>636753.29246791964</v>
      </c>
      <c r="S56" s="36">
        <f>+P6</f>
        <v>621121</v>
      </c>
      <c r="T56" s="36">
        <f>+P7</f>
        <v>613259.42543064361</v>
      </c>
      <c r="U56" s="36">
        <f>+P8</f>
        <v>595360.37892762583</v>
      </c>
      <c r="V56" s="36">
        <f>+P9</f>
        <v>576728.52849566063</v>
      </c>
      <c r="W56" s="36">
        <f>+P10</f>
        <v>564465.24915353314</v>
      </c>
      <c r="X56" s="36">
        <f>+P11</f>
        <v>547767.33333333326</v>
      </c>
      <c r="Y56" s="36">
        <f>+P12</f>
        <v>523155.33333333331</v>
      </c>
      <c r="Z56" s="36">
        <f>+P13</f>
        <v>514201.45951052348</v>
      </c>
      <c r="AA56" s="65">
        <f>+P14</f>
        <v>496286.98658634664</v>
      </c>
      <c r="AB56" s="36">
        <f>+P15</f>
        <v>477459.70489295782</v>
      </c>
      <c r="AC56" s="36">
        <f>+P16</f>
        <v>480243.66666666669</v>
      </c>
      <c r="AD56" s="36">
        <f>+P17</f>
        <v>445858</v>
      </c>
      <c r="AE56" s="36">
        <f>+P18</f>
        <v>439318.66666666669</v>
      </c>
      <c r="AF56" s="36">
        <f>+P19</f>
        <v>431181.27909210051</v>
      </c>
      <c r="AG56" s="36">
        <f>+P20</f>
        <v>420756.64448841714</v>
      </c>
      <c r="AH56" s="36">
        <f>+P21</f>
        <v>410704.19618428813</v>
      </c>
      <c r="AI56" s="36">
        <f>+P22</f>
        <v>396580.17918783915</v>
      </c>
      <c r="AJ56" s="36">
        <f>+P23</f>
        <v>385833.66666666669</v>
      </c>
      <c r="AK56" s="36">
        <f>+P24</f>
        <v>374231.33333333331</v>
      </c>
      <c r="AL56" s="36">
        <f>+P25</f>
        <v>365031.66666666663</v>
      </c>
      <c r="AM56" s="36">
        <f>+P26</f>
        <v>353946</v>
      </c>
      <c r="AN56" s="36">
        <f>+P27</f>
        <v>343130.66666666663</v>
      </c>
      <c r="AO56" s="36">
        <f>+P28</f>
        <v>332004</v>
      </c>
      <c r="AP56" s="36">
        <f>+P29</f>
        <v>322412.33333333331</v>
      </c>
    </row>
    <row r="57" spans="1:42">
      <c r="A57" s="11"/>
      <c r="B57" s="2"/>
      <c r="C57" s="2"/>
      <c r="D57" s="2"/>
      <c r="E57" s="54"/>
      <c r="F57" s="55"/>
      <c r="G57" s="12"/>
      <c r="H57" s="12"/>
      <c r="I57" s="8"/>
      <c r="J57" s="2"/>
      <c r="K57" s="7"/>
      <c r="Q57" s="21">
        <f>+Q55</f>
        <v>651561.93333333335</v>
      </c>
      <c r="R57" s="21">
        <f>SUM(R55:R56)</f>
        <v>1939877.3591345863</v>
      </c>
      <c r="S57" s="21">
        <f>SUM(S55:S56)</f>
        <v>1894627.7075320804</v>
      </c>
      <c r="T57" s="21">
        <f>SUM(T55:T56)</f>
        <v>1855501.4254306436</v>
      </c>
      <c r="U57" s="21">
        <f>SUM(U55:U56)</f>
        <v>1821825.9534969823</v>
      </c>
      <c r="V57" s="21">
        <f>SUM(V55:V56)</f>
        <v>1767449.1495680348</v>
      </c>
      <c r="W57" s="21">
        <f>SUM(W55:W56)</f>
        <v>1717863.7206578725</v>
      </c>
      <c r="X57" s="21">
        <f>SUM(X55:X56)</f>
        <v>1676661.0841798002</v>
      </c>
      <c r="Y57" s="21">
        <f>SUM(Y55:Y56)</f>
        <v>1628257</v>
      </c>
      <c r="Z57" s="21">
        <f>SUM(Z55:Z56)</f>
        <v>1560512.1261771903</v>
      </c>
      <c r="AA57" s="21">
        <f>SUM(AA55:AA56)</f>
        <v>1524689.9056073937</v>
      </c>
      <c r="AB57" s="21">
        <f>SUM(AB55:AB56)</f>
        <v>1472564.7183066113</v>
      </c>
      <c r="AC57" s="21">
        <f>SUM(AC55:AC56)</f>
        <v>1432395.9617737089</v>
      </c>
      <c r="AD57" s="21">
        <f>+AD55+AD56</f>
        <v>1406345.3333333333</v>
      </c>
      <c r="AE57" s="21">
        <f>+AE55+AE56</f>
        <v>1331007.6666666667</v>
      </c>
      <c r="AF57" s="21">
        <f>+AF56+AF55</f>
        <v>1309818.6124254337</v>
      </c>
      <c r="AG57" s="21">
        <f>+AG56+AG55</f>
        <v>1283119.2026726182</v>
      </c>
      <c r="AH57" s="21">
        <f>+AH56+AH55</f>
        <v>1252217.4851611224</v>
      </c>
      <c r="AI57" s="21">
        <f>SUM(AI55:AI56)</f>
        <v>1217825.5715564154</v>
      </c>
      <c r="AJ57" s="21">
        <f>SUM(AJ55:AJ56)</f>
        <v>1178993.025042345</v>
      </c>
      <c r="AK57" s="21">
        <f>SUM(AK55:AK56)</f>
        <v>1145901.6666666667</v>
      </c>
      <c r="AL57" s="21">
        <f>SUM(AL55:AL56)</f>
        <v>1113445.3333333333</v>
      </c>
      <c r="AM57" s="21">
        <f>SUM(AM55:AM56)</f>
        <v>1084004.3333333333</v>
      </c>
      <c r="AN57" s="21">
        <f>SUM(AN55:AN56)</f>
        <v>1051016.6666666665</v>
      </c>
      <c r="AO57" s="21">
        <f>SUM(AO55:AO56)</f>
        <v>1018262.3333333333</v>
      </c>
      <c r="AP57" s="21">
        <f>SUM(AP55:AP56)</f>
        <v>986422.33333333326</v>
      </c>
    </row>
    <row r="58" spans="1:42">
      <c r="A58" s="11"/>
      <c r="B58" s="2"/>
      <c r="C58" s="2"/>
      <c r="D58" s="2"/>
      <c r="E58" s="54"/>
      <c r="F58" s="55"/>
      <c r="G58" s="12"/>
      <c r="H58" s="12"/>
      <c r="I58" s="8"/>
      <c r="J58" s="2"/>
      <c r="K58" s="7"/>
      <c r="AC58" s="21">
        <f>+AC57+AC49</f>
        <v>1630534.9617737089</v>
      </c>
      <c r="AD58" s="21"/>
      <c r="AE58" s="21">
        <f>+AE57+AE50</f>
        <v>1391656.6666666667</v>
      </c>
    </row>
    <row r="59" spans="1:42">
      <c r="A59" s="11"/>
      <c r="B59" s="2"/>
      <c r="C59" s="2"/>
      <c r="D59" s="2"/>
      <c r="E59" s="54"/>
      <c r="F59" s="55"/>
      <c r="G59" s="12"/>
      <c r="H59" s="12"/>
      <c r="I59" s="8"/>
      <c r="J59" s="2"/>
      <c r="K59" s="7"/>
      <c r="Q59" s="21"/>
      <c r="R59" s="21">
        <f>+Q57+R55</f>
        <v>1954686</v>
      </c>
      <c r="S59" s="21">
        <f>+S55+R56</f>
        <v>1910260</v>
      </c>
      <c r="T59" s="21">
        <f>+T55+S56</f>
        <v>1863363</v>
      </c>
      <c r="U59" s="21">
        <f>+U55+T56</f>
        <v>1839725</v>
      </c>
      <c r="V59" s="21">
        <f>+V55+U56</f>
        <v>1786081</v>
      </c>
      <c r="W59" s="21">
        <f>+W55+V56</f>
        <v>1730127</v>
      </c>
      <c r="X59" s="21">
        <f>+X55+W56</f>
        <v>1693359</v>
      </c>
      <c r="Y59" s="21">
        <f>+Y56+Z55</f>
        <v>1569466</v>
      </c>
      <c r="Z59" s="21">
        <f>+Z56+AA55</f>
        <v>1542604.3785315705</v>
      </c>
      <c r="AA59" s="21">
        <f>+AA56+AB55</f>
        <v>1491392</v>
      </c>
      <c r="AB59" s="21">
        <f>+AB56+AC55</f>
        <v>1429612</v>
      </c>
      <c r="AC59" s="21">
        <f>+AC56+AD55</f>
        <v>1440731</v>
      </c>
      <c r="AD59" s="21">
        <f>+AD56+AE55</f>
        <v>1337547</v>
      </c>
      <c r="AE59" s="21">
        <f>+AE56+AF55</f>
        <v>1317956</v>
      </c>
      <c r="AF59" s="21">
        <f>+AF56+AG55</f>
        <v>1293543.8372763016</v>
      </c>
    </row>
    <row r="60" spans="1:42">
      <c r="A60" s="11"/>
      <c r="B60" s="2"/>
      <c r="C60" s="2"/>
      <c r="D60" s="2"/>
      <c r="E60" s="54"/>
      <c r="F60" s="55"/>
      <c r="G60" s="12"/>
      <c r="H60" s="12"/>
      <c r="I60" s="8"/>
      <c r="J60" s="2"/>
      <c r="K60" s="7"/>
      <c r="AO60" s="21"/>
    </row>
    <row r="61" spans="1:42">
      <c r="A61" s="11"/>
      <c r="B61" s="2"/>
      <c r="C61" s="2"/>
      <c r="D61" s="2"/>
      <c r="E61" s="54"/>
      <c r="F61" s="55"/>
      <c r="G61" s="12"/>
      <c r="H61" s="12"/>
      <c r="I61" s="8"/>
      <c r="J61" s="2"/>
      <c r="K61" s="7"/>
      <c r="AN61" s="21"/>
    </row>
    <row r="62" spans="1:42" ht="15" customHeight="1">
      <c r="A62" s="11"/>
      <c r="B62" s="2"/>
      <c r="C62" s="2"/>
      <c r="D62" s="2"/>
      <c r="E62" s="54"/>
      <c r="F62" s="55"/>
      <c r="G62" s="12"/>
      <c r="H62" s="12"/>
      <c r="I62" s="8"/>
      <c r="J62" s="2"/>
      <c r="K62" s="7"/>
      <c r="Q62" s="79">
        <v>46023</v>
      </c>
      <c r="R62" s="79">
        <v>46054</v>
      </c>
      <c r="S62" s="79">
        <v>46082</v>
      </c>
      <c r="T62" s="79">
        <v>46113</v>
      </c>
      <c r="U62" s="79">
        <v>46143</v>
      </c>
      <c r="V62" s="79">
        <v>46143</v>
      </c>
      <c r="W62" s="79">
        <v>46174</v>
      </c>
      <c r="X62" s="79">
        <v>46204</v>
      </c>
      <c r="AP62" s="21"/>
    </row>
    <row r="63" spans="1:42">
      <c r="A63" s="11"/>
      <c r="B63" s="2"/>
      <c r="C63" s="2"/>
      <c r="D63" s="2"/>
      <c r="E63" s="54"/>
      <c r="F63" s="55"/>
      <c r="G63" s="12"/>
      <c r="H63" s="12"/>
      <c r="I63" s="8"/>
      <c r="J63" s="2"/>
      <c r="K63" s="7"/>
      <c r="Q63" s="21">
        <f>+O29*20</f>
        <v>644824.66666666663</v>
      </c>
      <c r="R63" s="21">
        <f>+O30*20-2</f>
        <v>627944</v>
      </c>
      <c r="S63" s="21">
        <f>+O31*20+1</f>
        <v>621735</v>
      </c>
      <c r="T63" s="21">
        <f>+O32*20+1</f>
        <v>615373</v>
      </c>
      <c r="V63" s="21">
        <f>+O33*20-4</f>
        <v>601802</v>
      </c>
      <c r="W63" s="21">
        <f>+O34*20+5</f>
        <v>570611</v>
      </c>
      <c r="X63" s="21">
        <f>+O35*20-5</f>
        <v>552424.33333333337</v>
      </c>
      <c r="AJ63" s="20"/>
      <c r="AK63" s="20"/>
      <c r="AL63" s="21"/>
    </row>
    <row r="64" spans="1:42">
      <c r="A64" s="11"/>
      <c r="B64" s="2"/>
      <c r="C64" s="2"/>
      <c r="D64" s="2"/>
      <c r="E64" s="2"/>
      <c r="F64" s="2"/>
      <c r="G64" s="12"/>
      <c r="H64" s="12"/>
      <c r="I64" s="8"/>
      <c r="J64" s="2"/>
      <c r="K64" s="34"/>
      <c r="Q64" s="36">
        <f>+P30</f>
        <v>313973</v>
      </c>
      <c r="R64" s="36">
        <f>+P31</f>
        <v>310867</v>
      </c>
      <c r="S64" s="36">
        <f>+P32</f>
        <v>307686</v>
      </c>
      <c r="T64" s="36">
        <f>+P33</f>
        <v>300903</v>
      </c>
      <c r="V64" s="36">
        <f>+P34</f>
        <v>285303</v>
      </c>
      <c r="W64" s="36">
        <f>+P35</f>
        <v>276214.66666666669</v>
      </c>
      <c r="X64" s="36">
        <f>+P36</f>
        <v>268379.33333333337</v>
      </c>
      <c r="AJ64" s="20"/>
      <c r="AK64" s="20"/>
      <c r="AL64" s="21"/>
    </row>
    <row r="65" spans="1:38">
      <c r="A65" s="11"/>
      <c r="B65" s="2"/>
      <c r="C65" s="2"/>
      <c r="D65" s="2"/>
      <c r="E65" s="2"/>
      <c r="F65" s="2"/>
      <c r="G65" s="12"/>
      <c r="H65" s="12"/>
      <c r="I65" s="8"/>
      <c r="J65" s="2"/>
      <c r="K65" s="34"/>
      <c r="Q65" s="21">
        <f>SUM(Q63:Q64)</f>
        <v>958797.66666666663</v>
      </c>
      <c r="R65" s="21">
        <f>SUM(R63:R64)</f>
        <v>938811</v>
      </c>
      <c r="S65" s="21">
        <f>SUM(S63:S64)</f>
        <v>929421</v>
      </c>
      <c r="T65" s="21">
        <f>SUM(T63:T64)</f>
        <v>916276</v>
      </c>
      <c r="V65" s="21">
        <f>SUM(V63:V64)</f>
        <v>887105</v>
      </c>
      <c r="W65" s="21">
        <f>SUM(W63:W64)</f>
        <v>846825.66666666674</v>
      </c>
      <c r="X65" s="21">
        <f>SUM(X63:X64)</f>
        <v>820803.66666666674</v>
      </c>
      <c r="AJ65" s="20"/>
      <c r="AK65" s="20"/>
      <c r="AL65" s="21"/>
    </row>
    <row r="66" spans="1:38">
      <c r="A66" s="11"/>
      <c r="B66" s="2"/>
      <c r="C66" s="2"/>
      <c r="D66" s="2"/>
      <c r="E66" s="2"/>
      <c r="F66" s="2"/>
      <c r="G66" s="12"/>
      <c r="H66" s="12"/>
      <c r="I66" s="8"/>
      <c r="J66" s="2"/>
      <c r="K66" s="34"/>
      <c r="Q66" s="122">
        <v>46240</v>
      </c>
      <c r="R66" s="122">
        <v>855909</v>
      </c>
      <c r="S66" s="122">
        <v>2234355</v>
      </c>
      <c r="T66" s="122">
        <v>69736</v>
      </c>
      <c r="V66" s="122">
        <f>SUM(V64:V65)</f>
        <v>1172408</v>
      </c>
      <c r="W66" s="122">
        <f>+W62-S66</f>
        <v>-2188181</v>
      </c>
      <c r="AJ66" s="20"/>
      <c r="AK66" s="20"/>
      <c r="AL66" s="21"/>
    </row>
    <row r="67" spans="1:38">
      <c r="A67" s="11"/>
      <c r="B67" s="2"/>
      <c r="C67" s="2"/>
      <c r="D67" s="2"/>
      <c r="E67" s="2"/>
      <c r="F67" s="2"/>
      <c r="G67" s="12"/>
      <c r="H67" s="12"/>
      <c r="I67" s="8"/>
      <c r="J67" s="2"/>
      <c r="K67" s="34"/>
      <c r="AJ67" s="20"/>
      <c r="AK67" s="20"/>
      <c r="AL67" s="21"/>
    </row>
    <row r="68" spans="1:38">
      <c r="A68" s="11"/>
      <c r="B68" s="2"/>
      <c r="C68" s="2"/>
      <c r="D68" s="2"/>
      <c r="E68" s="2"/>
      <c r="F68" s="2"/>
      <c r="G68" s="33"/>
      <c r="H68" s="33"/>
      <c r="I68" s="8"/>
      <c r="J68" s="2"/>
      <c r="K68" s="34"/>
      <c r="Q68" s="21"/>
      <c r="R68" s="21"/>
      <c r="T68" s="21"/>
      <c r="W68" s="21"/>
      <c r="X68" s="21"/>
      <c r="AJ68" s="20"/>
      <c r="AK68" s="20"/>
      <c r="AL68" s="21"/>
    </row>
    <row r="69" spans="1:38">
      <c r="A69" s="11"/>
      <c r="B69" s="2"/>
      <c r="C69" s="2"/>
      <c r="D69" s="2"/>
      <c r="E69" s="2"/>
      <c r="F69" s="2"/>
      <c r="G69" s="33"/>
      <c r="H69" s="33"/>
      <c r="I69" s="8"/>
      <c r="J69" s="2"/>
      <c r="K69" s="34"/>
      <c r="V69" s="21"/>
      <c r="AJ69" s="20"/>
      <c r="AK69" s="20"/>
      <c r="AL69" s="21"/>
    </row>
    <row r="70" spans="1:38">
      <c r="A70" s="11"/>
      <c r="B70" s="2"/>
      <c r="C70" s="2"/>
      <c r="D70" s="2"/>
      <c r="E70" s="2"/>
      <c r="F70" s="2"/>
      <c r="G70" s="33"/>
      <c r="H70" s="33"/>
      <c r="I70" s="8"/>
      <c r="J70" s="2"/>
      <c r="K70" s="34"/>
      <c r="AK70" s="21"/>
      <c r="AL70" s="21"/>
    </row>
    <row r="71" spans="1:38">
      <c r="A71" s="11"/>
      <c r="B71" s="2"/>
      <c r="C71" s="2"/>
      <c r="D71" s="2"/>
      <c r="E71" s="2"/>
      <c r="F71" s="2"/>
      <c r="G71" s="33"/>
      <c r="H71" s="33"/>
      <c r="I71" s="8"/>
      <c r="J71" s="2"/>
      <c r="K71" s="34"/>
      <c r="S71" s="21"/>
    </row>
    <row r="72" spans="1:38">
      <c r="A72" s="11"/>
      <c r="B72" s="2"/>
      <c r="C72" s="2"/>
      <c r="D72" s="2"/>
      <c r="E72" s="2"/>
      <c r="F72" s="2"/>
      <c r="G72" s="33"/>
      <c r="H72" s="33"/>
      <c r="I72" s="8"/>
      <c r="J72" s="2"/>
      <c r="K72" s="34"/>
    </row>
    <row r="73" spans="1:38">
      <c r="A73" s="11"/>
      <c r="B73" s="2"/>
      <c r="C73" s="2"/>
      <c r="D73" s="2"/>
      <c r="E73" s="2"/>
      <c r="F73" s="2"/>
      <c r="G73" s="33"/>
      <c r="H73" s="33"/>
      <c r="I73" s="8"/>
      <c r="J73" s="2"/>
      <c r="K73" s="34"/>
    </row>
    <row r="74" spans="1:38">
      <c r="A74" s="11"/>
      <c r="B74" s="2"/>
      <c r="C74" s="2"/>
      <c r="D74" s="2"/>
      <c r="E74" s="2"/>
      <c r="F74" s="2"/>
      <c r="G74" s="33"/>
      <c r="H74" s="33"/>
      <c r="I74" s="8"/>
      <c r="J74" s="2"/>
      <c r="K74" s="34"/>
    </row>
    <row r="75" spans="1:38">
      <c r="A75" s="11"/>
      <c r="B75" s="2"/>
      <c r="C75" s="2"/>
      <c r="D75" s="2"/>
      <c r="E75" s="2"/>
      <c r="F75" s="2"/>
      <c r="G75" s="33"/>
      <c r="H75" s="33"/>
      <c r="I75" s="8"/>
      <c r="J75" s="2"/>
      <c r="K75" s="34"/>
    </row>
    <row r="76" spans="1:38">
      <c r="A76" s="11"/>
      <c r="B76" s="2"/>
      <c r="C76" s="2"/>
      <c r="D76" s="2"/>
      <c r="E76" s="2"/>
      <c r="F76" s="2"/>
      <c r="G76" s="33"/>
      <c r="H76" s="33"/>
      <c r="I76" s="8"/>
      <c r="J76" s="2"/>
      <c r="K76" s="34"/>
    </row>
    <row r="77" spans="1:38">
      <c r="A77" s="11"/>
      <c r="B77" s="2"/>
      <c r="C77" s="2"/>
      <c r="D77" s="2"/>
      <c r="E77" s="2"/>
      <c r="F77" s="2"/>
      <c r="G77" s="33"/>
      <c r="H77" s="33"/>
      <c r="I77" s="8"/>
      <c r="J77" s="2"/>
      <c r="K77" s="34"/>
    </row>
    <row r="78" spans="1:38">
      <c r="A78" s="11"/>
      <c r="B78" s="2"/>
      <c r="C78" s="2"/>
      <c r="D78" s="2"/>
      <c r="E78" s="2"/>
      <c r="F78" s="2"/>
      <c r="G78" s="33"/>
      <c r="H78" s="33"/>
      <c r="I78" s="8"/>
      <c r="J78" s="2"/>
      <c r="K78" s="34"/>
    </row>
    <row r="79" spans="1:38">
      <c r="A79" s="11"/>
      <c r="B79" s="2"/>
      <c r="C79" s="2"/>
      <c r="D79" s="2"/>
      <c r="E79" s="2"/>
      <c r="F79" s="2"/>
      <c r="G79" s="33"/>
      <c r="H79" s="33"/>
      <c r="I79" s="8"/>
      <c r="J79" s="2"/>
      <c r="K79" s="34"/>
    </row>
    <row r="80" spans="1:38">
      <c r="A80" s="11"/>
      <c r="B80" s="2"/>
      <c r="C80" s="2"/>
      <c r="D80" s="2"/>
      <c r="E80" s="2"/>
      <c r="F80" s="2"/>
      <c r="G80" s="33"/>
      <c r="H80" s="33"/>
      <c r="I80" s="8"/>
      <c r="J80" s="2"/>
      <c r="K80" s="34"/>
    </row>
    <row r="81" spans="1:11">
      <c r="A81" s="11"/>
      <c r="B81" s="2"/>
      <c r="C81" s="2"/>
      <c r="D81" s="2"/>
      <c r="E81" s="2"/>
      <c r="F81" s="2"/>
      <c r="G81" s="33"/>
      <c r="H81" s="33"/>
      <c r="I81" s="8"/>
      <c r="J81" s="2"/>
      <c r="K81" s="34"/>
    </row>
    <row r="82" spans="1:11">
      <c r="A82" s="11"/>
      <c r="B82" s="2"/>
      <c r="C82" s="2"/>
      <c r="D82" s="2"/>
      <c r="E82" s="2"/>
      <c r="F82" s="2"/>
      <c r="G82" s="33"/>
      <c r="H82" s="33"/>
      <c r="I82" s="8"/>
      <c r="J82" s="2"/>
      <c r="K82" s="34"/>
    </row>
    <row r="83" spans="1:11">
      <c r="A83" s="11"/>
      <c r="B83" s="2"/>
      <c r="C83" s="2"/>
      <c r="D83" s="2"/>
      <c r="E83" s="2"/>
      <c r="F83" s="2"/>
      <c r="G83" s="33"/>
      <c r="H83" s="33"/>
      <c r="I83" s="8"/>
      <c r="J83" s="2"/>
      <c r="K83" s="34"/>
    </row>
    <row r="84" spans="1:11">
      <c r="A84" s="11"/>
      <c r="B84" s="2"/>
      <c r="C84" s="2"/>
      <c r="D84" s="2"/>
      <c r="E84" s="2"/>
      <c r="F84" s="2"/>
      <c r="G84" s="33"/>
      <c r="H84" s="33"/>
      <c r="I84" s="8"/>
      <c r="J84" s="2"/>
      <c r="K84" s="34"/>
    </row>
    <row r="85" spans="1:11">
      <c r="A85" s="11"/>
      <c r="B85" s="2"/>
      <c r="C85" s="2"/>
      <c r="D85" s="2"/>
      <c r="E85" s="2"/>
      <c r="F85" s="2"/>
      <c r="G85" s="33"/>
      <c r="H85" s="33"/>
      <c r="I85" s="8"/>
      <c r="J85" s="2"/>
      <c r="K85" s="34"/>
    </row>
    <row r="86" spans="1:11">
      <c r="A86" s="11"/>
      <c r="B86" s="2"/>
      <c r="C86" s="2"/>
      <c r="D86" s="2"/>
      <c r="E86" s="2"/>
      <c r="F86" s="2"/>
      <c r="G86" s="33"/>
      <c r="H86" s="33"/>
      <c r="I86" s="8"/>
      <c r="J86" s="2"/>
      <c r="K86" s="34"/>
    </row>
    <row r="87" spans="1:11">
      <c r="A87" s="11"/>
      <c r="B87" s="2"/>
      <c r="C87" s="2"/>
      <c r="D87" s="2"/>
      <c r="E87" s="2"/>
      <c r="F87" s="2"/>
      <c r="G87" s="33"/>
      <c r="H87" s="33"/>
      <c r="I87" s="8"/>
      <c r="J87" s="2"/>
      <c r="K87" s="34"/>
    </row>
    <row r="88" spans="1:11">
      <c r="A88" s="11"/>
      <c r="B88" s="2"/>
      <c r="C88" s="2"/>
      <c r="D88" s="2"/>
      <c r="E88" s="2"/>
      <c r="F88" s="2"/>
      <c r="G88" s="33"/>
      <c r="H88" s="33"/>
      <c r="I88" s="8"/>
      <c r="J88" s="2"/>
      <c r="K88" s="34"/>
    </row>
    <row r="89" spans="1:11">
      <c r="A89" s="11"/>
      <c r="B89" s="2"/>
      <c r="C89" s="2"/>
      <c r="D89" s="2"/>
      <c r="E89" s="2"/>
      <c r="F89" s="2"/>
      <c r="G89" s="33"/>
      <c r="H89" s="33"/>
      <c r="I89" s="8"/>
      <c r="J89" s="2"/>
      <c r="K89" s="34"/>
    </row>
    <row r="90" spans="1:11">
      <c r="A90" s="11"/>
      <c r="B90" s="2"/>
      <c r="C90" s="2"/>
      <c r="D90" s="2"/>
      <c r="E90" s="2"/>
      <c r="F90" s="2"/>
      <c r="G90" s="33"/>
      <c r="H90" s="33"/>
      <c r="I90" s="8"/>
      <c r="J90" s="2"/>
      <c r="K90" s="34"/>
    </row>
    <row r="91" spans="1:11">
      <c r="A91" s="11"/>
      <c r="B91" s="2"/>
      <c r="C91" s="2"/>
      <c r="D91" s="2"/>
      <c r="E91" s="2"/>
      <c r="F91" s="2"/>
      <c r="G91" s="33"/>
      <c r="H91" s="33"/>
      <c r="I91" s="8"/>
      <c r="J91" s="2"/>
      <c r="K91" s="34"/>
    </row>
    <row r="92" spans="1:11">
      <c r="A92" s="11"/>
      <c r="B92" s="2"/>
      <c r="C92" s="2"/>
      <c r="D92" s="2"/>
      <c r="E92" s="2"/>
      <c r="F92" s="2"/>
      <c r="G92" s="33"/>
      <c r="H92" s="33"/>
      <c r="I92" s="8"/>
      <c r="J92" s="2"/>
      <c r="K92" s="34"/>
    </row>
    <row r="93" spans="1:11">
      <c r="A93" s="11"/>
      <c r="B93" s="2"/>
      <c r="C93" s="2"/>
      <c r="D93" s="2"/>
      <c r="E93" s="2"/>
      <c r="F93" s="2"/>
      <c r="G93" s="33"/>
      <c r="H93" s="33"/>
      <c r="I93" s="8"/>
      <c r="J93" s="2"/>
      <c r="K93" s="34"/>
    </row>
    <row r="94" spans="1:11">
      <c r="A94" s="11"/>
      <c r="B94" s="2"/>
      <c r="C94" s="2"/>
      <c r="D94" s="2"/>
      <c r="E94" s="2"/>
      <c r="F94" s="2"/>
      <c r="G94" s="33"/>
      <c r="H94" s="33"/>
      <c r="I94" s="8"/>
      <c r="J94" s="2"/>
      <c r="K94" s="34"/>
    </row>
    <row r="95" spans="1:11">
      <c r="A95" s="11"/>
      <c r="B95" s="2"/>
      <c r="C95" s="2"/>
      <c r="D95" s="2"/>
      <c r="E95" s="2"/>
      <c r="F95" s="2"/>
      <c r="G95" s="33"/>
      <c r="H95" s="33"/>
      <c r="I95" s="8"/>
      <c r="J95" s="2"/>
      <c r="K95" s="34"/>
    </row>
    <row r="96" spans="1:11">
      <c r="A96" s="11"/>
      <c r="B96" s="2"/>
      <c r="C96" s="2"/>
      <c r="D96" s="2"/>
      <c r="E96" s="2"/>
      <c r="F96" s="2"/>
      <c r="G96" s="33"/>
      <c r="H96" s="33"/>
      <c r="I96" s="8"/>
      <c r="J96" s="2"/>
      <c r="K96" s="34"/>
    </row>
    <row r="97" spans="1:11">
      <c r="A97" s="11"/>
      <c r="B97" s="2"/>
      <c r="C97" s="2"/>
      <c r="D97" s="2"/>
      <c r="E97" s="2"/>
      <c r="F97" s="2"/>
      <c r="G97" s="33"/>
      <c r="H97" s="33"/>
      <c r="I97" s="8"/>
      <c r="J97" s="2"/>
      <c r="K97" s="34"/>
    </row>
    <row r="98" spans="1:11">
      <c r="A98" s="11"/>
      <c r="B98" s="2"/>
      <c r="C98" s="2"/>
      <c r="D98" s="2"/>
      <c r="E98" s="2"/>
      <c r="F98" s="2"/>
      <c r="G98" s="33"/>
      <c r="H98" s="33"/>
      <c r="I98" s="8"/>
      <c r="J98" s="2"/>
      <c r="K98" s="34"/>
    </row>
    <row r="99" spans="1:11">
      <c r="A99" s="11"/>
      <c r="B99" s="2"/>
      <c r="C99" s="2"/>
      <c r="D99" s="2"/>
      <c r="E99" s="2"/>
      <c r="F99" s="2"/>
      <c r="G99" s="33"/>
      <c r="H99" s="33"/>
      <c r="I99" s="8"/>
      <c r="J99" s="2"/>
      <c r="K99" s="34"/>
    </row>
    <row r="100" spans="1:11">
      <c r="A100" s="11"/>
      <c r="B100" s="2"/>
      <c r="C100" s="2"/>
      <c r="D100" s="2"/>
      <c r="E100" s="2"/>
      <c r="F100" s="2"/>
      <c r="G100" s="33"/>
      <c r="H100" s="33"/>
      <c r="I100" s="8"/>
      <c r="J100" s="2"/>
      <c r="K100" s="34"/>
    </row>
    <row r="101" spans="1:11">
      <c r="A101" s="11"/>
      <c r="B101" s="2"/>
      <c r="C101" s="2"/>
      <c r="D101" s="2"/>
      <c r="E101" s="2"/>
      <c r="F101" s="2"/>
      <c r="G101" s="33"/>
      <c r="H101" s="33"/>
      <c r="I101" s="8"/>
      <c r="J101" s="2"/>
      <c r="K101" s="34"/>
    </row>
    <row r="102" spans="1:11">
      <c r="A102" s="11"/>
      <c r="B102" s="2"/>
      <c r="C102" s="2"/>
      <c r="D102" s="2"/>
      <c r="E102" s="2"/>
      <c r="F102" s="2"/>
      <c r="G102" s="33"/>
      <c r="H102" s="33"/>
      <c r="I102" s="8"/>
      <c r="J102" s="2"/>
      <c r="K102" s="34"/>
    </row>
    <row r="103" spans="1:11">
      <c r="A103" s="11"/>
      <c r="B103" s="2"/>
      <c r="C103" s="2"/>
      <c r="D103" s="2"/>
      <c r="E103" s="2"/>
      <c r="F103" s="2"/>
      <c r="G103" s="33"/>
      <c r="H103" s="33"/>
      <c r="I103" s="8"/>
      <c r="J103" s="2"/>
      <c r="K103" s="34"/>
    </row>
    <row r="104" spans="1:11">
      <c r="A104" s="11"/>
      <c r="B104" s="2"/>
      <c r="C104" s="2"/>
      <c r="D104" s="2"/>
      <c r="E104" s="2"/>
      <c r="F104" s="2"/>
      <c r="G104" s="33"/>
      <c r="H104" s="33"/>
      <c r="I104" s="8"/>
      <c r="J104" s="2"/>
      <c r="K104" s="34"/>
    </row>
    <row r="105" spans="1:11">
      <c r="A105" s="11"/>
      <c r="B105" s="2"/>
      <c r="C105" s="2"/>
      <c r="D105" s="2"/>
      <c r="E105" s="2"/>
      <c r="F105" s="2"/>
      <c r="G105" s="33"/>
      <c r="H105" s="33"/>
      <c r="I105" s="8"/>
      <c r="J105" s="2"/>
      <c r="K105" s="34"/>
    </row>
    <row r="106" spans="1:11">
      <c r="A106" s="11"/>
      <c r="B106" s="2"/>
      <c r="C106" s="2"/>
      <c r="D106" s="2"/>
      <c r="E106" s="2"/>
      <c r="F106" s="2"/>
      <c r="G106" s="33"/>
      <c r="H106" s="33"/>
      <c r="I106" s="8"/>
      <c r="J106" s="2"/>
      <c r="K106" s="34"/>
    </row>
    <row r="107" spans="1:11">
      <c r="A107" s="11"/>
      <c r="B107" s="2"/>
      <c r="C107" s="2"/>
      <c r="D107" s="2"/>
      <c r="E107" s="2"/>
      <c r="F107" s="2"/>
      <c r="G107" s="33"/>
      <c r="H107" s="33"/>
      <c r="I107" s="8"/>
      <c r="J107" s="2"/>
      <c r="K107" s="34"/>
    </row>
    <row r="108" spans="1:11">
      <c r="A108" s="11"/>
      <c r="B108" s="2"/>
      <c r="C108" s="2"/>
      <c r="D108" s="2"/>
      <c r="E108" s="2"/>
      <c r="F108" s="2"/>
      <c r="G108" s="33"/>
      <c r="H108" s="33"/>
      <c r="I108" s="8"/>
      <c r="J108" s="2"/>
      <c r="K108" s="34"/>
    </row>
    <row r="109" spans="1:11">
      <c r="A109" s="11"/>
      <c r="B109" s="2"/>
      <c r="C109" s="2"/>
      <c r="D109" s="2"/>
      <c r="E109" s="2"/>
      <c r="F109" s="2"/>
      <c r="G109" s="33"/>
      <c r="H109" s="33"/>
      <c r="I109" s="8"/>
      <c r="J109" s="2"/>
      <c r="K109" s="34"/>
    </row>
    <row r="110" spans="1:11">
      <c r="A110" s="11"/>
      <c r="B110" s="2"/>
      <c r="C110" s="2"/>
      <c r="D110" s="2"/>
      <c r="E110" s="2"/>
      <c r="F110" s="2"/>
      <c r="G110" s="33"/>
      <c r="H110" s="33"/>
      <c r="I110" s="8"/>
      <c r="J110" s="2"/>
      <c r="K110" s="34"/>
    </row>
    <row r="111" spans="1:11">
      <c r="A111" s="11"/>
      <c r="B111" s="2"/>
      <c r="C111" s="2"/>
      <c r="D111" s="2"/>
      <c r="E111" s="2"/>
      <c r="F111" s="2"/>
      <c r="G111" s="33"/>
      <c r="H111" s="33"/>
      <c r="I111" s="8"/>
      <c r="J111" s="2"/>
      <c r="K111" s="34"/>
    </row>
    <row r="112" spans="1:11">
      <c r="A112" s="11"/>
      <c r="B112" s="2"/>
      <c r="C112" s="2"/>
      <c r="D112" s="2"/>
      <c r="E112" s="2"/>
      <c r="F112" s="2"/>
      <c r="G112" s="33"/>
      <c r="H112" s="33"/>
      <c r="I112" s="8"/>
      <c r="J112" s="2"/>
      <c r="K112" s="34"/>
    </row>
    <row r="113" spans="1:11">
      <c r="A113" s="11"/>
      <c r="B113" s="2"/>
      <c r="C113" s="2"/>
      <c r="D113" s="2"/>
      <c r="E113" s="2"/>
      <c r="F113" s="2"/>
      <c r="G113" s="33"/>
      <c r="H113" s="33"/>
      <c r="I113" s="8"/>
      <c r="J113" s="2"/>
      <c r="K113" s="34"/>
    </row>
    <row r="114" spans="1:11">
      <c r="A114" s="11"/>
      <c r="B114" s="2"/>
      <c r="C114" s="2"/>
      <c r="D114" s="2"/>
      <c r="E114" s="2"/>
      <c r="F114" s="2"/>
      <c r="G114" s="33"/>
      <c r="H114" s="33"/>
      <c r="I114" s="8"/>
      <c r="J114" s="2"/>
      <c r="K114" s="34"/>
    </row>
    <row r="115" spans="1:11">
      <c r="A115" s="11"/>
      <c r="B115" s="2"/>
      <c r="C115" s="2"/>
      <c r="D115" s="2"/>
      <c r="E115" s="2"/>
      <c r="F115" s="2"/>
      <c r="G115" s="33"/>
      <c r="H115" s="33"/>
      <c r="I115" s="8"/>
      <c r="J115" s="2"/>
      <c r="K115" s="34"/>
    </row>
    <row r="116" spans="1:11">
      <c r="A116" s="11"/>
      <c r="B116" s="2"/>
      <c r="C116" s="2"/>
      <c r="D116" s="2"/>
      <c r="E116" s="2"/>
      <c r="F116" s="2"/>
      <c r="G116" s="33"/>
      <c r="H116" s="33"/>
      <c r="I116" s="8"/>
      <c r="J116" s="2"/>
      <c r="K116" s="34"/>
    </row>
    <row r="117" spans="1:11">
      <c r="A117" s="11"/>
      <c r="B117" s="2"/>
      <c r="C117" s="2"/>
      <c r="D117" s="2"/>
      <c r="E117" s="2"/>
      <c r="F117" s="2"/>
      <c r="G117" s="33"/>
      <c r="H117" s="33"/>
      <c r="I117" s="8"/>
      <c r="J117" s="2"/>
      <c r="K117" s="34"/>
    </row>
    <row r="118" spans="1:11">
      <c r="A118" s="11"/>
      <c r="B118" s="2"/>
      <c r="C118" s="2"/>
      <c r="D118" s="2"/>
      <c r="E118" s="2"/>
      <c r="F118" s="2"/>
      <c r="G118" s="33"/>
      <c r="H118" s="33"/>
      <c r="I118" s="8"/>
      <c r="J118" s="2"/>
      <c r="K118" s="34"/>
    </row>
    <row r="119" spans="1:11">
      <c r="A119" s="11"/>
      <c r="B119" s="2"/>
      <c r="C119" s="2"/>
      <c r="D119" s="2"/>
      <c r="E119" s="2"/>
      <c r="F119" s="2"/>
      <c r="G119" s="33"/>
      <c r="H119" s="33"/>
      <c r="I119" s="8"/>
      <c r="J119" s="2"/>
      <c r="K119" s="34"/>
    </row>
    <row r="120" spans="1:11">
      <c r="A120" s="11"/>
      <c r="B120" s="2"/>
      <c r="C120" s="2"/>
      <c r="D120" s="2"/>
      <c r="E120" s="2"/>
      <c r="F120" s="2"/>
      <c r="G120" s="33"/>
      <c r="H120" s="33"/>
      <c r="I120" s="8"/>
      <c r="J120" s="2"/>
      <c r="K120" s="34"/>
    </row>
    <row r="121" spans="1:11">
      <c r="A121" s="11"/>
      <c r="B121" s="2"/>
      <c r="C121" s="2"/>
      <c r="D121" s="2"/>
      <c r="E121" s="2"/>
      <c r="F121" s="2"/>
      <c r="G121" s="33"/>
      <c r="H121" s="33"/>
      <c r="I121" s="8"/>
      <c r="J121" s="2"/>
      <c r="K121" s="34"/>
    </row>
    <row r="122" spans="1:11">
      <c r="A122" s="11"/>
      <c r="B122" s="2"/>
      <c r="C122" s="2"/>
      <c r="D122" s="2"/>
      <c r="E122" s="2"/>
      <c r="F122" s="2"/>
      <c r="G122" s="33"/>
      <c r="H122" s="33"/>
      <c r="I122" s="8"/>
      <c r="J122" s="2"/>
      <c r="K122" s="34"/>
    </row>
    <row r="123" spans="1:11">
      <c r="A123" s="11"/>
      <c r="B123" s="2"/>
      <c r="C123" s="2"/>
      <c r="D123" s="2"/>
      <c r="E123" s="2"/>
      <c r="F123" s="2"/>
      <c r="G123" s="33"/>
      <c r="H123" s="33"/>
      <c r="I123" s="8"/>
      <c r="J123" s="2"/>
      <c r="K123" s="34"/>
    </row>
    <row r="124" spans="1:11">
      <c r="A124" s="11"/>
    </row>
  </sheetData>
  <mergeCells count="2">
    <mergeCell ref="Q2:W2"/>
    <mergeCell ref="Q52:W52"/>
  </mergeCell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showGridLines="0" workbookViewId="0">
      <selection activeCell="B20" sqref="B20"/>
    </sheetView>
  </sheetViews>
  <sheetFormatPr defaultColWidth="11.42578125" defaultRowHeight="14.45"/>
  <cols>
    <col min="2" max="2" width="14.5703125" bestFit="1" customWidth="1"/>
    <col min="3" max="3" width="16.28515625" bestFit="1" customWidth="1"/>
    <col min="4" max="4" width="14.5703125" bestFit="1" customWidth="1"/>
  </cols>
  <sheetData>
    <row r="1" spans="1:4" ht="15" customHeight="1" thickBot="1"/>
    <row r="2" spans="1:4" ht="15" customHeight="1" thickBot="1">
      <c r="A2" s="125" t="s">
        <v>23</v>
      </c>
      <c r="B2" s="130"/>
      <c r="C2" s="130"/>
      <c r="D2" s="131"/>
    </row>
    <row r="3" spans="1:4" ht="26.45" customHeight="1">
      <c r="A3" s="23" t="s">
        <v>36</v>
      </c>
      <c r="B3" s="16" t="s">
        <v>37</v>
      </c>
      <c r="C3" s="17" t="s">
        <v>46</v>
      </c>
      <c r="D3" s="24" t="s">
        <v>47</v>
      </c>
    </row>
    <row r="4" spans="1:4">
      <c r="A4" s="25"/>
      <c r="B4" s="22"/>
      <c r="C4" s="22"/>
      <c r="D4" s="26"/>
    </row>
    <row r="5" spans="1:4">
      <c r="A5" s="25"/>
      <c r="B5" s="22"/>
      <c r="C5" s="22"/>
      <c r="D5" s="27"/>
    </row>
    <row r="6" spans="1:4" ht="15" customHeight="1" thickBot="1">
      <c r="A6" s="28"/>
      <c r="B6" s="29"/>
      <c r="C6" s="30"/>
      <c r="D6" s="31"/>
    </row>
  </sheetData>
  <mergeCells count="1">
    <mergeCell ref="A2:D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26"/>
  <sheetViews>
    <sheetView topLeftCell="A9" workbookViewId="0">
      <selection activeCell="F19" sqref="F19"/>
    </sheetView>
  </sheetViews>
  <sheetFormatPr defaultColWidth="11.42578125" defaultRowHeight="15" customHeight="1"/>
  <cols>
    <col min="1" max="4" width="13.5703125" bestFit="1" customWidth="1"/>
    <col min="6" max="6" width="13.5703125" customWidth="1"/>
    <col min="8" max="11" width="13.5703125" bestFit="1" customWidth="1"/>
    <col min="12" max="12" width="13.140625" customWidth="1"/>
    <col min="13" max="13" width="16.140625" customWidth="1"/>
  </cols>
  <sheetData>
    <row r="2" spans="1:13" ht="14.45" customHeight="1">
      <c r="A2" s="128" t="s">
        <v>48</v>
      </c>
      <c r="B2" s="132"/>
      <c r="C2" s="132"/>
      <c r="D2" s="133"/>
      <c r="G2" s="126" t="s">
        <v>49</v>
      </c>
      <c r="H2" s="132"/>
      <c r="I2" s="132"/>
      <c r="J2" s="133"/>
    </row>
    <row r="4" spans="1:13" ht="26.45" customHeight="1">
      <c r="A4" s="43" t="s">
        <v>36</v>
      </c>
      <c r="B4" s="44" t="s">
        <v>37</v>
      </c>
      <c r="C4" s="45" t="s">
        <v>46</v>
      </c>
      <c r="D4" s="51" t="s">
        <v>47</v>
      </c>
      <c r="F4" s="46" t="s">
        <v>50</v>
      </c>
      <c r="G4" s="46" t="s">
        <v>36</v>
      </c>
      <c r="H4" s="47" t="s">
        <v>37</v>
      </c>
      <c r="I4" s="48" t="s">
        <v>46</v>
      </c>
      <c r="J4" s="48" t="s">
        <v>51</v>
      </c>
    </row>
    <row r="5" spans="1:13" ht="14.45" customHeight="1">
      <c r="A5" s="50">
        <v>45092</v>
      </c>
      <c r="B5" s="22">
        <v>11579428</v>
      </c>
      <c r="C5" s="22">
        <v>5047163</v>
      </c>
      <c r="D5" s="22">
        <f>+C5+B5</f>
        <v>16626591</v>
      </c>
      <c r="F5" s="49">
        <v>1</v>
      </c>
      <c r="G5" s="38">
        <v>45092</v>
      </c>
      <c r="H5" s="18">
        <v>11579428</v>
      </c>
      <c r="I5" s="18">
        <v>5047163</v>
      </c>
      <c r="J5" s="40">
        <f>+H5+I5</f>
        <v>16626591</v>
      </c>
    </row>
    <row r="6" spans="1:13" ht="14.45" customHeight="1">
      <c r="A6" s="38">
        <v>45121</v>
      </c>
      <c r="B6" s="22">
        <v>11095536</v>
      </c>
      <c r="C6" s="52">
        <v>5531054</v>
      </c>
      <c r="D6" s="22">
        <f>+C6+B6</f>
        <v>16626590</v>
      </c>
      <c r="F6" s="37">
        <v>2</v>
      </c>
      <c r="G6" s="38">
        <v>45122</v>
      </c>
      <c r="H6" s="22">
        <v>11478140</v>
      </c>
      <c r="I6" s="22">
        <v>5148450</v>
      </c>
      <c r="J6" s="40">
        <f>SUM(H6:I6)</f>
        <v>16626590</v>
      </c>
    </row>
    <row r="7" spans="1:13" ht="14.45" customHeight="1">
      <c r="A7" s="38">
        <v>45153</v>
      </c>
      <c r="B7" s="22"/>
      <c r="C7" s="22"/>
      <c r="D7" s="22">
        <f>+C7+B7</f>
        <v>0</v>
      </c>
      <c r="F7" s="37">
        <v>3</v>
      </c>
      <c r="G7" s="38">
        <v>45153</v>
      </c>
      <c r="H7" s="22">
        <v>11368085</v>
      </c>
      <c r="I7" s="22">
        <v>5247935</v>
      </c>
      <c r="J7" s="40">
        <f>SUM(H7:I7)</f>
        <v>16616020</v>
      </c>
    </row>
    <row r="8" spans="1:13" ht="14.45" customHeight="1">
      <c r="A8" s="39"/>
      <c r="B8" s="41"/>
      <c r="C8" s="40"/>
      <c r="D8" s="40"/>
    </row>
    <row r="11" spans="1:13" ht="14.45" customHeight="1">
      <c r="A11" s="129" t="s">
        <v>45</v>
      </c>
      <c r="B11" s="132"/>
      <c r="C11" s="132"/>
      <c r="D11" s="133"/>
    </row>
    <row r="13" spans="1:13" ht="15" customHeight="1">
      <c r="A13" s="42">
        <v>45047</v>
      </c>
      <c r="B13" s="42">
        <v>45078</v>
      </c>
      <c r="C13" s="42">
        <v>45108</v>
      </c>
    </row>
    <row r="14" spans="1:13" ht="31.5" customHeight="1">
      <c r="A14" s="21">
        <v>5789714.166666666</v>
      </c>
      <c r="B14" s="21">
        <v>5789714</v>
      </c>
      <c r="C14" s="21">
        <v>5356465.8998543695</v>
      </c>
      <c r="H14" s="127" t="s">
        <v>52</v>
      </c>
      <c r="I14" s="134"/>
      <c r="J14" s="134"/>
      <c r="K14" s="134"/>
      <c r="L14" s="134"/>
      <c r="M14" s="135"/>
    </row>
    <row r="15" spans="1:13" ht="26.1" customHeight="1">
      <c r="A15" s="35"/>
      <c r="B15" s="36">
        <v>5739070.1001456305</v>
      </c>
      <c r="C15" s="36">
        <v>5684042.6006204812</v>
      </c>
      <c r="H15" s="74" t="s">
        <v>36</v>
      </c>
      <c r="I15" s="75" t="s">
        <v>37</v>
      </c>
      <c r="J15" s="76" t="s">
        <v>53</v>
      </c>
      <c r="K15" s="75" t="s">
        <v>39</v>
      </c>
      <c r="L15" s="76" t="s">
        <v>41</v>
      </c>
      <c r="M15" s="77" t="s">
        <v>54</v>
      </c>
    </row>
    <row r="16" spans="1:13" ht="14.45" customHeight="1">
      <c r="A16" s="21">
        <f>SUM(A14:A15)</f>
        <v>5789714.166666666</v>
      </c>
      <c r="B16" s="21">
        <f>SUM(B14:B15)</f>
        <v>11528784.100145631</v>
      </c>
      <c r="C16" s="21">
        <f>SUM(C14:C15)</f>
        <v>11040508.500474852</v>
      </c>
      <c r="H16" s="78">
        <v>45280</v>
      </c>
      <c r="I16" s="68">
        <v>1954686</v>
      </c>
      <c r="J16" s="68">
        <v>1290201</v>
      </c>
      <c r="K16" s="68"/>
      <c r="L16" s="68">
        <f>SUM(I16:K16)</f>
        <v>3244887</v>
      </c>
      <c r="M16" s="69">
        <f>+INGEOROZCOL!B4-J16</f>
        <v>99466799</v>
      </c>
    </row>
    <row r="17" spans="1:13" ht="15" customHeight="1">
      <c r="H17" s="72">
        <v>45314</v>
      </c>
      <c r="I17" s="68">
        <v>1910260</v>
      </c>
      <c r="J17" s="68">
        <v>1318764</v>
      </c>
      <c r="K17" s="68">
        <v>3144</v>
      </c>
      <c r="L17" s="68">
        <f>SUM(I17:K17)</f>
        <v>3232168</v>
      </c>
      <c r="M17" s="69">
        <f>+M16-J17</f>
        <v>98148035</v>
      </c>
    </row>
    <row r="18" spans="1:13" ht="14.45" customHeight="1">
      <c r="A18" s="21">
        <f>+A16+B14</f>
        <v>11579428.166666666</v>
      </c>
      <c r="B18" s="21">
        <f>+B15+C14</f>
        <v>11095536</v>
      </c>
      <c r="H18" s="72">
        <v>45344</v>
      </c>
      <c r="I18" s="68">
        <v>1863363</v>
      </c>
      <c r="J18" s="68">
        <v>1355807</v>
      </c>
      <c r="K18" s="68">
        <v>2226</v>
      </c>
      <c r="L18" s="68">
        <f>SUM(I18:K18)</f>
        <v>3221396</v>
      </c>
      <c r="M18" s="69">
        <f>+M17-J18</f>
        <v>96792228</v>
      </c>
    </row>
    <row r="19" spans="1:13" ht="15" customHeight="1">
      <c r="H19" s="72">
        <v>45371</v>
      </c>
      <c r="I19" s="68">
        <v>1839738</v>
      </c>
      <c r="J19" s="68">
        <v>1381911</v>
      </c>
      <c r="K19" s="68">
        <v>49</v>
      </c>
      <c r="L19" s="68">
        <f>SUM(I19:K19)</f>
        <v>3221698</v>
      </c>
      <c r="M19" s="69">
        <f>+M18-J19</f>
        <v>95410317</v>
      </c>
    </row>
    <row r="20" spans="1:13" ht="15" customHeight="1">
      <c r="H20" s="72">
        <v>45405</v>
      </c>
      <c r="I20" s="68">
        <v>1786081</v>
      </c>
      <c r="J20" s="68">
        <v>1412549</v>
      </c>
      <c r="K20" s="68">
        <v>3197</v>
      </c>
      <c r="L20" s="68">
        <f>SUM(I20:K20)</f>
        <v>3201827</v>
      </c>
      <c r="M20" s="69">
        <f>+M19-J20</f>
        <v>93997768</v>
      </c>
    </row>
    <row r="21" spans="1:13" ht="15" customHeight="1">
      <c r="H21" s="72">
        <v>45434</v>
      </c>
      <c r="I21" s="68">
        <v>1730127</v>
      </c>
      <c r="J21" s="68">
        <v>1454053</v>
      </c>
      <c r="K21" s="68">
        <v>2165</v>
      </c>
      <c r="L21" s="68">
        <f>SUM(I21:K21)</f>
        <v>3186345</v>
      </c>
      <c r="M21" s="69">
        <f>+M20-J21</f>
        <v>92543715</v>
      </c>
    </row>
    <row r="22" spans="1:13" ht="15" customHeight="1">
      <c r="H22" s="72">
        <v>45467</v>
      </c>
      <c r="I22" s="68">
        <v>1693359</v>
      </c>
      <c r="J22" s="68">
        <v>1481100</v>
      </c>
      <c r="K22" s="68">
        <v>4230</v>
      </c>
      <c r="L22" s="68">
        <f>SUM(I22:K22)</f>
        <v>3178689</v>
      </c>
      <c r="M22" s="69">
        <f>+M21-J22</f>
        <v>91062615</v>
      </c>
    </row>
    <row r="23" spans="1:13" ht="15" customHeight="1">
      <c r="H23" s="72">
        <v>45497</v>
      </c>
      <c r="I23" s="68">
        <v>1652869</v>
      </c>
      <c r="J23" s="68">
        <v>1522931</v>
      </c>
      <c r="K23" s="68">
        <v>4200</v>
      </c>
      <c r="L23" s="68">
        <f>SUM(I23:K23)</f>
        <v>3180000</v>
      </c>
      <c r="M23" s="69">
        <f>+M22-J23</f>
        <v>89539684</v>
      </c>
    </row>
    <row r="24" spans="1:13" ht="15" customHeight="1">
      <c r="H24" s="72">
        <v>45530</v>
      </c>
      <c r="I24" s="68">
        <v>1569466</v>
      </c>
      <c r="J24" s="68">
        <v>1554264</v>
      </c>
      <c r="K24" s="68">
        <v>6270</v>
      </c>
      <c r="L24" s="68">
        <f>SUM(I24:K24)</f>
        <v>3130000</v>
      </c>
      <c r="M24" s="69">
        <f>+M23-J24</f>
        <v>87985420</v>
      </c>
    </row>
    <row r="25" spans="1:13" ht="15" customHeight="1">
      <c r="H25" s="72">
        <v>45568</v>
      </c>
      <c r="I25" s="68">
        <v>1743476</v>
      </c>
      <c r="J25" s="68">
        <v>1582811</v>
      </c>
      <c r="K25" s="68">
        <v>13792</v>
      </c>
      <c r="L25" s="68">
        <f>SUM(I25:K25)</f>
        <v>3340079</v>
      </c>
      <c r="M25" s="69">
        <f>+M24-J25</f>
        <v>86402609</v>
      </c>
    </row>
    <row r="26" spans="1:13" ht="15" customHeight="1">
      <c r="H26" s="73">
        <v>45586</v>
      </c>
      <c r="I26" s="70">
        <v>1491392</v>
      </c>
      <c r="J26" s="70">
        <v>1642269</v>
      </c>
      <c r="K26" s="70">
        <v>1239</v>
      </c>
      <c r="L26" s="70">
        <f>SUM(I26:K26)</f>
        <v>3134900</v>
      </c>
      <c r="M26" s="71">
        <f>+M25-J26</f>
        <v>84760340</v>
      </c>
    </row>
  </sheetData>
  <mergeCells count="4">
    <mergeCell ref="G2:J2"/>
    <mergeCell ref="H14:M14"/>
    <mergeCell ref="A2:D2"/>
    <mergeCell ref="A11:D1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"/>
  <sheetViews>
    <sheetView workbookViewId="0"/>
  </sheetViews>
  <sheetFormatPr defaultRowHeight="15"/>
  <sheetData>
    <row r="1" spans="1:2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</row>
    <row r="2" spans="1:21">
      <c r="A2" t="s">
        <v>76</v>
      </c>
      <c r="B2" t="s">
        <v>77</v>
      </c>
      <c r="C2" t="s">
        <v>78</v>
      </c>
      <c r="D2" t="s">
        <v>79</v>
      </c>
      <c r="E2">
        <v>66</v>
      </c>
      <c r="F2" t="s">
        <v>80</v>
      </c>
      <c r="G2" t="s">
        <v>81</v>
      </c>
      <c r="H2" t="s">
        <v>82</v>
      </c>
      <c r="I2" t="s">
        <v>83</v>
      </c>
      <c r="J2">
        <v>66</v>
      </c>
      <c r="K2">
        <v>35</v>
      </c>
      <c r="L2" t="s">
        <v>84</v>
      </c>
      <c r="M2" t="s">
        <v>85</v>
      </c>
      <c r="N2" t="s">
        <v>80</v>
      </c>
      <c r="O2" t="s">
        <v>86</v>
      </c>
      <c r="Q2" t="s">
        <v>87</v>
      </c>
      <c r="R2" t="s">
        <v>86</v>
      </c>
      <c r="S2" t="s">
        <v>88</v>
      </c>
      <c r="T2" t="s">
        <v>89</v>
      </c>
      <c r="U2" t="s">
        <v>90</v>
      </c>
    </row>
  </sheetData>
  <sheetProtection password="CE4B" sheet="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Props1.xml><?xml version="1.0" encoding="utf-8"?>
<ds:datastoreItem xmlns:ds="http://schemas.openxmlformats.org/officeDocument/2006/customXml" ds:itemID="{B8294C03-B16D-4649-BDC7-4A9F78EDDA62}"/>
</file>

<file path=customXml/itemProps2.xml><?xml version="1.0" encoding="utf-8"?>
<ds:datastoreItem xmlns:ds="http://schemas.openxmlformats.org/officeDocument/2006/customXml" ds:itemID="{2535E1DF-F8A3-4262-97F2-F0C22CD6F09F}"/>
</file>

<file path=customXml/itemProps3.xml><?xml version="1.0" encoding="utf-8"?>
<ds:datastoreItem xmlns:ds="http://schemas.openxmlformats.org/officeDocument/2006/customXml" ds:itemID="{B4DEDA81-8E6B-430C-80E4-A881A74CAF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/>
  <cp:revision/>
  <dcterms:created xsi:type="dcterms:W3CDTF">2022-09-29T19:09:30Z</dcterms:created>
  <dcterms:modified xsi:type="dcterms:W3CDTF">2026-08-21T10:55:36Z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