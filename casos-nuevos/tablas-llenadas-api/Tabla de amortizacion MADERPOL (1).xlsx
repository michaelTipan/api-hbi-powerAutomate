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5C275244-FAFE-4FD5-B600-DE420C747E2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saImplicita" sheetId="1" state="hidden" r:id="rId1"/>
    <sheet name="MADERPOL" sheetId="2" r:id="rId2"/>
    <sheet name="RETENCIONES" sheetId="3" r:id="rId3"/>
    <sheet name="Hoja1" sheetId="4" state="hidden" r:id="rId4"/>
    <sheet name="Hoja2" sheetId="5" state="hidden" r:id="rId5"/>
    <sheet name="_AUTOMATION_LO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C16" i="5"/>
  <c r="B16" i="5"/>
  <c r="A16" i="5"/>
  <c r="A18" i="5" s="1"/>
  <c r="J7" i="5"/>
  <c r="D7" i="5"/>
  <c r="J6" i="5"/>
  <c r="D6" i="5"/>
  <c r="J5" i="5"/>
  <c r="D5" i="5"/>
  <c r="D15" i="2"/>
  <c r="P14" i="2"/>
  <c r="D14" i="2"/>
  <c r="W13" i="2"/>
  <c r="O13" i="2"/>
  <c r="P13" i="2" s="1"/>
  <c r="D13" i="2"/>
  <c r="W12" i="2"/>
  <c r="W11" i="2"/>
  <c r="D11" i="2"/>
  <c r="W10" i="2"/>
  <c r="D10" i="2"/>
  <c r="W9" i="2"/>
  <c r="D9" i="2"/>
  <c r="W8" i="2"/>
  <c r="D8" i="2"/>
  <c r="W7" i="2"/>
  <c r="D7" i="2"/>
  <c r="W6" i="2"/>
  <c r="D6" i="2"/>
  <c r="W5" i="2"/>
  <c r="D5" i="2"/>
  <c r="W4" i="2"/>
  <c r="H4" i="2"/>
  <c r="I4" i="2" s="1"/>
  <c r="D4" i="2"/>
  <c r="B4" i="2"/>
  <c r="A4" i="2"/>
  <c r="F1" i="2"/>
  <c r="F2" i="2" s="1"/>
  <c r="E4" i="2" s="1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D51" i="3"/>
  <c r="D50" i="3"/>
  <c r="D52" i="3" s="1"/>
  <c r="C47" i="3"/>
  <c r="C49" i="3" s="1"/>
  <c r="D44" i="3"/>
  <c r="C41" i="3"/>
  <c r="C43" i="3" s="1"/>
  <c r="D38" i="3"/>
  <c r="C35" i="3"/>
  <c r="C37" i="3" s="1"/>
  <c r="D32" i="3"/>
  <c r="C31" i="3"/>
  <c r="D26" i="3"/>
  <c r="C23" i="3"/>
  <c r="C25" i="3" s="1"/>
  <c r="D20" i="3"/>
  <c r="C17" i="3"/>
  <c r="C19" i="3" s="1"/>
  <c r="D14" i="3"/>
  <c r="C13" i="3"/>
  <c r="D7" i="3"/>
  <c r="D6" i="3"/>
  <c r="D8" i="3" s="1"/>
  <c r="C5" i="3"/>
  <c r="C12" i="1" l="1"/>
  <c r="A14" i="1"/>
  <c r="B13" i="1"/>
  <c r="A5" i="2"/>
  <c r="K4" i="2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F4" i="2"/>
  <c r="C4" i="2"/>
  <c r="O4" i="2" s="1"/>
  <c r="J4" i="2"/>
  <c r="Z9" i="2" l="1"/>
  <c r="P4" i="2"/>
  <c r="Y9" i="2" s="1"/>
  <c r="Y11" i="2" s="1"/>
  <c r="A6" i="2"/>
  <c r="M5" i="2"/>
  <c r="N5" i="2" s="1"/>
  <c r="L5" i="2"/>
  <c r="K5" i="2"/>
  <c r="H5" i="2"/>
  <c r="I5" i="2" s="1"/>
  <c r="E5" i="2"/>
  <c r="B5" i="2"/>
  <c r="C13" i="1"/>
  <c r="A15" i="1"/>
  <c r="C14" i="1"/>
  <c r="B14" i="1"/>
  <c r="A16" i="1" l="1"/>
  <c r="C15" i="1"/>
  <c r="B15" i="1"/>
  <c r="F5" i="2"/>
  <c r="C5" i="2"/>
  <c r="O5" i="2" s="1"/>
  <c r="J5" i="2"/>
  <c r="A7" i="2"/>
  <c r="M6" i="2"/>
  <c r="N6" i="2" s="1"/>
  <c r="L6" i="2"/>
  <c r="K6" i="2"/>
  <c r="H6" i="2"/>
  <c r="I6" i="2" s="1"/>
  <c r="E6" i="2"/>
  <c r="B6" i="2"/>
  <c r="F6" i="2" l="1"/>
  <c r="C6" i="2"/>
  <c r="O6" i="2" s="1"/>
  <c r="J6" i="2"/>
  <c r="A8" i="2"/>
  <c r="M7" i="2"/>
  <c r="N7" i="2" s="1"/>
  <c r="L7" i="2"/>
  <c r="H7" i="2"/>
  <c r="I7" i="2" s="1"/>
  <c r="E7" i="2"/>
  <c r="B7" i="2"/>
  <c r="K7" i="2"/>
  <c r="AA9" i="2"/>
  <c r="P5" i="2"/>
  <c r="Z10" i="2" s="1"/>
  <c r="Z11" i="2" s="1"/>
  <c r="A17" i="1"/>
  <c r="C16" i="1"/>
  <c r="B16" i="1"/>
  <c r="A18" i="1" l="1"/>
  <c r="C17" i="1"/>
  <c r="B17" i="1"/>
  <c r="F7" i="2"/>
  <c r="C7" i="2"/>
  <c r="O7" i="2" s="1"/>
  <c r="J7" i="2"/>
  <c r="A9" i="2"/>
  <c r="M8" i="2"/>
  <c r="N8" i="2" s="1"/>
  <c r="L8" i="2"/>
  <c r="H8" i="2"/>
  <c r="I8" i="2" s="1"/>
  <c r="E8" i="2"/>
  <c r="B8" i="2"/>
  <c r="K8" i="2"/>
  <c r="AB9" i="2"/>
  <c r="P6" i="2"/>
  <c r="AA10" i="2" s="1"/>
  <c r="AA11" i="2" s="1"/>
  <c r="F8" i="2" l="1"/>
  <c r="C8" i="2"/>
  <c r="O8" i="2" s="1"/>
  <c r="J8" i="2"/>
  <c r="A10" i="2"/>
  <c r="M9" i="2"/>
  <c r="N9" i="2" s="1"/>
  <c r="L9" i="2"/>
  <c r="H9" i="2"/>
  <c r="I9" i="2" s="1"/>
  <c r="E9" i="2"/>
  <c r="B9" i="2"/>
  <c r="K9" i="2"/>
  <c r="AC9" i="2"/>
  <c r="P7" i="2"/>
  <c r="AB10" i="2" s="1"/>
  <c r="AB11" i="2" s="1"/>
  <c r="A19" i="1"/>
  <c r="C18" i="1"/>
  <c r="B18" i="1"/>
  <c r="A20" i="1" l="1"/>
  <c r="C19" i="1"/>
  <c r="B19" i="1"/>
  <c r="F9" i="2"/>
  <c r="C9" i="2"/>
  <c r="O9" i="2" s="1"/>
  <c r="J9" i="2"/>
  <c r="A11" i="2"/>
  <c r="M10" i="2"/>
  <c r="N10" i="2" s="1"/>
  <c r="L10" i="2"/>
  <c r="H10" i="2"/>
  <c r="I10" i="2" s="1"/>
  <c r="E10" i="2"/>
  <c r="B10" i="2"/>
  <c r="K10" i="2"/>
  <c r="AD9" i="2"/>
  <c r="P8" i="2"/>
  <c r="AC10" i="2" s="1"/>
  <c r="AC11" i="2" s="1"/>
  <c r="F10" i="2" l="1"/>
  <c r="C10" i="2"/>
  <c r="O10" i="2" s="1"/>
  <c r="J10" i="2"/>
  <c r="A12" i="2"/>
  <c r="M11" i="2"/>
  <c r="N11" i="2" s="1"/>
  <c r="L11" i="2"/>
  <c r="H11" i="2"/>
  <c r="I11" i="2" s="1"/>
  <c r="E11" i="2"/>
  <c r="B11" i="2"/>
  <c r="K11" i="2"/>
  <c r="AE9" i="2"/>
  <c r="P9" i="2"/>
  <c r="AD10" i="2" s="1"/>
  <c r="AD11" i="2" s="1"/>
  <c r="A21" i="1"/>
  <c r="C20" i="1"/>
  <c r="B20" i="1"/>
  <c r="A22" i="1" l="1"/>
  <c r="C21" i="1"/>
  <c r="B21" i="1"/>
  <c r="F11" i="2"/>
  <c r="C11" i="2"/>
  <c r="O11" i="2" s="1"/>
  <c r="J11" i="2"/>
  <c r="A13" i="2"/>
  <c r="M12" i="2"/>
  <c r="N12" i="2" s="1"/>
  <c r="L12" i="2"/>
  <c r="H12" i="2"/>
  <c r="I12" i="2" s="1"/>
  <c r="E12" i="2"/>
  <c r="B12" i="2"/>
  <c r="K12" i="2"/>
  <c r="P10" i="2"/>
  <c r="AE10" i="2" s="1"/>
  <c r="AE11" i="2" s="1"/>
  <c r="AF9" i="2"/>
  <c r="F12" i="2" l="1"/>
  <c r="C12" i="2"/>
  <c r="O12" i="2" s="1"/>
  <c r="J12" i="2"/>
  <c r="A14" i="2"/>
  <c r="M13" i="2"/>
  <c r="N13" i="2" s="1"/>
  <c r="L13" i="2"/>
  <c r="H13" i="2"/>
  <c r="I13" i="2" s="1"/>
  <c r="E13" i="2"/>
  <c r="B13" i="2"/>
  <c r="K13" i="2"/>
  <c r="P11" i="2"/>
  <c r="AF10" i="2" s="1"/>
  <c r="AF11" i="2" s="1"/>
  <c r="AG9" i="2"/>
  <c r="A23" i="1"/>
  <c r="C22" i="1"/>
  <c r="B22" i="1"/>
  <c r="A24" i="1" l="1"/>
  <c r="C23" i="1"/>
  <c r="B23" i="1"/>
  <c r="F13" i="2"/>
  <c r="C13" i="2"/>
  <c r="J13" i="2"/>
  <c r="A15" i="2"/>
  <c r="M14" i="2"/>
  <c r="N14" i="2" s="1"/>
  <c r="L14" i="2"/>
  <c r="H14" i="2"/>
  <c r="I14" i="2" s="1"/>
  <c r="E14" i="2"/>
  <c r="B14" i="2"/>
  <c r="K14" i="2"/>
  <c r="P12" i="2"/>
  <c r="AG10" i="2" s="1"/>
  <c r="AG11" i="2" s="1"/>
  <c r="AH9" i="2"/>
  <c r="F14" i="2" l="1"/>
  <c r="C14" i="2"/>
  <c r="J14" i="2"/>
  <c r="A16" i="2"/>
  <c r="M15" i="2"/>
  <c r="N15" i="2" s="1"/>
  <c r="L15" i="2"/>
  <c r="H15" i="2"/>
  <c r="I15" i="2" s="1"/>
  <c r="E15" i="2"/>
  <c r="B15" i="2"/>
  <c r="K15" i="2"/>
  <c r="A25" i="1"/>
  <c r="C24" i="1"/>
  <c r="B24" i="1"/>
  <c r="A26" i="1" l="1"/>
  <c r="C25" i="1"/>
  <c r="B25" i="1"/>
  <c r="F15" i="2"/>
  <c r="C15" i="2"/>
  <c r="O15" i="2" s="1"/>
  <c r="P15" i="2" s="1"/>
  <c r="AH10" i="2" s="1"/>
  <c r="AH11" i="2" s="1"/>
  <c r="J15" i="2"/>
  <c r="A17" i="2"/>
  <c r="M16" i="2"/>
  <c r="N16" i="2" s="1"/>
  <c r="L16" i="2"/>
  <c r="H16" i="2"/>
  <c r="I16" i="2" s="1"/>
  <c r="E16" i="2"/>
  <c r="B16" i="2"/>
  <c r="K16" i="2"/>
  <c r="C16" i="2" l="1"/>
  <c r="D16" i="2"/>
  <c r="F16" i="2" s="1"/>
  <c r="J16" i="2"/>
  <c r="A18" i="2"/>
  <c r="M17" i="2"/>
  <c r="N17" i="2" s="1"/>
  <c r="L17" i="2"/>
  <c r="H17" i="2"/>
  <c r="I17" i="2" s="1"/>
  <c r="E17" i="2"/>
  <c r="B17" i="2"/>
  <c r="K17" i="2"/>
  <c r="A27" i="1"/>
  <c r="C26" i="1"/>
  <c r="B26" i="1"/>
  <c r="A28" i="1" l="1"/>
  <c r="C27" i="1"/>
  <c r="B27" i="1"/>
  <c r="C17" i="2"/>
  <c r="D17" i="2"/>
  <c r="F17" i="2" s="1"/>
  <c r="J17" i="2"/>
  <c r="A19" i="2"/>
  <c r="M18" i="2"/>
  <c r="N18" i="2" s="1"/>
  <c r="L18" i="2"/>
  <c r="H18" i="2"/>
  <c r="I18" i="2" s="1"/>
  <c r="E18" i="2"/>
  <c r="B18" i="2"/>
  <c r="K18" i="2"/>
  <c r="C18" i="2" l="1"/>
  <c r="D18" i="2"/>
  <c r="F18" i="2" s="1"/>
  <c r="J18" i="2"/>
  <c r="A20" i="2"/>
  <c r="M19" i="2"/>
  <c r="N19" i="2" s="1"/>
  <c r="L19" i="2"/>
  <c r="H19" i="2"/>
  <c r="I19" i="2" s="1"/>
  <c r="E19" i="2"/>
  <c r="B19" i="2"/>
  <c r="K19" i="2"/>
  <c r="A29" i="1"/>
  <c r="C28" i="1"/>
  <c r="B28" i="1"/>
  <c r="A30" i="1" l="1"/>
  <c r="C29" i="1"/>
  <c r="B29" i="1"/>
  <c r="C19" i="2"/>
  <c r="D19" i="2"/>
  <c r="F19" i="2" s="1"/>
  <c r="J19" i="2"/>
  <c r="A21" i="2"/>
  <c r="M20" i="2"/>
  <c r="N20" i="2" s="1"/>
  <c r="L20" i="2"/>
  <c r="H20" i="2"/>
  <c r="I20" i="2" s="1"/>
  <c r="E20" i="2"/>
  <c r="B20" i="2"/>
  <c r="K20" i="2"/>
  <c r="C20" i="2" l="1"/>
  <c r="D20" i="2"/>
  <c r="F20" i="2" s="1"/>
  <c r="J20" i="2"/>
  <c r="A22" i="2"/>
  <c r="M21" i="2"/>
  <c r="N21" i="2" s="1"/>
  <c r="L21" i="2"/>
  <c r="H21" i="2"/>
  <c r="I21" i="2" s="1"/>
  <c r="E21" i="2"/>
  <c r="B21" i="2"/>
  <c r="K21" i="2"/>
  <c r="A31" i="1"/>
  <c r="C30" i="1"/>
  <c r="B30" i="1"/>
  <c r="A32" i="1" l="1"/>
  <c r="C31" i="1"/>
  <c r="B31" i="1"/>
  <c r="C21" i="2"/>
  <c r="D21" i="2"/>
  <c r="F21" i="2" s="1"/>
  <c r="J21" i="2"/>
  <c r="A23" i="2"/>
  <c r="M22" i="2"/>
  <c r="N22" i="2" s="1"/>
  <c r="L22" i="2"/>
  <c r="H22" i="2"/>
  <c r="I22" i="2" s="1"/>
  <c r="E22" i="2"/>
  <c r="B22" i="2"/>
  <c r="K22" i="2"/>
  <c r="C22" i="2" l="1"/>
  <c r="D22" i="2"/>
  <c r="F22" i="2" s="1"/>
  <c r="J22" i="2"/>
  <c r="A24" i="2"/>
  <c r="M23" i="2"/>
  <c r="N23" i="2" s="1"/>
  <c r="L23" i="2"/>
  <c r="H23" i="2"/>
  <c r="I23" i="2" s="1"/>
  <c r="E23" i="2"/>
  <c r="B23" i="2"/>
  <c r="K23" i="2"/>
  <c r="A33" i="1"/>
  <c r="C32" i="1"/>
  <c r="B32" i="1"/>
  <c r="A34" i="1" l="1"/>
  <c r="C33" i="1"/>
  <c r="B33" i="1"/>
  <c r="C23" i="2"/>
  <c r="D23" i="2"/>
  <c r="F23" i="2" s="1"/>
  <c r="J23" i="2"/>
  <c r="A25" i="2"/>
  <c r="M24" i="2"/>
  <c r="N24" i="2" s="1"/>
  <c r="L24" i="2"/>
  <c r="H24" i="2"/>
  <c r="I24" i="2" s="1"/>
  <c r="E24" i="2"/>
  <c r="B24" i="2"/>
  <c r="K24" i="2"/>
  <c r="C24" i="2" l="1"/>
  <c r="D24" i="2"/>
  <c r="F24" i="2" s="1"/>
  <c r="J24" i="2"/>
  <c r="A26" i="2"/>
  <c r="M25" i="2"/>
  <c r="N25" i="2" s="1"/>
  <c r="L25" i="2"/>
  <c r="H25" i="2"/>
  <c r="I25" i="2" s="1"/>
  <c r="E25" i="2"/>
  <c r="B25" i="2"/>
  <c r="K25" i="2"/>
  <c r="A35" i="1"/>
  <c r="C34" i="1"/>
  <c r="B34" i="1"/>
  <c r="A36" i="1" l="1"/>
  <c r="C35" i="1"/>
  <c r="B35" i="1"/>
  <c r="C25" i="2"/>
  <c r="D25" i="2"/>
  <c r="F25" i="2" s="1"/>
  <c r="J25" i="2"/>
  <c r="A27" i="2"/>
  <c r="M26" i="2"/>
  <c r="N26" i="2" s="1"/>
  <c r="L26" i="2"/>
  <c r="H26" i="2"/>
  <c r="I26" i="2" s="1"/>
  <c r="E26" i="2"/>
  <c r="B26" i="2"/>
  <c r="K26" i="2"/>
  <c r="C26" i="2" l="1"/>
  <c r="D26" i="2"/>
  <c r="F26" i="2" s="1"/>
  <c r="J26" i="2"/>
  <c r="A28" i="2"/>
  <c r="M27" i="2"/>
  <c r="N27" i="2" s="1"/>
  <c r="L27" i="2"/>
  <c r="H27" i="2"/>
  <c r="I27" i="2" s="1"/>
  <c r="E27" i="2"/>
  <c r="B27" i="2"/>
  <c r="K27" i="2"/>
  <c r="A37" i="1"/>
  <c r="C36" i="1"/>
  <c r="B36" i="1"/>
  <c r="A38" i="1" l="1"/>
  <c r="C37" i="1"/>
  <c r="B37" i="1"/>
  <c r="C27" i="2"/>
  <c r="D27" i="2"/>
  <c r="F27" i="2" s="1"/>
  <c r="J27" i="2"/>
  <c r="A29" i="2"/>
  <c r="M28" i="2"/>
  <c r="N28" i="2" s="1"/>
  <c r="L28" i="2"/>
  <c r="H28" i="2"/>
  <c r="I28" i="2" s="1"/>
  <c r="E28" i="2"/>
  <c r="B28" i="2"/>
  <c r="K28" i="2"/>
  <c r="C28" i="2" l="1"/>
  <c r="D28" i="2"/>
  <c r="F28" i="2" s="1"/>
  <c r="J28" i="2"/>
  <c r="A30" i="2"/>
  <c r="M29" i="2"/>
  <c r="N29" i="2" s="1"/>
  <c r="L29" i="2"/>
  <c r="H29" i="2"/>
  <c r="I29" i="2" s="1"/>
  <c r="E29" i="2"/>
  <c r="B29" i="2"/>
  <c r="K29" i="2"/>
  <c r="A39" i="1"/>
  <c r="C38" i="1"/>
  <c r="B38" i="1"/>
  <c r="A40" i="1" l="1"/>
  <c r="C39" i="1"/>
  <c r="B39" i="1"/>
  <c r="C29" i="2"/>
  <c r="D29" i="2"/>
  <c r="F29" i="2" s="1"/>
  <c r="J29" i="2"/>
  <c r="A31" i="2"/>
  <c r="M30" i="2"/>
  <c r="N30" i="2" s="1"/>
  <c r="L30" i="2"/>
  <c r="H30" i="2"/>
  <c r="I30" i="2" s="1"/>
  <c r="E30" i="2"/>
  <c r="B30" i="2"/>
  <c r="K30" i="2"/>
  <c r="C30" i="2" l="1"/>
  <c r="D30" i="2"/>
  <c r="F30" i="2" s="1"/>
  <c r="J30" i="2"/>
  <c r="A32" i="2"/>
  <c r="M31" i="2"/>
  <c r="N31" i="2" s="1"/>
  <c r="L31" i="2"/>
  <c r="H31" i="2"/>
  <c r="I31" i="2" s="1"/>
  <c r="E31" i="2"/>
  <c r="B31" i="2"/>
  <c r="K31" i="2"/>
  <c r="A41" i="1"/>
  <c r="C40" i="1"/>
  <c r="B40" i="1"/>
  <c r="A42" i="1" l="1"/>
  <c r="C41" i="1"/>
  <c r="B41" i="1"/>
  <c r="C31" i="2"/>
  <c r="D31" i="2"/>
  <c r="F31" i="2" s="1"/>
  <c r="J31" i="2"/>
  <c r="A33" i="2"/>
  <c r="M32" i="2"/>
  <c r="N32" i="2" s="1"/>
  <c r="L32" i="2"/>
  <c r="H32" i="2"/>
  <c r="I32" i="2" s="1"/>
  <c r="E32" i="2"/>
  <c r="B32" i="2"/>
  <c r="K32" i="2"/>
  <c r="C32" i="2" l="1"/>
  <c r="D32" i="2"/>
  <c r="F32" i="2" s="1"/>
  <c r="J32" i="2"/>
  <c r="A34" i="2"/>
  <c r="M33" i="2"/>
  <c r="N33" i="2" s="1"/>
  <c r="L33" i="2"/>
  <c r="H33" i="2"/>
  <c r="I33" i="2" s="1"/>
  <c r="E33" i="2"/>
  <c r="B33" i="2"/>
  <c r="K33" i="2"/>
  <c r="A43" i="1"/>
  <c r="C42" i="1"/>
  <c r="B42" i="1"/>
  <c r="A44" i="1" l="1"/>
  <c r="C43" i="1"/>
  <c r="B43" i="1"/>
  <c r="C33" i="2"/>
  <c r="D33" i="2"/>
  <c r="F33" i="2" s="1"/>
  <c r="J33" i="2"/>
  <c r="A35" i="2"/>
  <c r="M34" i="2"/>
  <c r="N34" i="2" s="1"/>
  <c r="L34" i="2"/>
  <c r="H34" i="2"/>
  <c r="I34" i="2" s="1"/>
  <c r="E34" i="2"/>
  <c r="B34" i="2"/>
  <c r="K34" i="2"/>
  <c r="C34" i="2" l="1"/>
  <c r="D34" i="2"/>
  <c r="F34" i="2" s="1"/>
  <c r="J34" i="2"/>
  <c r="A36" i="2"/>
  <c r="M35" i="2"/>
  <c r="N35" i="2" s="1"/>
  <c r="L35" i="2"/>
  <c r="H35" i="2"/>
  <c r="I35" i="2" s="1"/>
  <c r="E35" i="2"/>
  <c r="B35" i="2"/>
  <c r="K35" i="2"/>
  <c r="A45" i="1"/>
  <c r="C44" i="1"/>
  <c r="B44" i="1"/>
  <c r="A46" i="1" l="1"/>
  <c r="C45" i="1"/>
  <c r="B45" i="1"/>
  <c r="C35" i="2"/>
  <c r="D35" i="2"/>
  <c r="F35" i="2" s="1"/>
  <c r="J35" i="2"/>
  <c r="A37" i="2"/>
  <c r="M36" i="2"/>
  <c r="N36" i="2" s="1"/>
  <c r="L36" i="2"/>
  <c r="H36" i="2"/>
  <c r="I36" i="2" s="1"/>
  <c r="E36" i="2"/>
  <c r="B36" i="2"/>
  <c r="K36" i="2"/>
  <c r="C36" i="2" l="1"/>
  <c r="D36" i="2"/>
  <c r="F36" i="2" s="1"/>
  <c r="J36" i="2"/>
  <c r="A38" i="2"/>
  <c r="M37" i="2"/>
  <c r="N37" i="2" s="1"/>
  <c r="L37" i="2"/>
  <c r="H37" i="2"/>
  <c r="I37" i="2" s="1"/>
  <c r="E37" i="2"/>
  <c r="B37" i="2"/>
  <c r="K37" i="2"/>
  <c r="A47" i="1"/>
  <c r="C46" i="1"/>
  <c r="B46" i="1"/>
  <c r="A48" i="1" l="1"/>
  <c r="C47" i="1"/>
  <c r="B47" i="1"/>
  <c r="C37" i="2"/>
  <c r="D37" i="2"/>
  <c r="F37" i="2" s="1"/>
  <c r="J37" i="2"/>
  <c r="A39" i="2"/>
  <c r="M38" i="2"/>
  <c r="N38" i="2" s="1"/>
  <c r="L38" i="2"/>
  <c r="H38" i="2"/>
  <c r="I38" i="2" s="1"/>
  <c r="E38" i="2"/>
  <c r="B38" i="2"/>
  <c r="K38" i="2"/>
  <c r="C38" i="2" l="1"/>
  <c r="D38" i="2"/>
  <c r="F38" i="2" s="1"/>
  <c r="J38" i="2"/>
  <c r="A40" i="2"/>
  <c r="M39" i="2"/>
  <c r="N39" i="2" s="1"/>
  <c r="L39" i="2"/>
  <c r="H39" i="2"/>
  <c r="I39" i="2" s="1"/>
  <c r="E39" i="2"/>
  <c r="B39" i="2"/>
  <c r="K39" i="2"/>
  <c r="A49" i="1"/>
  <c r="C48" i="1"/>
  <c r="B48" i="1"/>
  <c r="A50" i="1" l="1"/>
  <c r="C49" i="1"/>
  <c r="B49" i="1"/>
  <c r="C39" i="2"/>
  <c r="D39" i="2"/>
  <c r="F39" i="2" s="1"/>
  <c r="J39" i="2"/>
  <c r="A41" i="2"/>
  <c r="M40" i="2"/>
  <c r="N40" i="2" s="1"/>
  <c r="L40" i="2"/>
  <c r="H40" i="2"/>
  <c r="I40" i="2" s="1"/>
  <c r="E40" i="2"/>
  <c r="B40" i="2"/>
  <c r="K40" i="2"/>
  <c r="C40" i="2" l="1"/>
  <c r="D40" i="2"/>
  <c r="F40" i="2" s="1"/>
  <c r="J40" i="2"/>
  <c r="A42" i="2"/>
  <c r="M41" i="2"/>
  <c r="N41" i="2" s="1"/>
  <c r="L41" i="2"/>
  <c r="H41" i="2"/>
  <c r="I41" i="2" s="1"/>
  <c r="E41" i="2"/>
  <c r="B41" i="2"/>
  <c r="K41" i="2"/>
  <c r="A51" i="1"/>
  <c r="C50" i="1"/>
  <c r="B50" i="1"/>
  <c r="A52" i="1" l="1"/>
  <c r="C51" i="1"/>
  <c r="B51" i="1"/>
  <c r="C41" i="2"/>
  <c r="D41" i="2"/>
  <c r="F41" i="2" s="1"/>
  <c r="J41" i="2"/>
  <c r="A43" i="2"/>
  <c r="M42" i="2"/>
  <c r="N42" i="2" s="1"/>
  <c r="L42" i="2"/>
  <c r="H42" i="2"/>
  <c r="I42" i="2" s="1"/>
  <c r="E42" i="2"/>
  <c r="B42" i="2"/>
  <c r="K42" i="2"/>
  <c r="C42" i="2" l="1"/>
  <c r="D42" i="2"/>
  <c r="F42" i="2" s="1"/>
  <c r="J42" i="2"/>
  <c r="A44" i="2"/>
  <c r="M43" i="2"/>
  <c r="N43" i="2" s="1"/>
  <c r="L43" i="2"/>
  <c r="H43" i="2"/>
  <c r="I43" i="2" s="1"/>
  <c r="E43" i="2"/>
  <c r="B43" i="2"/>
  <c r="K43" i="2"/>
  <c r="A53" i="1"/>
  <c r="C52" i="1"/>
  <c r="B52" i="1"/>
  <c r="A54" i="1" l="1"/>
  <c r="C53" i="1"/>
  <c r="B53" i="1"/>
  <c r="C43" i="2"/>
  <c r="D43" i="2"/>
  <c r="F43" i="2" s="1"/>
  <c r="J43" i="2"/>
  <c r="A45" i="2"/>
  <c r="M44" i="2"/>
  <c r="N44" i="2" s="1"/>
  <c r="L44" i="2"/>
  <c r="H44" i="2"/>
  <c r="I44" i="2" s="1"/>
  <c r="E44" i="2"/>
  <c r="B44" i="2"/>
  <c r="K44" i="2"/>
  <c r="C44" i="2" l="1"/>
  <c r="D44" i="2"/>
  <c r="F44" i="2" s="1"/>
  <c r="J44" i="2"/>
  <c r="A46" i="2"/>
  <c r="M45" i="2"/>
  <c r="N45" i="2" s="1"/>
  <c r="L45" i="2"/>
  <c r="H45" i="2"/>
  <c r="I45" i="2" s="1"/>
  <c r="E45" i="2"/>
  <c r="B45" i="2"/>
  <c r="K45" i="2"/>
  <c r="A55" i="1"/>
  <c r="C54" i="1"/>
  <c r="B54" i="1"/>
  <c r="A56" i="1" l="1"/>
  <c r="C55" i="1"/>
  <c r="B55" i="1"/>
  <c r="C45" i="2"/>
  <c r="D45" i="2"/>
  <c r="F45" i="2" s="1"/>
  <c r="J45" i="2"/>
  <c r="A47" i="2"/>
  <c r="M46" i="2"/>
  <c r="N46" i="2" s="1"/>
  <c r="L46" i="2"/>
  <c r="H46" i="2"/>
  <c r="I46" i="2" s="1"/>
  <c r="E46" i="2"/>
  <c r="B46" i="2"/>
  <c r="K46" i="2"/>
  <c r="C46" i="2" l="1"/>
  <c r="D46" i="2"/>
  <c r="F46" i="2" s="1"/>
  <c r="J46" i="2"/>
  <c r="A48" i="2"/>
  <c r="M47" i="2"/>
  <c r="N47" i="2" s="1"/>
  <c r="L47" i="2"/>
  <c r="H47" i="2"/>
  <c r="I47" i="2" s="1"/>
  <c r="E47" i="2"/>
  <c r="B47" i="2"/>
  <c r="K47" i="2"/>
  <c r="A57" i="1"/>
  <c r="C56" i="1"/>
  <c r="B56" i="1"/>
  <c r="A58" i="1" l="1"/>
  <c r="C57" i="1"/>
  <c r="B57" i="1"/>
  <c r="C47" i="2"/>
  <c r="D47" i="2"/>
  <c r="F47" i="2" s="1"/>
  <c r="J47" i="2"/>
  <c r="A49" i="2"/>
  <c r="M48" i="2"/>
  <c r="N48" i="2" s="1"/>
  <c r="L48" i="2"/>
  <c r="H48" i="2"/>
  <c r="I48" i="2" s="1"/>
  <c r="E48" i="2"/>
  <c r="B48" i="2"/>
  <c r="K48" i="2"/>
  <c r="C48" i="2" l="1"/>
  <c r="D48" i="2"/>
  <c r="F48" i="2" s="1"/>
  <c r="J48" i="2"/>
  <c r="A50" i="2"/>
  <c r="M49" i="2"/>
  <c r="N49" i="2" s="1"/>
  <c r="L49" i="2"/>
  <c r="H49" i="2"/>
  <c r="I49" i="2" s="1"/>
  <c r="E49" i="2"/>
  <c r="B49" i="2"/>
  <c r="K49" i="2"/>
  <c r="A59" i="1"/>
  <c r="C58" i="1"/>
  <c r="B58" i="1"/>
  <c r="A60" i="1" l="1"/>
  <c r="C59" i="1"/>
  <c r="B59" i="1"/>
  <c r="C49" i="2"/>
  <c r="D49" i="2"/>
  <c r="F49" i="2" s="1"/>
  <c r="J49" i="2"/>
  <c r="A51" i="2"/>
  <c r="M50" i="2"/>
  <c r="N50" i="2" s="1"/>
  <c r="L50" i="2"/>
  <c r="H50" i="2"/>
  <c r="I50" i="2" s="1"/>
  <c r="E50" i="2"/>
  <c r="B50" i="2"/>
  <c r="K50" i="2"/>
  <c r="C50" i="2" l="1"/>
  <c r="D50" i="2"/>
  <c r="F50" i="2" s="1"/>
  <c r="J50" i="2"/>
  <c r="M51" i="2"/>
  <c r="N51" i="2" s="1"/>
  <c r="L51" i="2"/>
  <c r="H51" i="2"/>
  <c r="I51" i="2" s="1"/>
  <c r="E51" i="2"/>
  <c r="B51" i="2"/>
  <c r="K51" i="2"/>
  <c r="A61" i="1"/>
  <c r="C60" i="1"/>
  <c r="B60" i="1"/>
  <c r="A62" i="1" l="1"/>
  <c r="C61" i="1"/>
  <c r="B61" i="1"/>
  <c r="C51" i="2"/>
  <c r="D51" i="2"/>
  <c r="F51" i="2" s="1"/>
  <c r="J51" i="2"/>
  <c r="A63" i="1" l="1"/>
  <c r="C62" i="1"/>
  <c r="B62" i="1"/>
  <c r="A64" i="1" l="1"/>
  <c r="C63" i="1"/>
  <c r="B63" i="1"/>
  <c r="A65" i="1" l="1"/>
  <c r="C64" i="1"/>
  <c r="B64" i="1"/>
  <c r="A66" i="1" l="1"/>
  <c r="C65" i="1"/>
  <c r="B65" i="1"/>
  <c r="A67" i="1" l="1"/>
  <c r="C66" i="1"/>
  <c r="B66" i="1"/>
  <c r="A68" i="1" l="1"/>
  <c r="C67" i="1"/>
  <c r="B67" i="1"/>
  <c r="A69" i="1" l="1"/>
  <c r="C68" i="1"/>
  <c r="B68" i="1"/>
  <c r="A70" i="1" l="1"/>
  <c r="C69" i="1"/>
  <c r="B69" i="1"/>
  <c r="A71" i="1" l="1"/>
  <c r="C70" i="1"/>
  <c r="B70" i="1"/>
  <c r="A72" i="1" l="1"/>
  <c r="C71" i="1"/>
  <c r="B71" i="1"/>
  <c r="A73" i="1" l="1"/>
  <c r="C72" i="1"/>
  <c r="B72" i="1"/>
  <c r="A74" i="1" l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sharedStrings.xml><?xml version="1.0" encoding="utf-8"?>
<sst xmlns="http://schemas.openxmlformats.org/spreadsheetml/2006/main" count="164" uniqueCount="114">
  <si>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</si>
  <si>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</si>
  <si>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</si>
  <si>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</si>
  <si>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</si>
  <si>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</si>
  <si>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</si>
  <si>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</si>
  <si>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</si>
  <si>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</si>
  <si>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</si>
  <si>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</si>
  <si>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</si>
  <si>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</si>
  <si>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</si>
  <si>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</si>
  <si>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</si>
  <si>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</si>
  <si>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</si>
  <si>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</si>
  <si>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</si>
  <si>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</si>
  <si>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</si>
  <si>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</si>
  <si>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</si>
  <si>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</si>
  <si>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</si>
  <si>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</si>
  <si>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</si>
  <si>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</si>
  <si>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</si>
  <si>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</si>
  <si>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</si>
  <si>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</si>
  <si>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</si>
  <si>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</si>
  <si>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</si>
  <si>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</si>
  <si>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</si>
  <si>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</si>
  <si>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Retenciones</t>
  </si>
  <si>
    <t>Intereses de mora</t>
  </si>
  <si>
    <t>Valor pagado cliente</t>
  </si>
  <si>
    <t>DICIEMRBE</t>
  </si>
  <si>
    <t>VALOR EXTRACTO</t>
  </si>
  <si>
    <t>VAOR PAGADO</t>
  </si>
  <si>
    <t>DIFERENCIA</t>
  </si>
  <si>
    <t>FACTURA 3907</t>
  </si>
  <si>
    <t>FACTURA 4159</t>
  </si>
  <si>
    <t>VALOR RETENCIONES</t>
  </si>
  <si>
    <t>ENERO</t>
  </si>
  <si>
    <t>FACTURA 4473</t>
  </si>
  <si>
    <t>FEBRERO</t>
  </si>
  <si>
    <t>VALOR APLICAR</t>
  </si>
  <si>
    <t>FACTURA 4727</t>
  </si>
  <si>
    <t>MARZO</t>
  </si>
  <si>
    <t>VALOR PAGADO</t>
  </si>
  <si>
    <t>FACTURA 5024</t>
  </si>
  <si>
    <t>ABRIL</t>
  </si>
  <si>
    <t>FACTURA 5322</t>
  </si>
  <si>
    <t>MAYO</t>
  </si>
  <si>
    <t>FACTURA 5638</t>
  </si>
  <si>
    <t>JUNIO</t>
  </si>
  <si>
    <t>FACTURA 6002</t>
  </si>
  <si>
    <t>JULIO</t>
  </si>
  <si>
    <t>FACTURA 6305</t>
  </si>
  <si>
    <t>FACTURA 6624</t>
  </si>
  <si>
    <t>RETENCIONES</t>
  </si>
  <si>
    <t xml:space="preserve">APLICACIÓN DEL PAGO </t>
  </si>
  <si>
    <t xml:space="preserve">EXTRACTO </t>
  </si>
  <si>
    <t>Cuota #</t>
  </si>
  <si>
    <t>Valor a pagar</t>
  </si>
  <si>
    <t>FACTURACION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</si>
  <si>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</si>
  <si>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</si>
  <si>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</si>
  <si>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</si>
  <si>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</si>
  <si>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</si>
  <si>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</si>
  <si>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</si>
  <si>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</si>
  <si>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</si>
  <si>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</si>
  <si>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</si>
  <si>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</si>
  <si>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</si>
  <si>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</si>
  <si>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</si>
  <si>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</si>
  <si>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</si>
  <si>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</si>
  <si>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</si>
  <si>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</si>
  <si>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2026-08-21T05:06:13-05:00</t>
  </si>
  <si>
    <t>b3008789-3fbc-421b-9109-9e8b3acc1a44</t>
  </si>
  <si>
    <t>MADERPOL SAS</t>
  </si>
  <si>
    <t>248</t>
  </si>
  <si>
    <t>APLICADO</t>
  </si>
  <si>
    <t>apply|WOULD_APPLY|ibr=WOULD_SKIP_IBR_ALREADY_PRESENT|tipo=PAGO|subtipo=CANCELACION</t>
  </si>
  <si>
    <t>b3008789-3fbc-421b-9109-9e8b3acc1a44|248|informacion creditos-clientes/03 comware pruebas- informacion creditos clientes/maderpol sas/asientos contables cred 248/cred 248-2.pdf||</t>
  </si>
  <si>
    <t>INFORMACION CREDITOS-CLIENTES/03 COMWARE PRUEBAS- INFORMACION CREDITOS CLIENTES/MADERPOL SAS/ASIENTOS CONTABLES CRED 248/CRED 248-2.pdf</t>
  </si>
  <si>
    <t>1176e31de2c0693ef382392b5f8da9b49dd612946284c9d14761ce5879dd8eb9</t>
  </si>
  <si>
    <t>"{1926EA10-12F7-4478-A4CB-21CA72AFF611},1"</t>
  </si>
  <si>
    <t>PAGO</t>
  </si>
  <si>
    <t>PAGO TOTAL</t>
  </si>
  <si>
    <t>CANCELACION</t>
  </si>
  <si>
    <t>CIERRE_CUOTA</t>
  </si>
  <si>
    <t>SI</t>
  </si>
  <si>
    <t>apply|WOULD_APPLY|ibr=WOULD_SKIP_IBR_ALREADY_PLANNED|tipo=PAGO|subtipo=CANCELACION</t>
  </si>
  <si>
    <t>b3008789-3fbc-421b-9109-9e8b3acc1a44|248|informacion creditos-clientes/03 comware pruebas- informacion creditos clientes/maderpol sas/asientos contables cred 248/248-1.pdf||</t>
  </si>
  <si>
    <t>INFORMACION CREDITOS-CLIENTES/03 COMWARE PRUEBAS- INFORMACION CREDITOS CLIENTES/MADERPOL SAS/ASIENTOS CONTABLES CRED 248/248-1.pdf</t>
  </si>
  <si>
    <t>05aca5981f8991da55c4c7047d4b3d35c561bd2ad46bdd5e55662ff45cfe23e0</t>
  </si>
  <si>
    <t>"{C17E93F9-0062-4194-ABB3-8A8955C77C5C},1"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</si>
</sst>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14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/>
    <xf numFmtId="0" fontId="3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43" fontId="0" fillId="5" borderId="3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3" xfId="1" applyFont="1" applyBorder="1"/>
    <xf numFmtId="0" fontId="3" fillId="5" borderId="5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wrapText="1"/>
    </xf>
    <xf numFmtId="14" fontId="0" fillId="0" borderId="7" xfId="0" applyNumberFormat="1" applyBorder="1"/>
    <xf numFmtId="43" fontId="5" fillId="6" borderId="8" xfId="1" applyFont="1" applyFill="1" applyBorder="1"/>
    <xf numFmtId="43" fontId="5" fillId="6" borderId="8" xfId="0" applyNumberFormat="1" applyFont="1" applyFill="1" applyBorder="1"/>
    <xf numFmtId="0" fontId="0" fillId="0" borderId="9" xfId="0" applyBorder="1" applyAlignment="1">
      <alignment horizontal="center"/>
    </xf>
    <xf numFmtId="164" fontId="0" fillId="0" borderId="10" xfId="0" applyNumberFormat="1" applyBorder="1"/>
    <xf numFmtId="43" fontId="0" fillId="0" borderId="10" xfId="0" applyNumberFormat="1" applyBorder="1"/>
    <xf numFmtId="43" fontId="5" fillId="6" borderId="11" xfId="0" applyNumberFormat="1" applyFont="1" applyFill="1" applyBorder="1"/>
    <xf numFmtId="43" fontId="0" fillId="7" borderId="0" xfId="1" applyFont="1" applyFill="1"/>
    <xf numFmtId="0" fontId="0" fillId="0" borderId="12" xfId="0" applyBorder="1"/>
    <xf numFmtId="43" fontId="0" fillId="0" borderId="12" xfId="0" applyNumberFormat="1" applyBorder="1"/>
    <xf numFmtId="0" fontId="0" fillId="0" borderId="3" xfId="0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43" fontId="0" fillId="0" borderId="3" xfId="0" applyNumberFormat="1" applyBorder="1"/>
    <xf numFmtId="164" fontId="0" fillId="0" borderId="3" xfId="0" applyNumberFormat="1" applyBorder="1"/>
    <xf numFmtId="17" fontId="5" fillId="0" borderId="0" xfId="0" applyNumberFormat="1" applyFont="1" applyAlignment="1">
      <alignment horizontal="center"/>
    </xf>
    <xf numFmtId="0" fontId="3" fillId="5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14" fontId="0" fillId="0" borderId="3" xfId="1" applyNumberFormat="1" applyFont="1" applyBorder="1"/>
    <xf numFmtId="0" fontId="3" fillId="5" borderId="3" xfId="0" applyFont="1" applyFill="1" applyBorder="1" applyAlignment="1">
      <alignment horizontal="center" wrapText="1"/>
    </xf>
    <xf numFmtId="43" fontId="5" fillId="3" borderId="3" xfId="1" applyFont="1" applyFill="1" applyBorder="1"/>
    <xf numFmtId="14" fontId="6" fillId="0" borderId="0" xfId="0" applyNumberFormat="1" applyFont="1"/>
    <xf numFmtId="165" fontId="1" fillId="0" borderId="0" xfId="2" applyNumberFormat="1" applyProtection="1">
      <protection locked="0"/>
    </xf>
    <xf numFmtId="0" fontId="6" fillId="0" borderId="0" xfId="0" applyFont="1"/>
    <xf numFmtId="43" fontId="0" fillId="3" borderId="3" xfId="1" applyFont="1" applyFill="1" applyBorder="1"/>
    <xf numFmtId="14" fontId="0" fillId="3" borderId="3" xfId="0" applyNumberFormat="1" applyFill="1" applyBorder="1"/>
    <xf numFmtId="164" fontId="1" fillId="0" borderId="0" xfId="1" applyNumberFormat="1"/>
    <xf numFmtId="43" fontId="7" fillId="3" borderId="3" xfId="1" applyFont="1" applyFill="1" applyBorder="1"/>
    <xf numFmtId="164" fontId="8" fillId="0" borderId="0" xfId="1" applyNumberFormat="1" applyFont="1"/>
    <xf numFmtId="165" fontId="8" fillId="0" borderId="0" xfId="2" applyNumberFormat="1" applyFont="1" applyProtection="1">
      <protection locked="0"/>
    </xf>
    <xf numFmtId="165" fontId="1" fillId="0" borderId="0" xfId="2" applyNumberFormat="1"/>
    <xf numFmtId="0" fontId="9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4" fontId="0" fillId="3" borderId="2" xfId="1" applyNumberFormat="1" applyFont="1" applyFill="1" applyBorder="1"/>
    <xf numFmtId="43" fontId="0" fillId="3" borderId="2" xfId="1" applyFont="1" applyFill="1" applyBorder="1"/>
    <xf numFmtId="43" fontId="7" fillId="3" borderId="2" xfId="1" applyFont="1" applyFill="1" applyBorder="1"/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wrapText="1"/>
    </xf>
    <xf numFmtId="43" fontId="0" fillId="10" borderId="16" xfId="1" applyFont="1" applyFill="1" applyBorder="1"/>
    <xf numFmtId="43" fontId="0" fillId="10" borderId="17" xfId="1" applyFont="1" applyFill="1" applyBorder="1"/>
    <xf numFmtId="9" fontId="0" fillId="10" borderId="18" xfId="1" applyNumberFormat="1" applyFont="1" applyFill="1" applyBorder="1"/>
    <xf numFmtId="43" fontId="0" fillId="0" borderId="7" xfId="1" applyFont="1" applyBorder="1"/>
    <xf numFmtId="43" fontId="0" fillId="0" borderId="8" xfId="1" applyFont="1" applyBorder="1"/>
    <xf numFmtId="164" fontId="0" fillId="0" borderId="8" xfId="1" applyNumberFormat="1" applyFont="1" applyBorder="1"/>
    <xf numFmtId="43" fontId="0" fillId="0" borderId="9" xfId="1" applyFont="1" applyBorder="1"/>
    <xf numFmtId="43" fontId="0" fillId="0" borderId="10" xfId="1" applyFont="1" applyBorder="1"/>
    <xf numFmtId="164" fontId="0" fillId="0" borderId="11" xfId="1" applyNumberFormat="1" applyFont="1" applyBorder="1"/>
    <xf numFmtId="165" fontId="12" fillId="0" borderId="0" xfId="2" applyNumberFormat="1" applyFont="1" applyProtection="1">
      <protection locked="0"/>
    </xf>
    <xf numFmtId="164" fontId="0" fillId="0" borderId="3" xfId="1" applyNumberFormat="1" applyFont="1" applyBorder="1"/>
    <xf numFmtId="164" fontId="0" fillId="0" borderId="10" xfId="1" applyNumberFormat="1" applyFont="1" applyBorder="1"/>
    <xf numFmtId="3" fontId="13" fillId="0" borderId="0" xfId="0" applyNumberFormat="1" applyFont="1"/>
    <xf numFmtId="3" fontId="0" fillId="0" borderId="0" xfId="0" applyNumberFormat="1"/>
    <xf numFmtId="43" fontId="7" fillId="0" borderId="3" xfId="1" applyFont="1" applyBorder="1"/>
    <xf numFmtId="164" fontId="0" fillId="0" borderId="19" xfId="1" applyNumberFormat="1" applyFont="1" applyBorder="1"/>
    <xf numFmtId="43" fontId="0" fillId="10" borderId="20" xfId="1" applyFont="1" applyFill="1" applyBorder="1"/>
    <xf numFmtId="43" fontId="0" fillId="10" borderId="21" xfId="1" applyFont="1" applyFill="1" applyBorder="1"/>
    <xf numFmtId="9" fontId="0" fillId="10" borderId="22" xfId="1" applyNumberFormat="1" applyFont="1" applyFill="1" applyBorder="1"/>
    <xf numFmtId="43" fontId="0" fillId="0" borderId="23" xfId="1" applyFont="1" applyBorder="1"/>
    <xf numFmtId="43" fontId="0" fillId="0" borderId="24" xfId="1" applyFont="1" applyBorder="1"/>
    <xf numFmtId="164" fontId="0" fillId="0" borderId="24" xfId="1" applyNumberFormat="1" applyFont="1" applyBorder="1"/>
    <xf numFmtId="0" fontId="0" fillId="0" borderId="25" xfId="0" applyBorder="1"/>
    <xf numFmtId="0" fontId="0" fillId="0" borderId="26" xfId="0" applyBorder="1"/>
    <xf numFmtId="164" fontId="0" fillId="0" borderId="27" xfId="0" applyNumberFormat="1" applyBorder="1"/>
    <xf numFmtId="0" fontId="11" fillId="9" borderId="0" xfId="0" applyFont="1" applyFill="1" applyAlignment="1">
      <alignment horizontal="center"/>
    </xf>
    <xf numFmtId="164" fontId="11" fillId="9" borderId="0" xfId="1" applyNumberFormat="1" applyFont="1" applyFill="1"/>
    <xf numFmtId="165" fontId="11" fillId="9" borderId="0" xfId="2" applyNumberFormat="1" applyFont="1" applyFill="1" applyProtection="1">
      <protection locked="0"/>
    </xf>
    <xf numFmtId="165" fontId="5" fillId="9" borderId="0" xfId="2" applyNumberFormat="1" applyFont="1" applyFill="1" applyProtection="1">
      <protection locked="0"/>
    </xf>
    <xf numFmtId="165" fontId="5" fillId="9" borderId="0" xfId="2" applyNumberFormat="1" applyFont="1" applyFill="1"/>
    <xf numFmtId="164" fontId="5" fillId="9" borderId="0" xfId="1" applyNumberFormat="1" applyFont="1" applyFill="1"/>
    <xf numFmtId="0" fontId="2" fillId="9" borderId="0" xfId="0" applyFont="1" applyFill="1" applyAlignment="1">
      <alignment horizontal="center"/>
    </xf>
    <xf numFmtId="0" fontId="5" fillId="9" borderId="0" xfId="0" applyFont="1" applyFill="1"/>
    <xf numFmtId="0" fontId="5" fillId="10" borderId="28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/>
    </xf>
    <xf numFmtId="0" fontId="0" fillId="0" borderId="1" xfId="0" applyBorder="1" applyAlignment="1"/>
    <xf numFmtId="0" fontId="0" fillId="0" borderId="4" xfId="0" applyBorder="1" applyAlignment="1"/>
    <xf numFmtId="0" fontId="0" fillId="0" borderId="29" xfId="0" applyBorder="1" applyAlignment="1"/>
    <xf numFmtId="0" fontId="0" fillId="0" borderId="30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1"/>
  <sheetViews>
    <sheetView tabSelected="1" topLeftCell="L1" zoomScaleNormal="100" workbookViewId="0">
      <pane ySplit="3" topLeftCell="H4" activePane="bottomLeft" state="frozen"/>
      <selection pane="bottomLeft" activeCell="V13" sqref="V13"/>
    </sheetView>
  </sheetViews>
  <sheetFormatPr defaultColWidth="11.42578125" defaultRowHeight="14.45"/>
  <cols>
    <col min="1" max="1" width="6.85546875" customWidth="1"/>
    <col min="2" max="2" width="14.140625" bestFit="1" customWidth="1"/>
    <col min="3" max="3" width="12.140625" bestFit="1" customWidth="1"/>
    <col min="4" max="4" width="13" bestFit="1" customWidth="1"/>
    <col min="5" max="5" width="12.140625" bestFit="1" customWidth="1"/>
    <col min="6" max="6" width="14.14062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4.42578125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2" width="16.28515625" customWidth="1"/>
    <col min="23" max="23" width="15.85546875" bestFit="1" customWidth="1"/>
    <col min="24" max="25" width="13.140625" customWidth="1"/>
    <col min="26" max="27" width="14.42578125" customWidth="1"/>
    <col min="28" max="29" width="13.28515625" bestFit="1" customWidth="1"/>
    <col min="30" max="34" width="13.7109375" bestFit="1" customWidth="1"/>
  </cols>
  <sheetData>
    <row r="1" spans="1:34" ht="15" customHeight="1" thickBot="1">
      <c r="A1" s="9" t="s">
        <v>16</v>
      </c>
      <c r="B1" s="12">
        <v>361558842</v>
      </c>
      <c r="C1" s="9" t="s">
        <v>17</v>
      </c>
      <c r="D1" s="11">
        <v>8.7599999999999997E-2</v>
      </c>
      <c r="E1" s="9" t="s">
        <v>18</v>
      </c>
      <c r="F1" s="14">
        <f>((D1+D2)/12)</f>
        <v>1.355E-2</v>
      </c>
      <c r="H1" s="19" t="s">
        <v>19</v>
      </c>
      <c r="J1" s="51">
        <v>45945</v>
      </c>
      <c r="O1" s="51"/>
    </row>
    <row r="2" spans="1:34" ht="15" customHeight="1" thickBot="1">
      <c r="A2" s="9" t="s">
        <v>20</v>
      </c>
      <c r="B2" s="13">
        <v>48</v>
      </c>
      <c r="C2" s="9" t="s">
        <v>21</v>
      </c>
      <c r="D2" s="11">
        <v>7.4999999999999997E-2</v>
      </c>
      <c r="E2" s="9" t="s">
        <v>22</v>
      </c>
      <c r="F2" s="2">
        <f>+PMT(F1,B2,-B1,0)</f>
        <v>10294888.020975336</v>
      </c>
      <c r="G2" s="2"/>
      <c r="J2" s="53">
        <v>248</v>
      </c>
      <c r="O2" s="51"/>
      <c r="Q2" s="105" t="s">
        <v>23</v>
      </c>
      <c r="R2" s="110"/>
      <c r="S2" s="110"/>
      <c r="T2" s="110"/>
      <c r="U2" s="110"/>
      <c r="V2" s="110"/>
      <c r="W2" s="111"/>
    </row>
    <row r="3" spans="1:34" ht="27" customHeight="1" thickBot="1">
      <c r="A3" s="62"/>
      <c r="B3" s="63" t="s">
        <v>24</v>
      </c>
      <c r="C3" s="63" t="s">
        <v>25</v>
      </c>
      <c r="D3" s="63" t="s">
        <v>26</v>
      </c>
      <c r="E3" s="63" t="s">
        <v>13</v>
      </c>
      <c r="F3" s="63" t="s">
        <v>27</v>
      </c>
      <c r="G3" s="63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5" t="s">
        <v>35</v>
      </c>
      <c r="Q3" s="68" t="s">
        <v>36</v>
      </c>
      <c r="R3" s="69" t="s">
        <v>37</v>
      </c>
      <c r="S3" s="70" t="s">
        <v>38</v>
      </c>
      <c r="T3" s="70" t="s">
        <v>39</v>
      </c>
      <c r="U3" s="70" t="s">
        <v>40</v>
      </c>
      <c r="V3" s="69" t="s">
        <v>41</v>
      </c>
      <c r="W3" s="71" t="s">
        <v>42</v>
      </c>
    </row>
    <row r="4" spans="1:34">
      <c r="A4" s="10">
        <f>+TasaImplicita!A12</f>
        <v>1</v>
      </c>
      <c r="B4" s="58">
        <f>+B1</f>
        <v>361558842</v>
      </c>
      <c r="C4" s="58">
        <f>+B4*F1</f>
        <v>4899122.3091000002</v>
      </c>
      <c r="D4" s="58">
        <f>+S4</f>
        <v>6048982</v>
      </c>
      <c r="E4" s="58">
        <f>+F2</f>
        <v>10294888.020975336</v>
      </c>
      <c r="F4" s="58">
        <f>+B4-D4</f>
        <v>355509860</v>
      </c>
      <c r="G4" s="59">
        <v>8.7590000000000001E-2</v>
      </c>
      <c r="H4" s="52">
        <f>+D2</f>
        <v>7.4999999999999997E-2</v>
      </c>
      <c r="I4" s="60">
        <f>((G4+H4)/12)</f>
        <v>1.3549166666666668E-2</v>
      </c>
      <c r="J4" s="56">
        <f>PMT(I4,K4,-F4,0)</f>
        <v>10275824.827928053</v>
      </c>
      <c r="K4" s="61">
        <f>+$B$2-A4</f>
        <v>47</v>
      </c>
      <c r="L4">
        <v>15</v>
      </c>
      <c r="M4">
        <v>11</v>
      </c>
      <c r="N4">
        <v>2025</v>
      </c>
      <c r="O4" s="20">
        <f>+C4/30</f>
        <v>163304.07696999999</v>
      </c>
      <c r="P4" s="32">
        <f>+O4*15</f>
        <v>2449561.1545500001</v>
      </c>
      <c r="Q4" s="65">
        <v>45972</v>
      </c>
      <c r="R4" s="66">
        <v>4245906</v>
      </c>
      <c r="S4" s="66">
        <v>6048982</v>
      </c>
      <c r="T4" s="66">
        <f>B4-S4</f>
        <v>355509860</v>
      </c>
      <c r="U4" s="66"/>
      <c r="V4" s="67">
        <v>0</v>
      </c>
      <c r="W4" s="66">
        <f>+R4+S4+V4</f>
        <v>10294888</v>
      </c>
      <c r="AA4" s="21"/>
    </row>
    <row r="5" spans="1:34">
      <c r="A5" s="10">
        <f>IF(AND(A4&lt;$B$2)*(A4&lt;&gt;0),1+A4," ")</f>
        <v>2</v>
      </c>
      <c r="B5" s="58">
        <f>IF(A5=" "," ",+F4)</f>
        <v>355509860</v>
      </c>
      <c r="C5" s="58">
        <f>IF(A5=" "," ",+B5*I4)</f>
        <v>4816862.3447833341</v>
      </c>
      <c r="D5" s="58">
        <f>+S5</f>
        <v>5779359</v>
      </c>
      <c r="E5" s="58">
        <f>IF(A5=" "," ",+J4)</f>
        <v>10275824.827928053</v>
      </c>
      <c r="F5" s="58">
        <f>+B5-D5</f>
        <v>349730501</v>
      </c>
      <c r="G5" s="59">
        <v>8.8429999999999995E-2</v>
      </c>
      <c r="H5" s="52">
        <f>IF(A5=" "," ",+H4)</f>
        <v>7.4999999999999997E-2</v>
      </c>
      <c r="I5" s="60">
        <f>IF(A5=" "," ",((G5+H5)/12))</f>
        <v>1.3619166666666667E-2</v>
      </c>
      <c r="J5" s="56">
        <f>PMT(I5,K5,-F5,0)</f>
        <v>10281417.001251334</v>
      </c>
      <c r="K5" s="61">
        <f>IF(A2=" "," ",+$B$2-A5)</f>
        <v>46</v>
      </c>
      <c r="L5">
        <f>IF(A5&lt;&gt;" ",+L4," ")</f>
        <v>15</v>
      </c>
      <c r="M5">
        <f>IF(AND(A5&lt;&gt;" ")*(M4=12),1,1+M4)</f>
        <v>12</v>
      </c>
      <c r="N5">
        <f>IF(AND(A5&lt;&gt;" ")*(M5=1),1+N4,N4)</f>
        <v>2025</v>
      </c>
      <c r="O5" s="20">
        <f>+C5/30</f>
        <v>160562.07815944447</v>
      </c>
      <c r="P5" s="32">
        <f>+O5*19</f>
        <v>3050679.485029445</v>
      </c>
      <c r="Q5" s="55">
        <v>46000</v>
      </c>
      <c r="R5" s="54">
        <v>4495738</v>
      </c>
      <c r="S5" s="54">
        <v>5779359</v>
      </c>
      <c r="T5" s="54">
        <f>+T4-S5</f>
        <v>349730501</v>
      </c>
      <c r="U5" s="54">
        <v>510761</v>
      </c>
      <c r="V5" s="57">
        <v>0</v>
      </c>
      <c r="W5" s="54">
        <f>+R5+S5+V5-U5</f>
        <v>9764336</v>
      </c>
    </row>
    <row r="6" spans="1:34">
      <c r="A6" s="10">
        <f>IF(AND(A5&lt;$B$2)*(A5&lt;&gt;0),1+A5," ")</f>
        <v>3</v>
      </c>
      <c r="B6" s="58">
        <f>IF(A6=" "," ",+F5)</f>
        <v>349730501</v>
      </c>
      <c r="C6" s="58">
        <f>IF(A6=" "," ",+B6*I5)</f>
        <v>4763037.9815358333</v>
      </c>
      <c r="D6" s="58">
        <f>+S6</f>
        <v>5677147</v>
      </c>
      <c r="E6" s="58">
        <f>IF(A6=" "," ",+J5)</f>
        <v>10281417.001251334</v>
      </c>
      <c r="F6" s="58">
        <f>+B6-D6</f>
        <v>344053354</v>
      </c>
      <c r="G6" s="81">
        <v>9.0249999999999997E-2</v>
      </c>
      <c r="H6" s="52">
        <f>IF(A6=" "," ",+H5)</f>
        <v>7.4999999999999997E-2</v>
      </c>
      <c r="I6" s="60">
        <f>IF(A6=" "," ",((G6+H6)/12))</f>
        <v>1.3770833333333335E-2</v>
      </c>
      <c r="J6" s="56">
        <f>PMT(I6,K6,-F6,0)</f>
        <v>10308582.603550395</v>
      </c>
      <c r="K6" s="61">
        <f>IF(A3=" "," ",+$B$2-A6)</f>
        <v>45</v>
      </c>
      <c r="L6">
        <f>IF(A6&lt;&gt;" ",+L5," ")</f>
        <v>15</v>
      </c>
      <c r="M6">
        <f>IF(AND(A6&lt;&gt;" ")*(M5=12),1,1+M5)</f>
        <v>1</v>
      </c>
      <c r="N6">
        <f>IF(AND(A6&lt;&gt;" ")*(M6=1),1+N5,N5)</f>
        <v>2026</v>
      </c>
      <c r="O6" s="20">
        <f>+C6/30</f>
        <v>158767.93271786111</v>
      </c>
      <c r="P6" s="32">
        <f>+O6*21</f>
        <v>3334126.5870750835</v>
      </c>
      <c r="Q6" s="55">
        <v>46030</v>
      </c>
      <c r="R6" s="54">
        <v>4604270</v>
      </c>
      <c r="S6" s="54">
        <v>5677147</v>
      </c>
      <c r="T6" s="54">
        <f>+T5-S6</f>
        <v>344053354</v>
      </c>
      <c r="U6" s="54">
        <v>334543</v>
      </c>
      <c r="V6" s="57">
        <v>0</v>
      </c>
      <c r="W6" s="54">
        <f>+R6+S6+V6-U6</f>
        <v>9946874</v>
      </c>
      <c r="Y6" s="21"/>
    </row>
    <row r="7" spans="1:34">
      <c r="A7" s="10">
        <f>IF(AND(A6&lt;$B$2)*(A6&lt;&gt;0),1+A6," ")</f>
        <v>4</v>
      </c>
      <c r="B7" s="58">
        <f>IF(A7=" "," ",+F6)</f>
        <v>344053354</v>
      </c>
      <c r="C7" s="58">
        <f>IF(A7=" "," ",+B7*I6)</f>
        <v>4737901.3957083337</v>
      </c>
      <c r="D7" s="58">
        <f>+S7</f>
        <v>5524833</v>
      </c>
      <c r="E7" s="58">
        <f>IF(A7=" "," ",+J6)</f>
        <v>10308582.603550395</v>
      </c>
      <c r="F7" s="58">
        <f>+B7-D7</f>
        <v>338528521</v>
      </c>
      <c r="G7" s="81">
        <v>9.6680000000000002E-2</v>
      </c>
      <c r="H7" s="52">
        <f>IF(A7=" "," ",+H6)</f>
        <v>7.4999999999999997E-2</v>
      </c>
      <c r="I7" s="60">
        <f>IF(A7=" "," ",((G7+H7)/12))</f>
        <v>1.4306666666666667E-2</v>
      </c>
      <c r="J7" s="56">
        <f>PMT(I7,K7,-F7,0)</f>
        <v>10420980.243962361</v>
      </c>
      <c r="K7" s="61">
        <f>IF(A4=" "," ",+$B$2-A7)</f>
        <v>44</v>
      </c>
      <c r="L7">
        <f>IF(A7&lt;&gt;" ",+L6," ")</f>
        <v>15</v>
      </c>
      <c r="M7">
        <f>IF(AND(A7&lt;&gt;" ")*(M6=12),1,1+M6)</f>
        <v>2</v>
      </c>
      <c r="N7">
        <f>IF(AND(A7&lt;&gt;" ")*(M7=1),1+N6,N6)</f>
        <v>2026</v>
      </c>
      <c r="O7" s="20">
        <f>+C7/30</f>
        <v>157930.04652361112</v>
      </c>
      <c r="P7" s="32">
        <f>+O7*22</f>
        <v>3474461.0235194447</v>
      </c>
      <c r="Q7" s="55">
        <v>46059</v>
      </c>
      <c r="R7" s="54">
        <v>4422041</v>
      </c>
      <c r="S7" s="54">
        <v>5524833</v>
      </c>
      <c r="T7" s="54">
        <f>+T6-S7</f>
        <v>338528521</v>
      </c>
      <c r="U7" s="54">
        <v>332122</v>
      </c>
      <c r="V7" s="57"/>
      <c r="W7" s="54">
        <f>+R7+S7+V7-U7</f>
        <v>9614752</v>
      </c>
      <c r="Z7" s="4"/>
    </row>
    <row r="8" spans="1:34" ht="15" customHeight="1">
      <c r="A8" s="10">
        <f>IF(AND(A7&lt;$B$2)*(A7&lt;&gt;0),1+A7," ")</f>
        <v>5</v>
      </c>
      <c r="B8" s="58">
        <f>IF(A8=" "," ",+F7)</f>
        <v>338528521</v>
      </c>
      <c r="C8" s="58">
        <f>IF(A8=" "," ",+B8*I7)</f>
        <v>4843214.7071066666</v>
      </c>
      <c r="D8" s="58">
        <f>+S9</f>
        <v>6062117</v>
      </c>
      <c r="E8" s="58">
        <f>IF(A8=" "," ",+J7)</f>
        <v>10420980.243962361</v>
      </c>
      <c r="F8" s="58">
        <f>+B8-D8</f>
        <v>332466404</v>
      </c>
      <c r="G8" s="81">
        <v>0.10085</v>
      </c>
      <c r="H8" s="52">
        <f>IF(A8=" "," ",+H7)</f>
        <v>7.4999999999999997E-2</v>
      </c>
      <c r="I8" s="60">
        <f>IF(A8=" "," ",((G8+H8)/12))</f>
        <v>1.4654166666666668E-2</v>
      </c>
      <c r="J8" s="56">
        <f>PMT(I8,K8,-F8,0)</f>
        <v>10476635.733223623</v>
      </c>
      <c r="K8" s="61">
        <f>IF(A5=" "," ",+$B$2-A8)</f>
        <v>43</v>
      </c>
      <c r="L8">
        <f>IF(A8&lt;&gt;" ",+L7," ")</f>
        <v>15</v>
      </c>
      <c r="M8">
        <f>IF(AND(A8&lt;&gt;" ")*(M7=12),1,1+M7)</f>
        <v>3</v>
      </c>
      <c r="N8">
        <f>IF(AND(A8&lt;&gt;" ")*(M8=1),1+N7,N7)</f>
        <v>2026</v>
      </c>
      <c r="O8" s="20">
        <f>+C8/30</f>
        <v>161440.4902368889</v>
      </c>
      <c r="P8" s="32">
        <f>+O8*24</f>
        <v>3874571.7656853339</v>
      </c>
      <c r="Q8" s="55">
        <v>46070</v>
      </c>
      <c r="R8" s="54">
        <v>361709</v>
      </c>
      <c r="S8" s="54">
        <v>0</v>
      </c>
      <c r="T8" s="54">
        <f>+T7-S8</f>
        <v>338528521</v>
      </c>
      <c r="U8" s="54"/>
      <c r="V8" s="57"/>
      <c r="W8" s="54">
        <f>+R8+S8+V8-U8</f>
        <v>361709</v>
      </c>
      <c r="Y8" s="40">
        <v>45931</v>
      </c>
      <c r="Z8" s="40">
        <v>45962</v>
      </c>
      <c r="AA8" s="40">
        <v>45992</v>
      </c>
      <c r="AB8" s="40">
        <v>46023</v>
      </c>
      <c r="AC8" s="40">
        <v>46054</v>
      </c>
      <c r="AD8" s="40">
        <v>46082</v>
      </c>
      <c r="AE8" s="40">
        <v>46113</v>
      </c>
      <c r="AF8" s="40">
        <v>46143</v>
      </c>
      <c r="AG8" s="40">
        <v>46174</v>
      </c>
      <c r="AH8" s="40">
        <v>46204</v>
      </c>
    </row>
    <row r="9" spans="1:34">
      <c r="A9" s="10">
        <f>IF(AND(A8&lt;$B$2)*(A8&lt;&gt;0),1+A8," ")</f>
        <v>6</v>
      </c>
      <c r="B9" s="58">
        <f>IF(A9=" "," ",+F8)</f>
        <v>332466404</v>
      </c>
      <c r="C9" s="58">
        <f>IF(A9=" "," ",+B9*I8)</f>
        <v>4872018.0952833341</v>
      </c>
      <c r="D9" s="58">
        <f>+S10</f>
        <v>3818211</v>
      </c>
      <c r="E9" s="58">
        <f>IF(A9=" "," ",+J8)</f>
        <v>10476635.733223623</v>
      </c>
      <c r="F9" s="58">
        <f>+B9-D9</f>
        <v>328648193</v>
      </c>
      <c r="G9" s="52">
        <v>0.10717</v>
      </c>
      <c r="H9" s="52">
        <f>IF(A9=" "," ",+H8)</f>
        <v>7.4999999999999997E-2</v>
      </c>
      <c r="I9" s="60">
        <f>IF(A9=" "," ",((G9+H9)/12))</f>
        <v>1.5180833333333333E-2</v>
      </c>
      <c r="J9" s="56">
        <f>PMT(I9,K9,-F9,0)</f>
        <v>10640136.181083681</v>
      </c>
      <c r="K9" s="61">
        <f>IF(A6=" "," ",+$B$2-A9)</f>
        <v>42</v>
      </c>
      <c r="L9">
        <f>IF(A9&lt;&gt;" ",+L8," ")</f>
        <v>15</v>
      </c>
      <c r="M9">
        <f>IF(AND(A9&lt;&gt;" ")*(M8=12),1,1+M8)</f>
        <v>4</v>
      </c>
      <c r="N9">
        <f>IF(AND(A9&lt;&gt;" ")*(M9=1),1+N8,N8)</f>
        <v>2026</v>
      </c>
      <c r="O9" s="20">
        <f>+C9/30</f>
        <v>162400.60317611115</v>
      </c>
      <c r="P9" s="32">
        <f>+O9*27</f>
        <v>4384816.285755001</v>
      </c>
      <c r="Q9" s="55">
        <v>46084</v>
      </c>
      <c r="R9" s="54">
        <v>3997184</v>
      </c>
      <c r="S9" s="54">
        <v>6062117</v>
      </c>
      <c r="T9" s="54">
        <f>+T8-S9</f>
        <v>332466404</v>
      </c>
      <c r="U9" s="54">
        <v>337551</v>
      </c>
      <c r="V9" s="57"/>
      <c r="W9" s="54">
        <f>+R9+S9+V9-U9</f>
        <v>9721750</v>
      </c>
      <c r="Y9" s="21">
        <f>+P4</f>
        <v>2449561.1545500001</v>
      </c>
      <c r="Z9" s="21">
        <f>+O4*11</f>
        <v>1796344.8466699999</v>
      </c>
      <c r="AA9" s="21">
        <f>+O5*9+3</f>
        <v>1445061.7034350003</v>
      </c>
      <c r="AB9" s="21">
        <f>+O6*8</f>
        <v>1270143.4617428889</v>
      </c>
      <c r="AC9" s="21">
        <f>+O7*6</f>
        <v>947580.27914166672</v>
      </c>
      <c r="AD9" s="21">
        <f>+O8*3-1</f>
        <v>484320.47071066673</v>
      </c>
      <c r="AE9" s="21">
        <f>+O9*14</f>
        <v>2273608.4444655562</v>
      </c>
      <c r="AF9" s="21">
        <f>+O10*7-3</f>
        <v>1164132.8034213055</v>
      </c>
      <c r="AG9" s="21">
        <f>+O11*4</f>
        <v>649030.0325666666</v>
      </c>
      <c r="AH9" s="21">
        <f>+O12*15+2</f>
        <v>2405314.2529625003</v>
      </c>
    </row>
    <row r="10" spans="1:34">
      <c r="A10" s="10">
        <f>IF(AND(A9&lt;$B$2)*(A9&lt;&gt;0),1+A9," ")</f>
        <v>7</v>
      </c>
      <c r="B10" s="58">
        <f>IF(A10=" "," ",+F9)</f>
        <v>328648193</v>
      </c>
      <c r="C10" s="58">
        <f>IF(A10=" "," ",+B10*I9)</f>
        <v>4989153.4432341661</v>
      </c>
      <c r="D10" s="58">
        <f>+S11</f>
        <v>6815119</v>
      </c>
      <c r="E10" s="58">
        <f>IF(A10=" "," ",+J9)</f>
        <v>10640136.181083681</v>
      </c>
      <c r="F10" s="58">
        <f>+B10-D10</f>
        <v>321833074</v>
      </c>
      <c r="G10" s="81">
        <v>0.1065</v>
      </c>
      <c r="H10" s="52">
        <f>IF(A10=" "," ",+H9)</f>
        <v>7.4999999999999997E-2</v>
      </c>
      <c r="I10" s="60">
        <f>IF(A10=" "," ",((G10+H10)/12))</f>
        <v>1.5125E-2</v>
      </c>
      <c r="J10" s="56">
        <f>PMT(I10,K10,-F10,0)</f>
        <v>10590768.019051583</v>
      </c>
      <c r="K10" s="61">
        <f>IF(A7=" "," ",+$B$2-A10)</f>
        <v>41</v>
      </c>
      <c r="L10">
        <f>IF(A10&lt;&gt;" ",+L9," ")</f>
        <v>15</v>
      </c>
      <c r="M10">
        <f>IF(AND(A10&lt;&gt;" ")*(M9=12),1,1+M9)</f>
        <v>5</v>
      </c>
      <c r="N10">
        <f>IF(AND(A10&lt;&gt;" ")*(M10=1),1+N9,N9)</f>
        <v>2026</v>
      </c>
      <c r="O10" s="20">
        <f>+C10/30</f>
        <v>166305.1147744722</v>
      </c>
      <c r="P10" s="32">
        <f>+O10*16</f>
        <v>2660881.8363915551</v>
      </c>
      <c r="Q10" s="36">
        <v>46126</v>
      </c>
      <c r="R10" s="54">
        <v>6658425</v>
      </c>
      <c r="S10" s="54">
        <v>3818211</v>
      </c>
      <c r="T10" s="54">
        <f>+T9-S10</f>
        <v>328648193</v>
      </c>
      <c r="U10" s="54">
        <v>340840</v>
      </c>
      <c r="V10" s="57">
        <v>0</v>
      </c>
      <c r="W10" s="54">
        <f>+R10+S10+V10-U10</f>
        <v>10135796</v>
      </c>
      <c r="Y10" s="33"/>
      <c r="Z10" s="34">
        <f>+P5</f>
        <v>3050679.485029445</v>
      </c>
      <c r="AA10" s="34">
        <f>+P6</f>
        <v>3334126.5870750835</v>
      </c>
      <c r="AB10" s="34">
        <f>+P7</f>
        <v>3474461.0235194447</v>
      </c>
      <c r="AC10" s="34">
        <f>+P8</f>
        <v>3874571.7656853339</v>
      </c>
      <c r="AD10" s="34">
        <f>+P9</f>
        <v>4384816.285755001</v>
      </c>
      <c r="AE10" s="34">
        <f>+P10</f>
        <v>2660881.8363915551</v>
      </c>
      <c r="AF10" s="34">
        <f>+P11</f>
        <v>3731922.687258333</v>
      </c>
      <c r="AG10" s="34">
        <f>+P12</f>
        <v>4169207.9051350001</v>
      </c>
      <c r="AH10" s="34">
        <f>+P13+P15</f>
        <v>982387.87759922224</v>
      </c>
    </row>
    <row r="11" spans="1:34">
      <c r="A11" s="10">
        <f>IF(AND(A10&lt;$B$2)*(A10&lt;&gt;0),1+A10," ")</f>
        <v>8</v>
      </c>
      <c r="B11" s="58">
        <f>IF(A11=" "," ",+F10)</f>
        <v>321833074</v>
      </c>
      <c r="C11" s="58">
        <f>IF(A11=" "," ",+B11*I10)</f>
        <v>4867725.2442499995</v>
      </c>
      <c r="D11" s="58">
        <f>+S12</f>
        <v>6209815</v>
      </c>
      <c r="E11" s="58">
        <f>IF(A11=" "," ",+J10)</f>
        <v>10590768.019051583</v>
      </c>
      <c r="F11" s="58">
        <f>+B11-D11</f>
        <v>315623259</v>
      </c>
      <c r="G11" s="52">
        <v>0.1079</v>
      </c>
      <c r="H11" s="52">
        <f>IF(A11=" "," ",+H10)</f>
        <v>7.4999999999999997E-2</v>
      </c>
      <c r="I11" s="60">
        <f>IF(A11=" "," ",((G11+H11)/12))</f>
        <v>1.5241666666666667E-2</v>
      </c>
      <c r="J11" s="56">
        <f>PMT(I11,K11,-F11,0)</f>
        <v>10596970.238152834</v>
      </c>
      <c r="K11" s="61">
        <f>IF(A8=" "," ",+$B$2-A11)</f>
        <v>40</v>
      </c>
      <c r="L11">
        <f>IF(A11&lt;&gt;" ",+L10," ")</f>
        <v>15</v>
      </c>
      <c r="M11">
        <f>IF(AND(A11&lt;&gt;" ")*(M10=12),1,1+M10)</f>
        <v>6</v>
      </c>
      <c r="N11">
        <f>IF(AND(A11&lt;&gt;" ")*(M11=1),1+N10,N10)</f>
        <v>2026</v>
      </c>
      <c r="O11" s="20">
        <f>+C11/30</f>
        <v>162257.50814166665</v>
      </c>
      <c r="P11" s="32">
        <f>+O11*23</f>
        <v>3731922.687258333</v>
      </c>
      <c r="Q11" s="36">
        <v>46149</v>
      </c>
      <c r="R11" s="22">
        <v>3825018</v>
      </c>
      <c r="S11" s="22">
        <v>6815119</v>
      </c>
      <c r="T11" s="54">
        <f>+T10-S11</f>
        <v>321833074</v>
      </c>
      <c r="U11" s="22">
        <v>345415</v>
      </c>
      <c r="V11" s="22">
        <v>0</v>
      </c>
      <c r="W11" s="54">
        <f>+R11+S11+V11-U11</f>
        <v>10294722</v>
      </c>
      <c r="Y11" s="21">
        <f>SUM(Y9:Y10)</f>
        <v>2449561.1545500001</v>
      </c>
      <c r="Z11" s="21">
        <f>SUM(Z9:Z10)</f>
        <v>4847024.3316994449</v>
      </c>
      <c r="AA11" s="21">
        <f>SUM(AA9:AA10)</f>
        <v>4779188.2905100835</v>
      </c>
      <c r="AB11" s="21">
        <f>SUM(AB9:AB10)</f>
        <v>4744604.4852623334</v>
      </c>
      <c r="AC11" s="21">
        <f>SUM(AC9:AC10)</f>
        <v>4822152.0448270002</v>
      </c>
      <c r="AD11" s="21">
        <f>SUM(AD9:AD10)</f>
        <v>4869136.7564656679</v>
      </c>
      <c r="AE11" s="21">
        <f>SUM(AE9:AE10)</f>
        <v>4934490.2808571113</v>
      </c>
      <c r="AF11" s="21">
        <f>SUM(AF9:AF10)</f>
        <v>4896055.4906796385</v>
      </c>
      <c r="AG11" s="21">
        <f>SUM(AG9:AG10)</f>
        <v>4818237.9377016667</v>
      </c>
      <c r="AH11" s="21">
        <f>+AH9+AH10</f>
        <v>3387702.1305617224</v>
      </c>
    </row>
    <row r="12" spans="1:34" ht="15" customHeight="1">
      <c r="A12" s="10">
        <f>IF(AND(A11&lt;$B$2)*(A11&lt;&gt;0),1+A11," ")</f>
        <v>9</v>
      </c>
      <c r="B12" s="58">
        <f>IF(A12=" "," ",+F11)</f>
        <v>315623259</v>
      </c>
      <c r="C12" s="58">
        <f>IF(A12=" "," ",+B12*I11)</f>
        <v>4810624.5059250006</v>
      </c>
      <c r="D12" s="58">
        <v>4022450</v>
      </c>
      <c r="E12" s="58">
        <f>IF(A12=" "," ",+J11)</f>
        <v>10596970.238152834</v>
      </c>
      <c r="F12" s="58">
        <f>+B12-D12</f>
        <v>311600809</v>
      </c>
      <c r="G12" s="52">
        <v>0</v>
      </c>
      <c r="H12" s="52">
        <f>IF(A12=" "," ",+H11)</f>
        <v>7.4999999999999997E-2</v>
      </c>
      <c r="I12" s="60">
        <f>IF(A12=" "," ",((G12+H12)/12))</f>
        <v>6.2499999999999995E-3</v>
      </c>
      <c r="J12" s="56">
        <f>PMT(I12,K12,-F12,0)</f>
        <v>9027855.7824985068</v>
      </c>
      <c r="K12" s="61">
        <f>IF(A9=" "," ",+$B$2-A12)</f>
        <v>39</v>
      </c>
      <c r="L12">
        <f>IF(A12&lt;&gt;" ",+L11," ")</f>
        <v>15</v>
      </c>
      <c r="M12">
        <f>IF(AND(A12&lt;&gt;" ")*(M11=12),1,1+M11)</f>
        <v>7</v>
      </c>
      <c r="N12">
        <f>IF(AND(A12&lt;&gt;" ")*(M12=1),1+N11,N11)</f>
        <v>2026</v>
      </c>
      <c r="O12" s="20">
        <f>+C12/30</f>
        <v>160354.15019750001</v>
      </c>
      <c r="P12" s="32">
        <f>+O12*26</f>
        <v>4169207.9051350001</v>
      </c>
      <c r="Q12" s="36">
        <v>46177</v>
      </c>
      <c r="R12" s="22">
        <v>4380953</v>
      </c>
      <c r="S12" s="22">
        <v>6209815</v>
      </c>
      <c r="T12" s="54">
        <f>+T11-S12</f>
        <v>315623259</v>
      </c>
      <c r="U12" s="22">
        <v>342724</v>
      </c>
      <c r="V12" s="22"/>
      <c r="W12" s="54">
        <f>+R12+S12+V12-U12</f>
        <v>10248044</v>
      </c>
    </row>
    <row r="13" spans="1:34" ht="15" customHeight="1">
      <c r="A13" s="10">
        <f>IF(AND(A12&lt;$B$2)*(A12&lt;&gt;0),1+A12," ")</f>
        <v>10</v>
      </c>
      <c r="B13" s="58">
        <f>IF(A13=" "," ",+F12)</f>
        <v>311600809</v>
      </c>
      <c r="C13" s="58">
        <f>IF(A13=" "," ",+B13*I12)</f>
        <v>1947505.0562499999</v>
      </c>
      <c r="D13" s="58">
        <f>310963612</f>
        <v>310963612</v>
      </c>
      <c r="E13" s="58">
        <f>IF(A13=" "," ",+J12)</f>
        <v>9027855.7824985068</v>
      </c>
      <c r="F13" s="58">
        <f>+B13-D13</f>
        <v>637197</v>
      </c>
      <c r="G13" s="52">
        <v>0</v>
      </c>
      <c r="H13" s="52">
        <f>IF(A13=" "," ",+H12)</f>
        <v>7.4999999999999997E-2</v>
      </c>
      <c r="I13" s="60">
        <f>IF(A13=" "," ",((G13+H13)/12))</f>
        <v>6.2499999999999995E-3</v>
      </c>
      <c r="J13" s="56">
        <f>PMT(I13,K13,-F13,0)</f>
        <v>18890.430723933227</v>
      </c>
      <c r="K13" s="61">
        <f>IF(A10=" "," ",+$B$2-A13)</f>
        <v>38</v>
      </c>
      <c r="L13">
        <f>IF(A13&lt;&gt;" ",+L12," ")</f>
        <v>15</v>
      </c>
      <c r="M13">
        <f>IF(AND(A13&lt;&gt;" ")*(M12=12),1,1+M12)</f>
        <v>8</v>
      </c>
      <c r="N13">
        <f>IF(AND(A13&lt;&gt;" ")*(M13=1),1+N12,N12)</f>
        <v>2026</v>
      </c>
      <c r="O13" s="20">
        <f>4911608/30</f>
        <v>163720.26666666666</v>
      </c>
      <c r="P13" s="32">
        <f>+O13*6</f>
        <v>982321.6</v>
      </c>
      <c r="Q13" s="36">
        <v>46224</v>
      </c>
      <c r="R13" s="22">
        <v>7556842</v>
      </c>
      <c r="S13" s="22">
        <v>314986062</v>
      </c>
      <c r="T13" s="54">
        <f>+T12-S13</f>
        <v>637197</v>
      </c>
      <c r="U13" s="22"/>
      <c r="V13" s="86">
        <v>15944</v>
      </c>
      <c r="W13" s="54">
        <f>+R13+S13+V13-U13</f>
        <v>322558848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4">
      <c r="A14" s="64">
        <f>IF(AND(A13&lt;$B$2)*(A13&lt;&gt;0),1+A13," ")</f>
        <v>11</v>
      </c>
      <c r="B14" s="58">
        <f>IF(A14=" "," ",+F13)</f>
        <v>637197</v>
      </c>
      <c r="C14" s="58">
        <f>IF(A14=" "," ",+B14*I13)</f>
        <v>3982.4812499999998</v>
      </c>
      <c r="D14" s="58">
        <f>+S14</f>
        <v>574411</v>
      </c>
      <c r="E14" s="58">
        <f>IF(A14=" "," ",+J13)</f>
        <v>18890.430723933227</v>
      </c>
      <c r="F14" s="58">
        <f>+B14-D14</f>
        <v>62786</v>
      </c>
      <c r="G14" s="59">
        <v>0.11501</v>
      </c>
      <c r="H14" s="52">
        <f>IF(A14=" "," ",+H13)</f>
        <v>7.4999999999999997E-2</v>
      </c>
      <c r="I14" s="60">
        <f>IF(A14=" "," ",((G14+H14)/12))</f>
        <v>1.5834166666666667E-2</v>
      </c>
      <c r="J14" s="56">
        <f>PMT(I14,K14,-F14,0)</f>
        <v>2255.2881862563218</v>
      </c>
      <c r="K14" s="61">
        <f>IF(A11=" "," ",+$B$2-A14)</f>
        <v>37</v>
      </c>
      <c r="L14">
        <f>IF(A14&lt;&gt;" ",+L13," ")</f>
        <v>15</v>
      </c>
      <c r="M14">
        <f>IF(AND(A14&lt;&gt;" ")*(M13=12),1,1+M13)</f>
        <v>9</v>
      </c>
      <c r="N14">
        <f>IF(AND(A14&lt;&gt;" ")*(M14=1),1+N13,N13)</f>
        <v>2026</v>
      </c>
      <c r="O14" s="20"/>
      <c r="P14" s="32">
        <f>+O14*6</f>
        <v>0</v>
      </c>
      <c r="Q14" s="36">
        <v>46224</v>
      </c>
      <c r="R14" s="22"/>
      <c r="S14" s="22">
        <v>574411</v>
      </c>
      <c r="T14" s="54">
        <f>+T13-S14</f>
        <v>62786</v>
      </c>
      <c r="U14" s="22">
        <v>574411</v>
      </c>
      <c r="V14" s="22"/>
      <c r="W14" s="54"/>
      <c r="AG14" s="21"/>
    </row>
    <row r="15" spans="1:34" ht="15" customHeight="1">
      <c r="A15" s="97">
        <f>IF(AND(A14&lt;$B$2)*(A14&lt;&gt;0),1+A14," ")</f>
        <v>12</v>
      </c>
      <c r="B15" s="98">
        <f>IF(A15=" "," ",+F14)</f>
        <v>62786</v>
      </c>
      <c r="C15" s="98">
        <f>IF(A15=" "," ",+B15*I14)</f>
        <v>994.16398833333335</v>
      </c>
      <c r="D15" s="98">
        <f>+S15</f>
        <v>0</v>
      </c>
      <c r="E15" s="98">
        <f>IF(A15=" "," ",+J14)</f>
        <v>2255.2881862563218</v>
      </c>
      <c r="F15" s="98">
        <f>+B15-D15</f>
        <v>62786</v>
      </c>
      <c r="G15" s="99">
        <v>8.7599999999999997E-2</v>
      </c>
      <c r="H15" s="100">
        <f>IF(A15=" "," ",+H14)</f>
        <v>7.4999999999999997E-2</v>
      </c>
      <c r="I15" s="101">
        <f>IF(A15=" "," ",((G15+H15)/12))</f>
        <v>1.355E-2</v>
      </c>
      <c r="J15" s="102">
        <f>PMT(I15,K15,-F15,0)</f>
        <v>2215.4373131651128</v>
      </c>
      <c r="K15" s="103">
        <f>IF(A12=" "," ",+$B$2-A15)</f>
        <v>36</v>
      </c>
      <c r="L15" s="104">
        <f>IF(A15&lt;&gt;" ",+L14," ")</f>
        <v>15</v>
      </c>
      <c r="M15" s="104">
        <f>IF(AND(A15&lt;&gt;" ")*(M14=12),1,1+M14)</f>
        <v>10</v>
      </c>
      <c r="N15" s="104">
        <f>IF(AND(A15&lt;&gt;" ")*(M15=1),1+N14,N14)</f>
        <v>2026</v>
      </c>
      <c r="O15" s="20">
        <f>+C15/30</f>
        <v>33.138799611111111</v>
      </c>
      <c r="P15" s="32">
        <f>+O15*2</f>
        <v>66.277599222222221</v>
      </c>
      <c r="Q15" s="36"/>
      <c r="R15" s="22"/>
      <c r="S15" s="22"/>
      <c r="T15" s="54"/>
      <c r="U15" s="22"/>
      <c r="V15" s="22"/>
      <c r="W15" s="54"/>
      <c r="Z15" s="21"/>
      <c r="AC15" s="84"/>
      <c r="AD15" s="21"/>
      <c r="AE15" s="21"/>
    </row>
    <row r="16" spans="1:34">
      <c r="A16" s="10">
        <f>IF(AND(A15&lt;$B$2)*(A15&lt;&gt;0),1+A15," ")</f>
        <v>13</v>
      </c>
      <c r="B16" s="58">
        <f>IF(A16=" "," ",+F15)</f>
        <v>62786</v>
      </c>
      <c r="C16" s="58">
        <f>IF(A16=" "," ",+B16*I15)</f>
        <v>850.75029999999992</v>
      </c>
      <c r="D16" s="58">
        <f>+E16-C16</f>
        <v>1364.6870131651128</v>
      </c>
      <c r="E16" s="58">
        <f>IF(A16=" "," ",+J15)</f>
        <v>2215.4373131651128</v>
      </c>
      <c r="F16" s="58">
        <f>+B16-D16</f>
        <v>61421.312986834884</v>
      </c>
      <c r="G16" s="59">
        <v>8.7599999999999997E-2</v>
      </c>
      <c r="H16" s="52">
        <f>IF(A16=" "," ",+H15)</f>
        <v>7.4999999999999997E-2</v>
      </c>
      <c r="I16" s="60">
        <f>IF(A16=" "," ",((G16+H16)/12))</f>
        <v>1.355E-2</v>
      </c>
      <c r="J16" s="56">
        <f>PMT(I16,K16,-F16,0)</f>
        <v>2215.4373131651128</v>
      </c>
      <c r="K16" s="61">
        <f>IF(A13=" "," ",+$B$2-A16)</f>
        <v>35</v>
      </c>
      <c r="L16">
        <f>IF(A16&lt;&gt;" ",+L15," ")</f>
        <v>15</v>
      </c>
      <c r="M16">
        <f>IF(AND(A16&lt;&gt;" ")*(M15=12),1,1+M15)</f>
        <v>11</v>
      </c>
      <c r="N16">
        <f>IF(AND(A16&lt;&gt;" ")*(M16=1),1+N15,N15)</f>
        <v>2026</v>
      </c>
      <c r="P16" s="32"/>
      <c r="Q16" s="37"/>
      <c r="R16" s="39"/>
      <c r="S16" s="37"/>
      <c r="T16" s="37"/>
      <c r="U16" s="37"/>
      <c r="V16" s="37"/>
      <c r="W16" s="37"/>
      <c r="AB16" s="21"/>
      <c r="AC16" s="85"/>
      <c r="AD16" s="21"/>
      <c r="AF16" s="21"/>
      <c r="AH16" s="21"/>
    </row>
    <row r="17" spans="1:29">
      <c r="A17" s="10">
        <f>IF(AND(A16&lt;$B$2)*(A16&lt;&gt;0),1+A16," ")</f>
        <v>14</v>
      </c>
      <c r="B17" s="58">
        <f>IF(A17=" "," ",+F16)</f>
        <v>61421.312986834884</v>
      </c>
      <c r="C17" s="58">
        <f>IF(A17=" "," ",+B17*I16)</f>
        <v>832.2587909716126</v>
      </c>
      <c r="D17" s="58">
        <f>+E17-C17</f>
        <v>1383.1785221935002</v>
      </c>
      <c r="E17" s="58">
        <f>IF(A17=" "," ",+J16)</f>
        <v>2215.4373131651128</v>
      </c>
      <c r="F17" s="58">
        <f>+B17-D17</f>
        <v>60038.134464641385</v>
      </c>
      <c r="G17" s="59">
        <v>8.7599999999999997E-2</v>
      </c>
      <c r="H17" s="52">
        <f>IF(A17=" "," ",+H16)</f>
        <v>7.4999999999999997E-2</v>
      </c>
      <c r="I17" s="60">
        <f>IF(A17=" "," ",((G17+H17)/12))</f>
        <v>1.355E-2</v>
      </c>
      <c r="J17" s="56">
        <f>PMT(I17,K17,-F17,0)</f>
        <v>2215.4373131651123</v>
      </c>
      <c r="K17" s="61">
        <f>IF(A14=" "," ",+$B$2-A17)</f>
        <v>34</v>
      </c>
      <c r="L17">
        <f>IF(A17&lt;&gt;" ",+L16," ")</f>
        <v>15</v>
      </c>
      <c r="M17">
        <f>IF(AND(A17&lt;&gt;" ")*(M16=12),1,1+M16)</f>
        <v>12</v>
      </c>
      <c r="N17">
        <f>IF(AND(A17&lt;&gt;" ")*(M17=1),1+N16,N16)</f>
        <v>2026</v>
      </c>
      <c r="O17" s="21"/>
      <c r="P17" s="32"/>
      <c r="Q17" s="37"/>
      <c r="R17" s="39"/>
      <c r="S17" s="37"/>
      <c r="T17" s="37"/>
      <c r="U17" s="37"/>
      <c r="V17" s="37"/>
      <c r="W17" s="37"/>
      <c r="AA17" s="21"/>
      <c r="AC17" s="21"/>
    </row>
    <row r="18" spans="1:29">
      <c r="A18" s="10">
        <f>IF(AND(A17&lt;$B$2)*(A17&lt;&gt;0),1+A17," ")</f>
        <v>15</v>
      </c>
      <c r="B18" s="58">
        <f>IF(A18=" "," ",+F17)</f>
        <v>60038.134464641385</v>
      </c>
      <c r="C18" s="58">
        <f>IF(A18=" "," ",+B18*I17)</f>
        <v>813.51672199589075</v>
      </c>
      <c r="D18" s="58">
        <f>+E18-C18</f>
        <v>1401.9205911692216</v>
      </c>
      <c r="E18" s="58">
        <f>IF(A18=" "," ",+J17)</f>
        <v>2215.4373131651123</v>
      </c>
      <c r="F18" s="58">
        <f>+B18-D18</f>
        <v>58636.213873472167</v>
      </c>
      <c r="G18" s="59">
        <v>8.7599999999999997E-2</v>
      </c>
      <c r="H18" s="52">
        <f>IF(A18=" "," ",+H17)</f>
        <v>7.4999999999999997E-2</v>
      </c>
      <c r="I18" s="60">
        <f>IF(A18=" "," ",((G18+H18)/12))</f>
        <v>1.355E-2</v>
      </c>
      <c r="J18" s="56">
        <f>PMT(I18,K18,-F18,0)</f>
        <v>2215.4373131651128</v>
      </c>
      <c r="K18" s="61">
        <f>IF(A15=" "," ",+$B$2-A18)</f>
        <v>33</v>
      </c>
      <c r="L18">
        <f>IF(A18&lt;&gt;" ",+L17," ")</f>
        <v>15</v>
      </c>
      <c r="M18">
        <f>IF(AND(A18&lt;&gt;" ")*(M17=12),1,1+M17)</f>
        <v>1</v>
      </c>
      <c r="N18">
        <f>IF(AND(A18&lt;&gt;" ")*(M18=1),1+N17,N17)</f>
        <v>2027</v>
      </c>
      <c r="P18" s="32"/>
      <c r="R18" s="4"/>
      <c r="Z18" s="20"/>
    </row>
    <row r="19" spans="1:29">
      <c r="A19" s="10">
        <f>IF(AND(A18&lt;$B$2)*(A18&lt;&gt;0),1+A18," ")</f>
        <v>16</v>
      </c>
      <c r="B19" s="58">
        <f>IF(A19=" "," ",+F18)</f>
        <v>58636.213873472167</v>
      </c>
      <c r="C19" s="58">
        <f>IF(A19=" "," ",+B19*I18)</f>
        <v>794.52069798554783</v>
      </c>
      <c r="D19" s="58">
        <f>+E19-C19</f>
        <v>1420.9166151795648</v>
      </c>
      <c r="E19" s="58">
        <f>IF(A19=" "," ",+J18)</f>
        <v>2215.4373131651128</v>
      </c>
      <c r="F19" s="58">
        <f>+B19-D19</f>
        <v>57215.297258292601</v>
      </c>
      <c r="G19" s="59">
        <v>8.7599999999999997E-2</v>
      </c>
      <c r="H19" s="52">
        <f>IF(A19=" "," ",+H18)</f>
        <v>7.4999999999999997E-2</v>
      </c>
      <c r="I19" s="60">
        <f>IF(A19=" "," ",((G19+H19)/12))</f>
        <v>1.355E-2</v>
      </c>
      <c r="J19" s="56">
        <f>PMT(I19,K19,-F19,0)</f>
        <v>2215.4373131651128</v>
      </c>
      <c r="K19" s="61">
        <f>IF(A16=" "," ",+$B$2-A19)</f>
        <v>32</v>
      </c>
      <c r="L19">
        <f>IF(A19&lt;&gt;" ",+L18," ")</f>
        <v>15</v>
      </c>
      <c r="M19">
        <f>IF(AND(A19&lt;&gt;" ")*(M18=12),1,1+M18)</f>
        <v>2</v>
      </c>
      <c r="N19">
        <f>IF(AND(A19&lt;&gt;" ")*(M19=1),1+N18,N18)</f>
        <v>2027</v>
      </c>
      <c r="P19" s="32"/>
      <c r="Q19" s="4"/>
      <c r="R19" s="4"/>
    </row>
    <row r="20" spans="1:29">
      <c r="A20" s="10">
        <f>IF(AND(A19&lt;$B$2)*(A19&lt;&gt;0),1+A19," ")</f>
        <v>17</v>
      </c>
      <c r="B20" s="56">
        <f>IF(A20=" "," ",+F19)</f>
        <v>57215.297258292601</v>
      </c>
      <c r="C20" s="56">
        <f>IF(A20=" "," ",+B20*I19)</f>
        <v>775.26727784986474</v>
      </c>
      <c r="D20" s="58">
        <f>+E20-C20</f>
        <v>1440.170035315248</v>
      </c>
      <c r="E20" s="58">
        <f>IF(A20=" "," ",+J19)</f>
        <v>2215.4373131651128</v>
      </c>
      <c r="F20" s="56">
        <f>+B20-D20</f>
        <v>55775.127222977353</v>
      </c>
      <c r="G20" s="59">
        <v>8.7599999999999997E-2</v>
      </c>
      <c r="H20" s="52">
        <f>IF(A20=" "," ",+H19)</f>
        <v>7.4999999999999997E-2</v>
      </c>
      <c r="I20" s="60">
        <f>IF(A20=" "," ",((G20+H20)/12))</f>
        <v>1.355E-2</v>
      </c>
      <c r="J20" s="56">
        <f>PMT(I20,K20,-F20,0)</f>
        <v>2215.4373131651128</v>
      </c>
      <c r="K20" s="61">
        <f>IF(A17=" "," ",+$B$2-A20)</f>
        <v>31</v>
      </c>
      <c r="L20">
        <f>IF(A20&lt;&gt;" ",+L19," ")</f>
        <v>15</v>
      </c>
      <c r="M20">
        <f>IF(AND(A20&lt;&gt;" ")*(M19=12),1,1+M19)</f>
        <v>3</v>
      </c>
      <c r="N20">
        <f>IF(AND(A20&lt;&gt;" ")*(M20=1),1+N19,N19)</f>
        <v>2027</v>
      </c>
      <c r="P20" s="21"/>
    </row>
    <row r="21" spans="1:29">
      <c r="A21" s="10">
        <f>IF(AND(A20&lt;$B$2)*(A20&lt;&gt;0),1+A20," ")</f>
        <v>18</v>
      </c>
      <c r="B21" s="56">
        <f>IF(A21=" "," ",+F20)</f>
        <v>55775.127222977353</v>
      </c>
      <c r="C21" s="56">
        <f>IF(A21=" "," ",+B21*I20)</f>
        <v>755.7529738713431</v>
      </c>
      <c r="D21" s="58">
        <f>+E21-C21</f>
        <v>1459.6843392937697</v>
      </c>
      <c r="E21" s="58">
        <f>IF(A21=" "," ",+J20)</f>
        <v>2215.4373131651128</v>
      </c>
      <c r="F21" s="56">
        <f>+B21-D21</f>
        <v>54315.442883683587</v>
      </c>
      <c r="G21" s="59">
        <v>8.7599999999999997E-2</v>
      </c>
      <c r="H21" s="52">
        <f>IF(A21=" "," ",+H20)</f>
        <v>7.4999999999999997E-2</v>
      </c>
      <c r="I21" s="60">
        <f>IF(A21=" "," ",((G21+H21)/12))</f>
        <v>1.355E-2</v>
      </c>
      <c r="J21" s="56">
        <f>PMT(I21,K21,-F21,0)</f>
        <v>2215.4373131651128</v>
      </c>
      <c r="K21" s="61">
        <f>IF(A18=" "," ",+$B$2-A21)</f>
        <v>30</v>
      </c>
      <c r="L21">
        <f>IF(A21&lt;&gt;" ",+L20," ")</f>
        <v>15</v>
      </c>
      <c r="M21">
        <f>IF(AND(A21&lt;&gt;" ")*(M20=12),1,1+M20)</f>
        <v>4</v>
      </c>
      <c r="N21">
        <f>IF(AND(A21&lt;&gt;" ")*(M21=1),1+N20,N20)</f>
        <v>2027</v>
      </c>
    </row>
    <row r="22" spans="1:29">
      <c r="A22" s="10">
        <f>IF(AND(A21&lt;$B$2)*(A21&lt;&gt;0),1+A21," ")</f>
        <v>19</v>
      </c>
      <c r="B22" s="56">
        <f>IF(A22=" "," ",+F21)</f>
        <v>54315.442883683587</v>
      </c>
      <c r="C22" s="56">
        <f>IF(A22=" "," ",+B22*I21)</f>
        <v>735.97425107391257</v>
      </c>
      <c r="D22" s="58">
        <f>+E22-C22</f>
        <v>1479.4630620912003</v>
      </c>
      <c r="E22" s="58">
        <f>IF(A22=" "," ",+J21)</f>
        <v>2215.4373131651128</v>
      </c>
      <c r="F22" s="56">
        <f>+B22-D22</f>
        <v>52835.979821592387</v>
      </c>
      <c r="G22" s="59">
        <v>8.7599999999999997E-2</v>
      </c>
      <c r="H22" s="52">
        <f>IF(A22=" "," ",+H21)</f>
        <v>7.4999999999999997E-2</v>
      </c>
      <c r="I22" s="60">
        <f>IF(A22=" "," ",((G22+H22)/12))</f>
        <v>1.355E-2</v>
      </c>
      <c r="J22" s="56">
        <f>PMT(I22,K22,-F22,0)</f>
        <v>2215.4373131651132</v>
      </c>
      <c r="K22" s="61">
        <f>IF(A19=" "," ",+$B$2-A22)</f>
        <v>29</v>
      </c>
      <c r="L22">
        <f>IF(A22&lt;&gt;" ",+L21," ")</f>
        <v>15</v>
      </c>
      <c r="M22">
        <f>IF(AND(A22&lt;&gt;" ")*(M21=12),1,1+M21)</f>
        <v>5</v>
      </c>
      <c r="N22">
        <f>IF(AND(A22&lt;&gt;" ")*(M22=1),1+N21,N21)</f>
        <v>2027</v>
      </c>
    </row>
    <row r="23" spans="1:29">
      <c r="A23" s="10">
        <f>IF(AND(A22&lt;$B$2)*(A22&lt;&gt;0),1+A22," ")</f>
        <v>20</v>
      </c>
      <c r="B23" s="56">
        <f>IF(A23=" "," ",+F22)</f>
        <v>52835.979821592387</v>
      </c>
      <c r="C23" s="56">
        <f>IF(A23=" "," ",+B23*I22)</f>
        <v>715.92752658257677</v>
      </c>
      <c r="D23" s="58">
        <f>+E23-C23</f>
        <v>1499.5097865825364</v>
      </c>
      <c r="E23" s="58">
        <f>IF(A23=" "," ",+J22)</f>
        <v>2215.4373131651132</v>
      </c>
      <c r="F23" s="56">
        <f>+B23-D23</f>
        <v>51336.47003500985</v>
      </c>
      <c r="G23" s="59">
        <v>8.7599999999999997E-2</v>
      </c>
      <c r="H23" s="52">
        <f>IF(A23=" "," ",+H22)</f>
        <v>7.4999999999999997E-2</v>
      </c>
      <c r="I23" s="60">
        <f>IF(A23=" "," ",((G23+H23)/12))</f>
        <v>1.355E-2</v>
      </c>
      <c r="J23" s="56">
        <f>PMT(I23,K23,-F23,0)</f>
        <v>2215.4373131651128</v>
      </c>
      <c r="K23" s="61">
        <f>IF(A20=" "," ",+$B$2-A23)</f>
        <v>28</v>
      </c>
      <c r="L23">
        <f>IF(A23&lt;&gt;" ",+L22," ")</f>
        <v>15</v>
      </c>
      <c r="M23">
        <f>IF(AND(A23&lt;&gt;" ")*(M22=12),1,1+M22)</f>
        <v>6</v>
      </c>
      <c r="N23">
        <f>IF(AND(A23&lt;&gt;" ")*(M23=1),1+N22,N22)</f>
        <v>2027</v>
      </c>
    </row>
    <row r="24" spans="1:29">
      <c r="A24" s="10">
        <f>IF(AND(A23&lt;$B$2)*(A23&lt;&gt;0),1+A23," ")</f>
        <v>21</v>
      </c>
      <c r="B24" s="56">
        <f>IF(A24=" "," ",+F23)</f>
        <v>51336.47003500985</v>
      </c>
      <c r="C24" s="56">
        <f>IF(A24=" "," ",+B24*I23)</f>
        <v>695.60916897438346</v>
      </c>
      <c r="D24" s="58">
        <f>+E24-C24</f>
        <v>1519.8281441907293</v>
      </c>
      <c r="E24" s="58">
        <f>IF(A24=" "," ",+J23)</f>
        <v>2215.4373131651128</v>
      </c>
      <c r="F24" s="56">
        <f>+B24-D24</f>
        <v>49816.641890819119</v>
      </c>
      <c r="G24" s="59">
        <v>8.7599999999999997E-2</v>
      </c>
      <c r="H24" s="52">
        <f>IF(A24=" "," ",+H23)</f>
        <v>7.4999999999999997E-2</v>
      </c>
      <c r="I24" s="60">
        <f>IF(A24=" "," ",((G24+H24)/12))</f>
        <v>1.355E-2</v>
      </c>
      <c r="J24" s="56">
        <f>PMT(I24,K24,-F24,0)</f>
        <v>2215.4373131651128</v>
      </c>
      <c r="K24" s="61">
        <f>IF(A21=" "," ",+$B$2-A24)</f>
        <v>27</v>
      </c>
      <c r="L24">
        <f>IF(A24&lt;&gt;" ",+L23," ")</f>
        <v>15</v>
      </c>
      <c r="M24">
        <f>IF(AND(A24&lt;&gt;" ")*(M23=12),1,1+M23)</f>
        <v>7</v>
      </c>
      <c r="N24">
        <f>IF(AND(A24&lt;&gt;" ")*(M24=1),1+N23,N23)</f>
        <v>2027</v>
      </c>
    </row>
    <row r="25" spans="1:29">
      <c r="A25" s="10">
        <f>IF(AND(A24&lt;$B$2)*(A24&lt;&gt;0),1+A24," ")</f>
        <v>22</v>
      </c>
      <c r="B25" s="56">
        <f>IF(A25=" "," ",+F24)</f>
        <v>49816.641890819119</v>
      </c>
      <c r="C25" s="56">
        <f>IF(A25=" "," ",+B25*I24)</f>
        <v>675.01549762059904</v>
      </c>
      <c r="D25" s="58">
        <f>+E25-C25</f>
        <v>1540.4218155445137</v>
      </c>
      <c r="E25" s="58">
        <f>IF(A25=" "," ",+J24)</f>
        <v>2215.4373131651128</v>
      </c>
      <c r="F25" s="56">
        <f>+B25-D25</f>
        <v>48276.220075274607</v>
      </c>
      <c r="G25" s="59">
        <v>8.7599999999999997E-2</v>
      </c>
      <c r="H25" s="52">
        <f>IF(A25=" "," ",+H24)</f>
        <v>7.4999999999999997E-2</v>
      </c>
      <c r="I25" s="60">
        <f>IF(A25=" "," ",((G25+H25)/12))</f>
        <v>1.355E-2</v>
      </c>
      <c r="J25" s="56">
        <f>PMT(I25,K25,-F25,0)</f>
        <v>2215.4373131651128</v>
      </c>
      <c r="K25" s="61">
        <f>IF(A22=" "," ",+$B$2-A25)</f>
        <v>26</v>
      </c>
      <c r="L25">
        <f>IF(A25&lt;&gt;" ",+L24," ")</f>
        <v>15</v>
      </c>
      <c r="M25">
        <f>IF(AND(A25&lt;&gt;" ")*(M24=12),1,1+M24)</f>
        <v>8</v>
      </c>
      <c r="N25">
        <f>IF(AND(A25&lt;&gt;" ")*(M25=1),1+N24,N24)</f>
        <v>2027</v>
      </c>
    </row>
    <row r="26" spans="1:29">
      <c r="A26" s="10">
        <f>IF(AND(A25&lt;$B$2)*(A25&lt;&gt;0),1+A25," ")</f>
        <v>23</v>
      </c>
      <c r="B26" s="56">
        <f>IF(A26=" "," ",+F25)</f>
        <v>48276.220075274607</v>
      </c>
      <c r="C26" s="56">
        <f>IF(A26=" "," ",+B26*I25)</f>
        <v>654.14278201997092</v>
      </c>
      <c r="D26" s="58">
        <f>+E26-C26</f>
        <v>1561.2945311451417</v>
      </c>
      <c r="E26" s="58">
        <f>IF(A26=" "," ",+J25)</f>
        <v>2215.4373131651128</v>
      </c>
      <c r="F26" s="56">
        <f>+B26-D26</f>
        <v>46714.925544129466</v>
      </c>
      <c r="G26" s="59">
        <v>8.7599999999999997E-2</v>
      </c>
      <c r="H26" s="52">
        <f>IF(A26=" "," ",+H25)</f>
        <v>7.4999999999999997E-2</v>
      </c>
      <c r="I26" s="60">
        <f>IF(A26=" "," ",((G26+H26)/12))</f>
        <v>1.355E-2</v>
      </c>
      <c r="J26" s="56">
        <f>PMT(I26,K26,-F26,0)</f>
        <v>2215.4373131651128</v>
      </c>
      <c r="K26" s="61">
        <f>IF(A23=" "," ",+$B$2-A26)</f>
        <v>25</v>
      </c>
      <c r="L26">
        <f>IF(A26&lt;&gt;" ",+L25," ")</f>
        <v>15</v>
      </c>
      <c r="M26">
        <f>IF(AND(A26&lt;&gt;" ")*(M25=12),1,1+M25)</f>
        <v>9</v>
      </c>
      <c r="N26">
        <f>IF(AND(A26&lt;&gt;" ")*(M26=1),1+N25,N25)</f>
        <v>2027</v>
      </c>
    </row>
    <row r="27" spans="1:29">
      <c r="A27" s="10">
        <f>IF(AND(A26&lt;$B$2)*(A26&lt;&gt;0),1+A26," ")</f>
        <v>24</v>
      </c>
      <c r="B27" s="56">
        <f>IF(A27=" "," ",+F26)</f>
        <v>46714.925544129466</v>
      </c>
      <c r="C27" s="56">
        <f>IF(A27=" "," ",+B27*I26)</f>
        <v>632.98724112295429</v>
      </c>
      <c r="D27" s="58">
        <f>+E27-C27</f>
        <v>1582.4500720421584</v>
      </c>
      <c r="E27" s="58">
        <f>IF(A27=" "," ",+J26)</f>
        <v>2215.4373131651128</v>
      </c>
      <c r="F27" s="56">
        <f>+B27-D27</f>
        <v>45132.47547208731</v>
      </c>
      <c r="G27" s="59">
        <v>8.7599999999999997E-2</v>
      </c>
      <c r="H27" s="52">
        <f>IF(A27=" "," ",+H26)</f>
        <v>7.4999999999999997E-2</v>
      </c>
      <c r="I27" s="60">
        <f>IF(A27=" "," ",((G27+H27)/12))</f>
        <v>1.355E-2</v>
      </c>
      <c r="J27" s="56">
        <f>PMT(I27,K27,-F27,0)</f>
        <v>2215.4373131651132</v>
      </c>
      <c r="K27" s="61">
        <f>IF(A24=" "," ",+$B$2-A27)</f>
        <v>24</v>
      </c>
      <c r="L27">
        <f>IF(A27&lt;&gt;" ",+L26," ")</f>
        <v>15</v>
      </c>
      <c r="M27">
        <f>IF(AND(A27&lt;&gt;" ")*(M26=12),1,1+M26)</f>
        <v>10</v>
      </c>
      <c r="N27">
        <f>IF(AND(A27&lt;&gt;" ")*(M27=1),1+N26,N26)</f>
        <v>2027</v>
      </c>
    </row>
    <row r="28" spans="1:29">
      <c r="A28" s="10">
        <f>IF(AND(A27&lt;$B$2)*(A27&lt;&gt;0),1+A27," ")</f>
        <v>25</v>
      </c>
      <c r="B28" s="56">
        <f>IF(A28=" "," ",+F27)</f>
        <v>45132.47547208731</v>
      </c>
      <c r="C28" s="56">
        <f>IF(A28=" "," ",+B28*I27)</f>
        <v>611.54504264678303</v>
      </c>
      <c r="D28" s="58">
        <f>+E28-C28</f>
        <v>1603.8922705183302</v>
      </c>
      <c r="E28" s="58">
        <f>IF(A28=" "," ",+J27)</f>
        <v>2215.4373131651132</v>
      </c>
      <c r="F28" s="56">
        <f>+B28-D28</f>
        <v>43528.583201568981</v>
      </c>
      <c r="G28" s="59">
        <v>8.7599999999999997E-2</v>
      </c>
      <c r="H28" s="52">
        <f>IF(A28=" "," ",+H27)</f>
        <v>7.4999999999999997E-2</v>
      </c>
      <c r="I28" s="60">
        <f>IF(A28=" "," ",((G28+H28)/12))</f>
        <v>1.355E-2</v>
      </c>
      <c r="J28" s="56">
        <f>PMT(I28,K28,-F28,0)</f>
        <v>2215.4373131651132</v>
      </c>
      <c r="K28" s="61">
        <f>IF(A25=" "," ",+$B$2-A28)</f>
        <v>23</v>
      </c>
      <c r="L28">
        <f>IF(A28&lt;&gt;" ",+L27," ")</f>
        <v>15</v>
      </c>
      <c r="M28">
        <f>IF(AND(A28&lt;&gt;" ")*(M27=12),1,1+M27)</f>
        <v>11</v>
      </c>
      <c r="N28">
        <f>IF(AND(A28&lt;&gt;" ")*(M28=1),1+N27,N27)</f>
        <v>2027</v>
      </c>
    </row>
    <row r="29" spans="1:29">
      <c r="A29" s="10">
        <f>IF(AND(A28&lt;$B$2)*(A28&lt;&gt;0),1+A28," ")</f>
        <v>26</v>
      </c>
      <c r="B29" s="56">
        <f>IF(A29=" "," ",+F28)</f>
        <v>43528.583201568981</v>
      </c>
      <c r="C29" s="56">
        <f>IF(A29=" "," ",+B29*I28)</f>
        <v>589.81230238125966</v>
      </c>
      <c r="D29" s="58">
        <f>+E29-C29</f>
        <v>1625.6250107838537</v>
      </c>
      <c r="E29" s="58">
        <f>IF(A29=" "," ",+J28)</f>
        <v>2215.4373131651132</v>
      </c>
      <c r="F29" s="56">
        <f>+B29-D29</f>
        <v>41902.958190785124</v>
      </c>
      <c r="G29" s="59">
        <v>8.7599999999999997E-2</v>
      </c>
      <c r="H29" s="52">
        <f>IF(A29=" "," ",+H28)</f>
        <v>7.4999999999999997E-2</v>
      </c>
      <c r="I29" s="60">
        <f>IF(A29=" "," ",((G29+H29)/12))</f>
        <v>1.355E-2</v>
      </c>
      <c r="J29" s="56">
        <f>PMT(I29,K29,-F29,0)</f>
        <v>2215.4373131651128</v>
      </c>
      <c r="K29" s="61">
        <f>IF(A26=" "," ",+$B$2-A29)</f>
        <v>22</v>
      </c>
      <c r="L29">
        <f>IF(A29&lt;&gt;" ",+L28," ")</f>
        <v>15</v>
      </c>
      <c r="M29">
        <f>IF(AND(A29&lt;&gt;" ")*(M28=12),1,1+M28)</f>
        <v>12</v>
      </c>
      <c r="N29">
        <f>IF(AND(A29&lt;&gt;" ")*(M29=1),1+N28,N28)</f>
        <v>2027</v>
      </c>
    </row>
    <row r="30" spans="1:29">
      <c r="A30" s="10">
        <f>IF(AND(A29&lt;$B$2)*(A29&lt;&gt;0),1+A29," ")</f>
        <v>27</v>
      </c>
      <c r="B30" s="56">
        <f>IF(A30=" "," ",+F29)</f>
        <v>41902.958190785124</v>
      </c>
      <c r="C30" s="56">
        <f>IF(A30=" "," ",+B30*I29)</f>
        <v>567.78508348513844</v>
      </c>
      <c r="D30" s="58">
        <f>+E30-C30</f>
        <v>1647.6522296799744</v>
      </c>
      <c r="E30" s="58">
        <f>IF(A30=" "," ",+J29)</f>
        <v>2215.4373131651128</v>
      </c>
      <c r="F30" s="56">
        <f>+B30-D30</f>
        <v>40255.30596110515</v>
      </c>
      <c r="G30" s="59">
        <v>8.7599999999999997E-2</v>
      </c>
      <c r="H30" s="52">
        <f>IF(A30=" "," ",+H29)</f>
        <v>7.4999999999999997E-2</v>
      </c>
      <c r="I30" s="60">
        <f>IF(A30=" "," ",((G30+H30)/12))</f>
        <v>1.355E-2</v>
      </c>
      <c r="J30" s="56">
        <f>PMT(I30,K30,-F30,0)</f>
        <v>2215.4373131651132</v>
      </c>
      <c r="K30" s="61">
        <f>IF(A27=" "," ",+$B$2-A30)</f>
        <v>21</v>
      </c>
      <c r="L30">
        <f>IF(A30&lt;&gt;" ",+L29," ")</f>
        <v>15</v>
      </c>
      <c r="M30">
        <f>IF(AND(A30&lt;&gt;" ")*(M29=12),1,1+M29)</f>
        <v>1</v>
      </c>
      <c r="N30">
        <f>IF(AND(A30&lt;&gt;" ")*(M30=1),1+N29,N29)</f>
        <v>2028</v>
      </c>
    </row>
    <row r="31" spans="1:29">
      <c r="A31" s="10">
        <f>IF(AND(A30&lt;$B$2)*(A30&lt;&gt;0),1+A30," ")</f>
        <v>28</v>
      </c>
      <c r="B31" s="56">
        <f>IF(A31=" "," ",+F30)</f>
        <v>40255.30596110515</v>
      </c>
      <c r="C31" s="56">
        <f>IF(A31=" "," ",+B31*I30)</f>
        <v>545.45939577297474</v>
      </c>
      <c r="D31" s="58">
        <f>+E31-C31</f>
        <v>1669.9779173921384</v>
      </c>
      <c r="E31" s="58">
        <f>IF(A31=" "," ",+J30)</f>
        <v>2215.4373131651132</v>
      </c>
      <c r="F31" s="56">
        <f>+B31-D31</f>
        <v>38585.328043713009</v>
      </c>
      <c r="G31" s="59">
        <v>8.7599999999999997E-2</v>
      </c>
      <c r="H31" s="52">
        <f>IF(A31=" "," ",+H30)</f>
        <v>7.4999999999999997E-2</v>
      </c>
      <c r="I31" s="60">
        <f>IF(A31=" "," ",((G31+H31)/12))</f>
        <v>1.355E-2</v>
      </c>
      <c r="J31" s="56">
        <f>PMT(I31,K31,-F31,0)</f>
        <v>2215.4373131651132</v>
      </c>
      <c r="K31" s="61">
        <f>IF(A28=" "," ",+$B$2-A31)</f>
        <v>20</v>
      </c>
      <c r="L31">
        <f>IF(A31&lt;&gt;" ",+L30," ")</f>
        <v>15</v>
      </c>
      <c r="M31">
        <f>IF(AND(A31&lt;&gt;" ")*(M30=12),1,1+M30)</f>
        <v>2</v>
      </c>
      <c r="N31">
        <f>IF(AND(A31&lt;&gt;" ")*(M31=1),1+N30,N30)</f>
        <v>2028</v>
      </c>
    </row>
    <row r="32" spans="1:29">
      <c r="A32" s="10">
        <f>IF(AND(A31&lt;$B$2)*(A31&lt;&gt;0),1+A31," ")</f>
        <v>29</v>
      </c>
      <c r="B32" s="56">
        <f>IF(A32=" "," ",+F31)</f>
        <v>38585.328043713009</v>
      </c>
      <c r="C32" s="56">
        <f>IF(A32=" "," ",+B32*I31)</f>
        <v>522.83119499231123</v>
      </c>
      <c r="D32" s="58">
        <f>+E32-C32</f>
        <v>1692.6061181728019</v>
      </c>
      <c r="E32" s="58">
        <f>IF(A32=" "," ",+J31)</f>
        <v>2215.4373131651132</v>
      </c>
      <c r="F32" s="56">
        <f>+B32-D32</f>
        <v>36892.721925540209</v>
      </c>
      <c r="G32" s="59">
        <v>8.7599999999999997E-2</v>
      </c>
      <c r="H32" s="52">
        <f>IF(A32=" "," ",+H31)</f>
        <v>7.4999999999999997E-2</v>
      </c>
      <c r="I32" s="60">
        <f>IF(A32=" "," ",((G32+H32)/12))</f>
        <v>1.355E-2</v>
      </c>
      <c r="J32" s="56">
        <f>PMT(I32,K32,-F32,0)</f>
        <v>2215.4373131651128</v>
      </c>
      <c r="K32" s="61">
        <f>IF(A29=" "," ",+$B$2-A32)</f>
        <v>19</v>
      </c>
      <c r="L32">
        <f>IF(A32&lt;&gt;" ",+L31," ")</f>
        <v>15</v>
      </c>
      <c r="M32">
        <f>IF(AND(A32&lt;&gt;" ")*(M31=12),1,1+M31)</f>
        <v>3</v>
      </c>
      <c r="N32">
        <f>IF(AND(A32&lt;&gt;" ")*(M32=1),1+N31,N31)</f>
        <v>2028</v>
      </c>
    </row>
    <row r="33" spans="1:14">
      <c r="A33" s="10">
        <f>IF(AND(A32&lt;$B$2)*(A32&lt;&gt;0),1+A32," ")</f>
        <v>30</v>
      </c>
      <c r="B33" s="56">
        <f>IF(A33=" "," ",+F32)</f>
        <v>36892.721925540209</v>
      </c>
      <c r="C33" s="56">
        <f>IF(A33=" "," ",+B33*I32)</f>
        <v>499.89638209106982</v>
      </c>
      <c r="D33" s="58">
        <f>+E33-C33</f>
        <v>1715.5409310740429</v>
      </c>
      <c r="E33" s="58">
        <f>IF(A33=" "," ",+J32)</f>
        <v>2215.4373131651128</v>
      </c>
      <c r="F33" s="56">
        <f>+B33-D33</f>
        <v>35177.180994466165</v>
      </c>
      <c r="G33" s="59">
        <v>8.7599999999999997E-2</v>
      </c>
      <c r="H33" s="52">
        <f>IF(A33=" "," ",+H32)</f>
        <v>7.4999999999999997E-2</v>
      </c>
      <c r="I33" s="60">
        <f>IF(A33=" "," ",((G33+H33)/12))</f>
        <v>1.355E-2</v>
      </c>
      <c r="J33" s="56">
        <f>PMT(I33,K33,-F33,0)</f>
        <v>2215.4373131651128</v>
      </c>
      <c r="K33" s="61">
        <f>IF(A30=" "," ",+$B$2-A33)</f>
        <v>18</v>
      </c>
      <c r="L33">
        <f>IF(A33&lt;&gt;" ",+L32," ")</f>
        <v>15</v>
      </c>
      <c r="M33">
        <f>IF(AND(A33&lt;&gt;" ")*(M32=12),1,1+M32)</f>
        <v>4</v>
      </c>
      <c r="N33">
        <f>IF(AND(A33&lt;&gt;" ")*(M33=1),1+N32,N32)</f>
        <v>2028</v>
      </c>
    </row>
    <row r="34" spans="1:14">
      <c r="A34" s="10">
        <f>IF(AND(A33&lt;$B$2)*(A33&lt;&gt;0),1+A33," ")</f>
        <v>31</v>
      </c>
      <c r="B34" s="56">
        <f>IF(A34=" "," ",+F33)</f>
        <v>35177.180994466165</v>
      </c>
      <c r="C34" s="56">
        <f>IF(A34=" "," ",+B34*I33)</f>
        <v>476.65080247501652</v>
      </c>
      <c r="D34" s="58">
        <f>+E34-C34</f>
        <v>1738.7865106900963</v>
      </c>
      <c r="E34" s="58">
        <f>IF(A34=" "," ",+J33)</f>
        <v>2215.4373131651128</v>
      </c>
      <c r="F34" s="56">
        <f>+B34-D34</f>
        <v>33438.394483776072</v>
      </c>
      <c r="G34" s="59">
        <v>8.7599999999999997E-2</v>
      </c>
      <c r="H34" s="52">
        <f>IF(A34=" "," ",+H33)</f>
        <v>7.4999999999999997E-2</v>
      </c>
      <c r="I34" s="60">
        <f>IF(A34=" "," ",((G34+H34)/12))</f>
        <v>1.355E-2</v>
      </c>
      <c r="J34" s="56">
        <f>PMT(I34,K34,-F34,0)</f>
        <v>2215.4373131651128</v>
      </c>
      <c r="K34" s="61">
        <f>IF(A31=" "," ",+$B$2-A34)</f>
        <v>17</v>
      </c>
      <c r="L34">
        <f>IF(A34&lt;&gt;" ",+L33," ")</f>
        <v>15</v>
      </c>
      <c r="M34">
        <f>IF(AND(A34&lt;&gt;" ")*(M33=12),1,1+M33)</f>
        <v>5</v>
      </c>
      <c r="N34">
        <f>IF(AND(A34&lt;&gt;" ")*(M34=1),1+N33,N33)</f>
        <v>2028</v>
      </c>
    </row>
    <row r="35" spans="1:14">
      <c r="A35" s="10">
        <f>IF(AND(A34&lt;$B$2)*(A34&lt;&gt;0),1+A34," ")</f>
        <v>32</v>
      </c>
      <c r="B35" s="56">
        <f>IF(A35=" "," ",+F34)</f>
        <v>33438.394483776072</v>
      </c>
      <c r="C35" s="56">
        <f>IF(A35=" "," ",+B35*I34)</f>
        <v>453.09024525516577</v>
      </c>
      <c r="D35" s="58">
        <f>+E35-C35</f>
        <v>1762.3470679099469</v>
      </c>
      <c r="E35" s="58">
        <f>IF(A35=" "," ",+J34)</f>
        <v>2215.4373131651128</v>
      </c>
      <c r="F35" s="56">
        <f>+B35-D35</f>
        <v>31676.047415866124</v>
      </c>
      <c r="G35" s="59">
        <v>8.7599999999999997E-2</v>
      </c>
      <c r="H35" s="52">
        <f>IF(A35=" "," ",+H34)</f>
        <v>7.4999999999999997E-2</v>
      </c>
      <c r="I35" s="60">
        <f>IF(A35=" "," ",((G35+H35)/12))</f>
        <v>1.355E-2</v>
      </c>
      <c r="J35" s="56">
        <f>PMT(I35,K35,-F35,0)</f>
        <v>2215.4373131651128</v>
      </c>
      <c r="K35" s="61">
        <f>IF(A32=" "," ",+$B$2-A35)</f>
        <v>16</v>
      </c>
      <c r="L35">
        <f>IF(A35&lt;&gt;" ",+L34," ")</f>
        <v>15</v>
      </c>
      <c r="M35">
        <f>IF(AND(A35&lt;&gt;" ")*(M34=12),1,1+M34)</f>
        <v>6</v>
      </c>
      <c r="N35">
        <f>IF(AND(A35&lt;&gt;" ")*(M35=1),1+N34,N34)</f>
        <v>2028</v>
      </c>
    </row>
    <row r="36" spans="1:14">
      <c r="A36" s="10">
        <f>IF(AND(A35&lt;$B$2)*(A35&lt;&gt;0),1+A35," ")</f>
        <v>33</v>
      </c>
      <c r="B36" s="56">
        <f>IF(A36=" "," ",+F35)</f>
        <v>31676.047415866124</v>
      </c>
      <c r="C36" s="56">
        <f>IF(A36=" "," ",+B36*I35)</f>
        <v>429.21044248498595</v>
      </c>
      <c r="D36" s="58">
        <f>+E36-C36</f>
        <v>1786.2268706801269</v>
      </c>
      <c r="E36" s="58">
        <f>IF(A36=" "," ",+J35)</f>
        <v>2215.4373131651128</v>
      </c>
      <c r="F36" s="56">
        <f>+B36-D36</f>
        <v>29889.820545185998</v>
      </c>
      <c r="G36" s="59">
        <v>8.7599999999999997E-2</v>
      </c>
      <c r="H36" s="52">
        <f>IF(A36=" "," ",+H35)</f>
        <v>7.4999999999999997E-2</v>
      </c>
      <c r="I36" s="60">
        <f>IF(A36=" "," ",((G36+H36)/12))</f>
        <v>1.355E-2</v>
      </c>
      <c r="J36" s="56">
        <f>PMT(I36,K36,-F36,0)</f>
        <v>2215.4373131651132</v>
      </c>
      <c r="K36" s="61">
        <f>IF(A33=" "," ",+$B$2-A36)</f>
        <v>15</v>
      </c>
      <c r="L36">
        <f>IF(A36&lt;&gt;" ",+L35," ")</f>
        <v>15</v>
      </c>
      <c r="M36">
        <f>IF(AND(A36&lt;&gt;" ")*(M35=12),1,1+M35)</f>
        <v>7</v>
      </c>
      <c r="N36">
        <f>IF(AND(A36&lt;&gt;" ")*(M36=1),1+N35,N35)</f>
        <v>2028</v>
      </c>
    </row>
    <row r="37" spans="1:14">
      <c r="A37" s="10">
        <f>IF(AND(A36&lt;$B$2)*(A36&lt;&gt;0),1+A36," ")</f>
        <v>34</v>
      </c>
      <c r="B37" s="56">
        <f>IF(A37=" "," ",+F36)</f>
        <v>29889.820545185998</v>
      </c>
      <c r="C37" s="56">
        <f>IF(A37=" "," ",+B37*I36)</f>
        <v>405.00706838727024</v>
      </c>
      <c r="D37" s="58">
        <f>+E37-C37</f>
        <v>1810.430244777843</v>
      </c>
      <c r="E37" s="58">
        <f>IF(A37=" "," ",+J36)</f>
        <v>2215.4373131651132</v>
      </c>
      <c r="F37" s="56">
        <f>+B37-D37</f>
        <v>28079.390300408155</v>
      </c>
      <c r="G37" s="59">
        <v>8.7599999999999997E-2</v>
      </c>
      <c r="H37" s="52">
        <f>IF(A37=" "," ",+H36)</f>
        <v>7.4999999999999997E-2</v>
      </c>
      <c r="I37" s="60">
        <f>IF(A37=" "," ",((G37+H37)/12))</f>
        <v>1.355E-2</v>
      </c>
      <c r="J37" s="56">
        <f>PMT(I37,K37,-F37,0)</f>
        <v>2215.4373131651132</v>
      </c>
      <c r="K37" s="61">
        <f>IF(A34=" "," ",+$B$2-A37)</f>
        <v>14</v>
      </c>
      <c r="L37">
        <f>IF(A37&lt;&gt;" ",+L36," ")</f>
        <v>15</v>
      </c>
      <c r="M37">
        <f>IF(AND(A37&lt;&gt;" ")*(M36=12),1,1+M36)</f>
        <v>8</v>
      </c>
      <c r="N37">
        <f>IF(AND(A37&lt;&gt;" ")*(M37=1),1+N36,N36)</f>
        <v>2028</v>
      </c>
    </row>
    <row r="38" spans="1:14">
      <c r="A38" s="10">
        <f>IF(AND(A37&lt;$B$2)*(A37&lt;&gt;0),1+A37," ")</f>
        <v>35</v>
      </c>
      <c r="B38" s="56">
        <f>IF(A38=" "," ",+F37)</f>
        <v>28079.390300408155</v>
      </c>
      <c r="C38" s="56">
        <f>IF(A38=" "," ",+B38*I37)</f>
        <v>380.4757385705305</v>
      </c>
      <c r="D38" s="58">
        <f>+E38-C38</f>
        <v>1834.9615745945828</v>
      </c>
      <c r="E38" s="58">
        <f>IF(A38=" "," ",+J37)</f>
        <v>2215.4373131651132</v>
      </c>
      <c r="F38" s="56">
        <f>+B38-D38</f>
        <v>26244.428725813574</v>
      </c>
      <c r="G38" s="59">
        <v>8.7599999999999997E-2</v>
      </c>
      <c r="H38" s="52">
        <f>IF(A38=" "," ",+H37)</f>
        <v>7.4999999999999997E-2</v>
      </c>
      <c r="I38" s="60">
        <f>IF(A38=" "," ",((G38+H38)/12))</f>
        <v>1.355E-2</v>
      </c>
      <c r="J38" s="56">
        <f>PMT(I38,K38,-F38,0)</f>
        <v>2215.4373131651132</v>
      </c>
      <c r="K38" s="61">
        <f>IF(A35=" "," ",+$B$2-A38)</f>
        <v>13</v>
      </c>
      <c r="L38">
        <f>IF(A38&lt;&gt;" ",+L37," ")</f>
        <v>15</v>
      </c>
      <c r="M38">
        <f>IF(AND(A38&lt;&gt;" ")*(M37=12),1,1+M37)</f>
        <v>9</v>
      </c>
      <c r="N38">
        <f>IF(AND(A38&lt;&gt;" ")*(M38=1),1+N37,N37)</f>
        <v>2028</v>
      </c>
    </row>
    <row r="39" spans="1:14">
      <c r="A39" s="10">
        <f>IF(AND(A38&lt;$B$2)*(A38&lt;&gt;0),1+A38," ")</f>
        <v>36</v>
      </c>
      <c r="B39" s="56">
        <f>IF(A39=" "," ",+F38)</f>
        <v>26244.428725813574</v>
      </c>
      <c r="C39" s="56">
        <f>IF(A39=" "," ",+B39*I38)</f>
        <v>355.61200923477389</v>
      </c>
      <c r="D39" s="58">
        <f>+E39-C39</f>
        <v>1859.8253039303393</v>
      </c>
      <c r="E39" s="58">
        <f>IF(A39=" "," ",+J38)</f>
        <v>2215.4373131651132</v>
      </c>
      <c r="F39" s="56">
        <f>+B39-D39</f>
        <v>24384.603421883236</v>
      </c>
      <c r="G39" s="59">
        <v>8.7599999999999997E-2</v>
      </c>
      <c r="H39" s="52">
        <f>IF(A39=" "," ",+H38)</f>
        <v>7.4999999999999997E-2</v>
      </c>
      <c r="I39" s="60">
        <f>IF(A39=" "," ",((G39+H39)/12))</f>
        <v>1.355E-2</v>
      </c>
      <c r="J39" s="56">
        <f>PMT(I39,K39,-F39,0)</f>
        <v>2215.4373131651132</v>
      </c>
      <c r="K39" s="61">
        <f>IF(A36=" "," ",+$B$2-A39)</f>
        <v>12</v>
      </c>
      <c r="L39">
        <f>IF(A39&lt;&gt;" ",+L38," ")</f>
        <v>15</v>
      </c>
      <c r="M39">
        <f>IF(AND(A39&lt;&gt;" ")*(M38=12),1,1+M38)</f>
        <v>10</v>
      </c>
      <c r="N39">
        <f>IF(AND(A39&lt;&gt;" ")*(M39=1),1+N38,N38)</f>
        <v>2028</v>
      </c>
    </row>
    <row r="40" spans="1:14">
      <c r="A40" s="10">
        <f>IF(AND(A39&lt;$B$2)*(A39&lt;&gt;0),1+A39," ")</f>
        <v>37</v>
      </c>
      <c r="B40" s="56">
        <f>IF(A40=" "," ",+F39)</f>
        <v>24384.603421883236</v>
      </c>
      <c r="C40" s="56">
        <f>IF(A40=" "," ",+B40*I39)</f>
        <v>330.41137636651786</v>
      </c>
      <c r="D40" s="58">
        <f>+E40-C40</f>
        <v>1885.0259367985955</v>
      </c>
      <c r="E40" s="58">
        <f>IF(A40=" "," ",+J39)</f>
        <v>2215.4373131651132</v>
      </c>
      <c r="F40" s="56">
        <f>+B40-D40</f>
        <v>22499.577485084639</v>
      </c>
      <c r="G40" s="59">
        <v>8.7599999999999997E-2</v>
      </c>
      <c r="H40" s="52">
        <f>IF(A40=" "," ",+H39)</f>
        <v>7.4999999999999997E-2</v>
      </c>
      <c r="I40" s="60">
        <f>IF(A40=" "," ",((G40+H40)/12))</f>
        <v>1.355E-2</v>
      </c>
      <c r="J40" s="56">
        <f>PMT(I40,K40,-F40,0)</f>
        <v>2215.4373131651132</v>
      </c>
      <c r="K40" s="61">
        <f>IF(A37=" "," ",+$B$2-A40)</f>
        <v>11</v>
      </c>
      <c r="L40">
        <f>IF(A40&lt;&gt;" ",+L39," ")</f>
        <v>15</v>
      </c>
      <c r="M40">
        <f>IF(AND(A40&lt;&gt;" ")*(M39=12),1,1+M39)</f>
        <v>11</v>
      </c>
      <c r="N40">
        <f>IF(AND(A40&lt;&gt;" ")*(M40=1),1+N39,N39)</f>
        <v>2028</v>
      </c>
    </row>
    <row r="41" spans="1:14">
      <c r="A41" s="10">
        <f>IF(AND(A40&lt;$B$2)*(A40&lt;&gt;0),1+A40," ")</f>
        <v>38</v>
      </c>
      <c r="B41" s="56">
        <f>IF(A41=" "," ",+F40)</f>
        <v>22499.577485084639</v>
      </c>
      <c r="C41" s="56">
        <f>IF(A41=" "," ",+B41*I40)</f>
        <v>304.86927492289686</v>
      </c>
      <c r="D41" s="58">
        <f>+E41-C41</f>
        <v>1910.5680382422163</v>
      </c>
      <c r="E41" s="58">
        <f>IF(A41=" "," ",+J40)</f>
        <v>2215.4373131651132</v>
      </c>
      <c r="F41" s="56">
        <f>+B41-D41</f>
        <v>20589.009446842421</v>
      </c>
      <c r="G41" s="59">
        <v>8.7599999999999997E-2</v>
      </c>
      <c r="H41" s="52">
        <f>IF(A41=" "," ",+H40)</f>
        <v>7.4999999999999997E-2</v>
      </c>
      <c r="I41" s="60">
        <f>IF(A41=" "," ",((G41+H41)/12))</f>
        <v>1.355E-2</v>
      </c>
      <c r="J41" s="56">
        <f>PMT(I41,K41,-F41,0)</f>
        <v>2215.4373131651132</v>
      </c>
      <c r="K41" s="61">
        <f>IF(A38=" "," ",+$B$2-A41)</f>
        <v>10</v>
      </c>
      <c r="L41">
        <f>IF(A41&lt;&gt;" ",+L40," ")</f>
        <v>15</v>
      </c>
      <c r="M41">
        <f>IF(AND(A41&lt;&gt;" ")*(M40=12),1,1+M40)</f>
        <v>12</v>
      </c>
      <c r="N41">
        <f>IF(AND(A41&lt;&gt;" ")*(M41=1),1+N40,N40)</f>
        <v>2028</v>
      </c>
    </row>
    <row r="42" spans="1:14">
      <c r="A42" s="10">
        <f>IF(AND(A41&lt;$B$2)*(A41&lt;&gt;0),1+A41," ")</f>
        <v>39</v>
      </c>
      <c r="B42" s="56">
        <f>IF(A42=" "," ",+F41)</f>
        <v>20589.009446842421</v>
      </c>
      <c r="C42" s="56">
        <f>IF(A42=" "," ",+B42*I41)</f>
        <v>278.98107800471479</v>
      </c>
      <c r="D42" s="58">
        <f>+E42-C42</f>
        <v>1936.4562351603984</v>
      </c>
      <c r="E42" s="58">
        <f>IF(A42=" "," ",+J41)</f>
        <v>2215.4373131651132</v>
      </c>
      <c r="F42" s="56">
        <f>+B42-D42</f>
        <v>18652.553211682021</v>
      </c>
      <c r="G42" s="59">
        <v>8.7599999999999997E-2</v>
      </c>
      <c r="H42" s="52">
        <f>IF(A42=" "," ",+H41)</f>
        <v>7.4999999999999997E-2</v>
      </c>
      <c r="I42" s="60">
        <f>IF(A42=" "," ",((G42+H42)/12))</f>
        <v>1.355E-2</v>
      </c>
      <c r="J42" s="56">
        <f>PMT(I42,K42,-F42,0)</f>
        <v>2215.4373131651132</v>
      </c>
      <c r="K42" s="61">
        <f>IF(A39=" "," ",+$B$2-A42)</f>
        <v>9</v>
      </c>
      <c r="L42">
        <f>IF(A42&lt;&gt;" ",+L41," ")</f>
        <v>15</v>
      </c>
      <c r="M42">
        <f>IF(AND(A42&lt;&gt;" ")*(M41=12),1,1+M41)</f>
        <v>1</v>
      </c>
      <c r="N42">
        <f>IF(AND(A42&lt;&gt;" ")*(M42=1),1+N41,N41)</f>
        <v>2029</v>
      </c>
    </row>
    <row r="43" spans="1:14">
      <c r="A43" s="10">
        <f>IF(AND(A42&lt;$B$2)*(A42&lt;&gt;0),1+A42," ")</f>
        <v>40</v>
      </c>
      <c r="B43" s="56">
        <f>IF(A43=" "," ",+F42)</f>
        <v>18652.553211682021</v>
      </c>
      <c r="C43" s="56">
        <f>IF(A43=" "," ",+B43*I42)</f>
        <v>252.74209601829139</v>
      </c>
      <c r="D43" s="58">
        <f>+E43-C43</f>
        <v>1962.6952171468217</v>
      </c>
      <c r="E43" s="58">
        <f>IF(A43=" "," ",+J42)</f>
        <v>2215.4373131651132</v>
      </c>
      <c r="F43" s="56">
        <f>+B43-D43</f>
        <v>16689.857994535199</v>
      </c>
      <c r="G43" s="59">
        <v>8.7599999999999997E-2</v>
      </c>
      <c r="H43" s="52">
        <f>IF(A43=" "," ",+H42)</f>
        <v>7.4999999999999997E-2</v>
      </c>
      <c r="I43" s="60">
        <f>IF(A43=" "," ",((G43+H43)/12))</f>
        <v>1.355E-2</v>
      </c>
      <c r="J43" s="56">
        <f>PMT(I43,K43,-F43,0)</f>
        <v>2215.4373131651128</v>
      </c>
      <c r="K43" s="61">
        <f>IF(A40=" "," ",+$B$2-A43)</f>
        <v>8</v>
      </c>
      <c r="L43">
        <f>IF(A43&lt;&gt;" ",+L42," ")</f>
        <v>15</v>
      </c>
      <c r="M43">
        <f>IF(AND(A43&lt;&gt;" ")*(M42=12),1,1+M42)</f>
        <v>2</v>
      </c>
      <c r="N43">
        <f>IF(AND(A43&lt;&gt;" ")*(M43=1),1+N42,N42)</f>
        <v>2029</v>
      </c>
    </row>
    <row r="44" spans="1:14">
      <c r="A44" s="10">
        <f>IF(AND(A43&lt;$B$2)*(A43&lt;&gt;0),1+A43," ")</f>
        <v>41</v>
      </c>
      <c r="B44" s="56">
        <f>IF(A44=" "," ",+F43)</f>
        <v>16689.857994535199</v>
      </c>
      <c r="C44" s="56">
        <f>IF(A44=" "," ",+B44*I43)</f>
        <v>226.14757582595195</v>
      </c>
      <c r="D44" s="58">
        <f>+E44-C44</f>
        <v>1989.2897373391609</v>
      </c>
      <c r="E44" s="58">
        <f>IF(A44=" "," ",+J43)</f>
        <v>2215.4373131651128</v>
      </c>
      <c r="F44" s="56">
        <f>+B44-D44</f>
        <v>14700.568257196039</v>
      </c>
      <c r="G44" s="59">
        <v>8.7599999999999997E-2</v>
      </c>
      <c r="H44" s="52">
        <f>IF(A44=" "," ",+H43)</f>
        <v>7.4999999999999997E-2</v>
      </c>
      <c r="I44" s="60">
        <f>IF(A44=" "," ",((G44+H44)/12))</f>
        <v>1.355E-2</v>
      </c>
      <c r="J44" s="56">
        <f>PMT(I44,K44,-F44,0)</f>
        <v>2215.4373131651128</v>
      </c>
      <c r="K44" s="61">
        <f>IF(A41=" "," ",+$B$2-A44)</f>
        <v>7</v>
      </c>
      <c r="L44">
        <f>IF(A44&lt;&gt;" ",+L43," ")</f>
        <v>15</v>
      </c>
      <c r="M44">
        <f>IF(AND(A44&lt;&gt;" ")*(M43=12),1,1+M43)</f>
        <v>3</v>
      </c>
      <c r="N44">
        <f>IF(AND(A44&lt;&gt;" ")*(M44=1),1+N43,N43)</f>
        <v>2029</v>
      </c>
    </row>
    <row r="45" spans="1:14">
      <c r="A45" s="10">
        <f>IF(AND(A44&lt;$B$2)*(A44&lt;&gt;0),1+A44," ")</f>
        <v>42</v>
      </c>
      <c r="B45" s="56">
        <f>IF(A45=" "," ",+F44)</f>
        <v>14700.568257196039</v>
      </c>
      <c r="C45" s="56">
        <f>IF(A45=" "," ",+B45*I44)</f>
        <v>199.19269988500631</v>
      </c>
      <c r="D45" s="58">
        <f>+E45-C45</f>
        <v>2016.2446132801065</v>
      </c>
      <c r="E45" s="58">
        <f>IF(A45=" "," ",+J44)</f>
        <v>2215.4373131651128</v>
      </c>
      <c r="F45" s="56">
        <f>+B45-D45</f>
        <v>12684.323643915932</v>
      </c>
      <c r="G45" s="59">
        <v>8.7599999999999997E-2</v>
      </c>
      <c r="H45" s="52">
        <f>IF(A45=" "," ",+H44)</f>
        <v>7.4999999999999997E-2</v>
      </c>
      <c r="I45" s="60">
        <f>IF(A45=" "," ",((G45+H45)/12))</f>
        <v>1.355E-2</v>
      </c>
      <c r="J45" s="56">
        <f>PMT(I45,K45,-F45,0)</f>
        <v>2215.4373131651132</v>
      </c>
      <c r="K45" s="61">
        <f>IF(A42=" "," ",+$B$2-A45)</f>
        <v>6</v>
      </c>
      <c r="L45">
        <f>IF(A45&lt;&gt;" ",+L44," ")</f>
        <v>15</v>
      </c>
      <c r="M45">
        <f>IF(AND(A45&lt;&gt;" ")*(M44=12),1,1+M44)</f>
        <v>4</v>
      </c>
      <c r="N45">
        <f>IF(AND(A45&lt;&gt;" ")*(M45=1),1+N44,N44)</f>
        <v>2029</v>
      </c>
    </row>
    <row r="46" spans="1:14">
      <c r="A46" s="10">
        <f>IF(AND(A45&lt;$B$2)*(A45&lt;&gt;0),1+A45," ")</f>
        <v>43</v>
      </c>
      <c r="B46" s="56">
        <f>IF(A46=" "," ",+F45)</f>
        <v>12684.323643915932</v>
      </c>
      <c r="C46" s="56">
        <f>IF(A46=" "," ",+B46*I45)</f>
        <v>171.87258537506088</v>
      </c>
      <c r="D46" s="58">
        <f>+E46-C46</f>
        <v>2043.5647277900523</v>
      </c>
      <c r="E46" s="58">
        <f>IF(A46=" "," ",+J45)</f>
        <v>2215.4373131651132</v>
      </c>
      <c r="F46" s="56">
        <f>+B46-D46</f>
        <v>10640.75891612588</v>
      </c>
      <c r="G46" s="59">
        <v>8.7599999999999997E-2</v>
      </c>
      <c r="H46" s="52">
        <f>IF(A46=" "," ",+H45)</f>
        <v>7.4999999999999997E-2</v>
      </c>
      <c r="I46" s="60">
        <f>IF(A46=" "," ",((G46+H46)/12))</f>
        <v>1.355E-2</v>
      </c>
      <c r="J46" s="56">
        <f>PMT(I46,K46,-F46,0)</f>
        <v>2215.4373131651137</v>
      </c>
      <c r="K46" s="61">
        <f>IF(A43=" "," ",+$B$2-A46)</f>
        <v>5</v>
      </c>
      <c r="L46">
        <f>IF(A46&lt;&gt;" ",+L45," ")</f>
        <v>15</v>
      </c>
      <c r="M46">
        <f>IF(AND(A46&lt;&gt;" ")*(M45=12),1,1+M45)</f>
        <v>5</v>
      </c>
      <c r="N46">
        <f>IF(AND(A46&lt;&gt;" ")*(M46=1),1+N45,N45)</f>
        <v>2029</v>
      </c>
    </row>
    <row r="47" spans="1:14">
      <c r="A47" s="10">
        <f>IF(AND(A46&lt;$B$2)*(A46&lt;&gt;0),1+A46," ")</f>
        <v>44</v>
      </c>
      <c r="B47" s="56">
        <f>IF(A47=" "," ",+F46)</f>
        <v>10640.75891612588</v>
      </c>
      <c r="C47" s="56">
        <f>IF(A47=" "," ",+B47*I46)</f>
        <v>144.18228331350568</v>
      </c>
      <c r="D47" s="58">
        <f>+E47-C47</f>
        <v>2071.255029851608</v>
      </c>
      <c r="E47" s="58">
        <f>IF(A47=" "," ",+J46)</f>
        <v>2215.4373131651137</v>
      </c>
      <c r="F47" s="56">
        <f>+B47-D47</f>
        <v>8569.5038862742731</v>
      </c>
      <c r="G47" s="59">
        <v>8.7599999999999997E-2</v>
      </c>
      <c r="H47" s="52">
        <f>IF(A47=" "," ",+H46)</f>
        <v>7.4999999999999997E-2</v>
      </c>
      <c r="I47" s="60">
        <f>IF(A47=" "," ",((G47+H47)/12))</f>
        <v>1.355E-2</v>
      </c>
      <c r="J47" s="56">
        <f>PMT(I47,K47,-F47,0)</f>
        <v>2215.4373131651141</v>
      </c>
      <c r="K47" s="61">
        <f>IF(A44=" "," ",+$B$2-A47)</f>
        <v>4</v>
      </c>
      <c r="L47">
        <f>IF(A47&lt;&gt;" ",+L46," ")</f>
        <v>15</v>
      </c>
      <c r="M47">
        <f>IF(AND(A47&lt;&gt;" ")*(M46=12),1,1+M46)</f>
        <v>6</v>
      </c>
      <c r="N47">
        <f>IF(AND(A47&lt;&gt;" ")*(M47=1),1+N46,N46)</f>
        <v>2029</v>
      </c>
    </row>
    <row r="48" spans="1:14">
      <c r="A48" s="10">
        <f>IF(AND(A47&lt;$B$2)*(A47&lt;&gt;0),1+A47," ")</f>
        <v>45</v>
      </c>
      <c r="B48" s="56">
        <f>IF(A48=" "," ",+F47)</f>
        <v>8569.5038862742731</v>
      </c>
      <c r="C48" s="56">
        <f>IF(A48=" "," ",+B48*I47)</f>
        <v>116.11677765901639</v>
      </c>
      <c r="D48" s="58">
        <f>+E48-C48</f>
        <v>2099.3205355060977</v>
      </c>
      <c r="E48" s="58">
        <f>IF(A48=" "," ",+J47)</f>
        <v>2215.4373131651141</v>
      </c>
      <c r="F48" s="56">
        <f>+B48-D48</f>
        <v>6470.1833507681749</v>
      </c>
      <c r="G48" s="59">
        <v>8.7599999999999997E-2</v>
      </c>
      <c r="H48" s="52">
        <f>IF(A48=" "," ",+H47)</f>
        <v>7.4999999999999997E-2</v>
      </c>
      <c r="I48" s="60">
        <f>IF(A48=" "," ",((G48+H48)/12))</f>
        <v>1.355E-2</v>
      </c>
      <c r="J48" s="56">
        <f>PMT(I48,K48,-F48,0)</f>
        <v>2215.4373131651137</v>
      </c>
      <c r="K48" s="61">
        <f>IF(A45=" "," ",+$B$2-A48)</f>
        <v>3</v>
      </c>
      <c r="L48">
        <f>IF(A48&lt;&gt;" ",+L47," ")</f>
        <v>15</v>
      </c>
      <c r="M48">
        <f>IF(AND(A48&lt;&gt;" ")*(M47=12),1,1+M47)</f>
        <v>7</v>
      </c>
      <c r="N48">
        <f>IF(AND(A48&lt;&gt;" ")*(M48=1),1+N47,N47)</f>
        <v>2029</v>
      </c>
    </row>
    <row r="49" spans="1:14">
      <c r="A49" s="10">
        <f>IF(AND(A48&lt;$B$2)*(A48&lt;&gt;0),1+A48," ")</f>
        <v>46</v>
      </c>
      <c r="B49" s="56">
        <f>IF(A49=" "," ",+F48)</f>
        <v>6470.1833507681749</v>
      </c>
      <c r="C49" s="56">
        <f>IF(A49=" "," ",+B49*I48)</f>
        <v>87.670984402908772</v>
      </c>
      <c r="D49" s="58">
        <f>+E49-C49</f>
        <v>2127.7663287622049</v>
      </c>
      <c r="E49" s="58">
        <f>IF(A49=" "," ",+J48)</f>
        <v>2215.4373131651137</v>
      </c>
      <c r="F49" s="56">
        <f>+B49-D49</f>
        <v>4342.4170220059696</v>
      </c>
      <c r="G49" s="59">
        <v>8.7599999999999997E-2</v>
      </c>
      <c r="H49" s="52">
        <f>IF(A49=" "," ",+H48)</f>
        <v>7.4999999999999997E-2</v>
      </c>
      <c r="I49" s="60">
        <f>IF(A49=" "," ",((G49+H49)/12))</f>
        <v>1.355E-2</v>
      </c>
      <c r="J49" s="56">
        <f>PMT(I49,K49,-F49,0)</f>
        <v>2215.4373131651132</v>
      </c>
      <c r="K49" s="61">
        <f>IF(A46=" "," ",+$B$2-A49)</f>
        <v>2</v>
      </c>
      <c r="L49">
        <f>IF(A49&lt;&gt;" ",+L48," ")</f>
        <v>15</v>
      </c>
      <c r="M49">
        <f>IF(AND(A49&lt;&gt;" ")*(M48=12),1,1+M48)</f>
        <v>8</v>
      </c>
      <c r="N49">
        <f>IF(AND(A49&lt;&gt;" ")*(M49=1),1+N48,N48)</f>
        <v>2029</v>
      </c>
    </row>
    <row r="50" spans="1:14">
      <c r="A50" s="10">
        <f>IF(AND(A49&lt;$B$2)*(A49&lt;&gt;0),1+A49," ")</f>
        <v>47</v>
      </c>
      <c r="B50" s="56">
        <f>IF(A50=" "," ",+F49)</f>
        <v>4342.4170220059696</v>
      </c>
      <c r="C50" s="56">
        <f>IF(A50=" "," ",+B50*I49)</f>
        <v>58.839750648180889</v>
      </c>
      <c r="D50" s="58">
        <f>+E50-C50</f>
        <v>2156.5975625169322</v>
      </c>
      <c r="E50" s="58">
        <f>IF(A50=" "," ",+J49)</f>
        <v>2215.4373131651132</v>
      </c>
      <c r="F50" s="56">
        <f>+B50-D50</f>
        <v>2185.8194594890374</v>
      </c>
      <c r="G50" s="59">
        <v>8.7599999999999997E-2</v>
      </c>
      <c r="H50" s="52">
        <f>IF(A50=" "," ",+H49)</f>
        <v>7.4999999999999997E-2</v>
      </c>
      <c r="I50" s="60">
        <f>IF(A50=" "," ",((G50+H50)/12))</f>
        <v>1.355E-2</v>
      </c>
      <c r="J50" s="56">
        <f>PMT(I50,K50,-F50,0)</f>
        <v>2215.4373131651137</v>
      </c>
      <c r="K50" s="61">
        <f>IF(A47=" "," ",+$B$2-A50)</f>
        <v>1</v>
      </c>
      <c r="L50">
        <f>IF(A50&lt;&gt;" ",+L49," ")</f>
        <v>15</v>
      </c>
      <c r="M50">
        <f>IF(AND(A50&lt;&gt;" ")*(M49=12),1,1+M49)</f>
        <v>9</v>
      </c>
      <c r="N50">
        <f>IF(AND(A50&lt;&gt;" ")*(M50=1),1+N49,N49)</f>
        <v>2029</v>
      </c>
    </row>
    <row r="51" spans="1:14">
      <c r="A51" s="10">
        <f>IF(AND(A50&lt;$B$2)*(A50&lt;&gt;0),1+A50," ")</f>
        <v>48</v>
      </c>
      <c r="B51" s="56">
        <f>IF(A51=" "," ",+F50)</f>
        <v>2185.8194594890374</v>
      </c>
      <c r="C51" s="56">
        <f>IF(A51=" "," ",+B51*I50)</f>
        <v>29.617853676076457</v>
      </c>
      <c r="D51" s="58">
        <f>+E51-C51</f>
        <v>2185.8194594890374</v>
      </c>
      <c r="E51" s="58">
        <f>IF(A51=" "," ",+J50)</f>
        <v>2215.4373131651137</v>
      </c>
      <c r="F51" s="56">
        <f>+B51-D51</f>
        <v>0</v>
      </c>
      <c r="G51" s="59">
        <v>8.7599999999999997E-2</v>
      </c>
      <c r="H51" s="52">
        <f>IF(A51=" "," ",+H50)</f>
        <v>7.4999999999999997E-2</v>
      </c>
      <c r="I51" s="60">
        <f>IF(A51=" "," ",((G51+H51)/12))</f>
        <v>1.355E-2</v>
      </c>
      <c r="J51" s="56" t="e">
        <f>PMT(I51,K51,-F51,0)</f>
        <v>#NUM!</v>
      </c>
      <c r="K51" s="61">
        <f>IF(A48=" "," ",+$B$2-A51)</f>
        <v>0</v>
      </c>
      <c r="L51">
        <f>IF(A51&lt;&gt;" ",+L50," ")</f>
        <v>15</v>
      </c>
      <c r="M51">
        <f>IF(AND(A51&lt;&gt;" ")*(M50=12),1,1+M50)</f>
        <v>10</v>
      </c>
      <c r="N51">
        <f>IF(AND(A51&lt;&gt;" ")*(M51=1),1+N50,N50)</f>
        <v>2029</v>
      </c>
    </row>
  </sheetData>
  <mergeCells count="1">
    <mergeCell ref="Q2:W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3"/>
  <sheetViews>
    <sheetView topLeftCell="A26" workbookViewId="0">
      <selection activeCell="M55" sqref="M55"/>
    </sheetView>
  </sheetViews>
  <sheetFormatPr defaultColWidth="11.42578125" defaultRowHeight="14.45"/>
  <cols>
    <col min="1" max="1" width="3.5703125" customWidth="1"/>
    <col min="2" max="2" width="20.28515625" bestFit="1" customWidth="1"/>
    <col min="3" max="3" width="13.5703125" bestFit="1" customWidth="1"/>
    <col min="4" max="4" width="11.140625" bestFit="1" customWidth="1"/>
  </cols>
  <sheetData>
    <row r="1" spans="2:5" ht="15" customHeight="1" thickBot="1">
      <c r="B1" s="20"/>
      <c r="C1" s="20"/>
      <c r="D1" s="20"/>
      <c r="E1" s="20"/>
    </row>
    <row r="2" spans="2:5">
      <c r="B2" s="72" t="s">
        <v>43</v>
      </c>
      <c r="C2" s="73"/>
      <c r="D2" s="74">
        <v>7.0000000000000007E-2</v>
      </c>
      <c r="E2" s="20"/>
    </row>
    <row r="3" spans="2:5">
      <c r="B3" s="75" t="s">
        <v>44</v>
      </c>
      <c r="C3" s="22">
        <v>10275097</v>
      </c>
      <c r="D3" s="76"/>
      <c r="E3" s="20"/>
    </row>
    <row r="4" spans="2:5">
      <c r="B4" s="75" t="s">
        <v>45</v>
      </c>
      <c r="C4" s="22">
        <v>9764336</v>
      </c>
      <c r="D4" s="76"/>
      <c r="E4" s="20"/>
    </row>
    <row r="5" spans="2:5">
      <c r="B5" s="75" t="s">
        <v>46</v>
      </c>
      <c r="C5" s="22">
        <f>+C3-C4</f>
        <v>510761</v>
      </c>
      <c r="D5" s="76"/>
      <c r="E5" s="20"/>
    </row>
    <row r="6" spans="2:5">
      <c r="B6" s="75" t="s">
        <v>47</v>
      </c>
      <c r="C6" s="22">
        <v>2449561</v>
      </c>
      <c r="D6" s="77">
        <f>+C6*7%</f>
        <v>171469.27000000002</v>
      </c>
      <c r="E6" s="20"/>
    </row>
    <row r="7" spans="2:5">
      <c r="B7" s="75" t="s">
        <v>48</v>
      </c>
      <c r="C7" s="22">
        <v>4847022</v>
      </c>
      <c r="D7" s="77">
        <f>+C7*7%</f>
        <v>339291.54000000004</v>
      </c>
      <c r="E7" s="20"/>
    </row>
    <row r="8" spans="2:5" ht="15" customHeight="1" thickBot="1">
      <c r="B8" s="78" t="s">
        <v>49</v>
      </c>
      <c r="C8" s="79"/>
      <c r="D8" s="80">
        <f>+D6+D7</f>
        <v>510760.81000000006</v>
      </c>
      <c r="E8" s="20"/>
    </row>
    <row r="9" spans="2:5" ht="15" customHeight="1" thickBot="1">
      <c r="B9" s="20"/>
      <c r="C9" s="20"/>
      <c r="D9" s="20"/>
      <c r="E9" s="20"/>
    </row>
    <row r="10" spans="2:5">
      <c r="B10" s="72" t="s">
        <v>50</v>
      </c>
      <c r="C10" s="73"/>
      <c r="D10" s="74">
        <v>7.0000000000000007E-2</v>
      </c>
      <c r="E10" s="20"/>
    </row>
    <row r="11" spans="2:5">
      <c r="B11" s="75" t="s">
        <v>44</v>
      </c>
      <c r="C11" s="22">
        <v>10281417</v>
      </c>
      <c r="D11" s="76"/>
      <c r="E11" s="20"/>
    </row>
    <row r="12" spans="2:5">
      <c r="B12" s="75" t="s">
        <v>45</v>
      </c>
      <c r="C12" s="22">
        <v>9946874</v>
      </c>
      <c r="D12" s="76"/>
    </row>
    <row r="13" spans="2:5">
      <c r="B13" s="75" t="s">
        <v>46</v>
      </c>
      <c r="C13" s="22">
        <f>+C11-C12</f>
        <v>334543</v>
      </c>
      <c r="D13" s="76"/>
    </row>
    <row r="14" spans="2:5" ht="15" customHeight="1" thickBot="1">
      <c r="B14" s="78" t="s">
        <v>51</v>
      </c>
      <c r="C14" s="79">
        <v>4779188</v>
      </c>
      <c r="D14" s="80">
        <f>+C14*7%</f>
        <v>334543.16000000003</v>
      </c>
    </row>
    <row r="15" spans="2:5" ht="15" customHeight="1" thickBot="1"/>
    <row r="16" spans="2:5">
      <c r="B16" s="72" t="s">
        <v>52</v>
      </c>
      <c r="C16" s="73"/>
      <c r="D16" s="74">
        <v>7.0000000000000007E-2</v>
      </c>
    </row>
    <row r="17" spans="2:4">
      <c r="B17" s="75" t="s">
        <v>53</v>
      </c>
      <c r="C17" s="22">
        <f>+C18+D20</f>
        <v>9946874.2799999993</v>
      </c>
      <c r="D17" s="76"/>
    </row>
    <row r="18" spans="2:4">
      <c r="B18" s="75" t="s">
        <v>45</v>
      </c>
      <c r="C18" s="22">
        <v>9614752</v>
      </c>
      <c r="D18" s="76"/>
    </row>
    <row r="19" spans="2:4">
      <c r="B19" s="75" t="s">
        <v>46</v>
      </c>
      <c r="C19" s="22">
        <f>+C17-C18</f>
        <v>332122.27999999933</v>
      </c>
      <c r="D19" s="76"/>
    </row>
    <row r="20" spans="2:4" ht="15" customHeight="1" thickBot="1">
      <c r="B20" s="78" t="s">
        <v>54</v>
      </c>
      <c r="C20" s="79">
        <v>4744604</v>
      </c>
      <c r="D20" s="80">
        <f>+C20*7%</f>
        <v>332122.28000000003</v>
      </c>
    </row>
    <row r="21" spans="2:4" ht="15" customHeight="1" thickBot="1"/>
    <row r="22" spans="2:4">
      <c r="B22" s="72" t="s">
        <v>55</v>
      </c>
      <c r="C22" s="73"/>
      <c r="D22" s="74">
        <v>7.0000000000000007E-2</v>
      </c>
    </row>
    <row r="23" spans="2:4">
      <c r="B23" s="75" t="s">
        <v>53</v>
      </c>
      <c r="C23" s="82">
        <f>+C24+D26</f>
        <v>10059300.640000001</v>
      </c>
      <c r="D23" s="76"/>
    </row>
    <row r="24" spans="2:4">
      <c r="B24" s="75" t="s">
        <v>56</v>
      </c>
      <c r="C24" s="82">
        <v>9721750</v>
      </c>
      <c r="D24" s="76"/>
    </row>
    <row r="25" spans="2:4">
      <c r="B25" s="75" t="s">
        <v>46</v>
      </c>
      <c r="C25" s="82">
        <f>+C23-C24</f>
        <v>337550.6400000006</v>
      </c>
      <c r="D25" s="76"/>
    </row>
    <row r="26" spans="2:4" ht="15" customHeight="1" thickBot="1">
      <c r="B26" s="78" t="s">
        <v>57</v>
      </c>
      <c r="C26" s="83">
        <v>4822152</v>
      </c>
      <c r="D26" s="80">
        <f>+C26*7%</f>
        <v>337550.64</v>
      </c>
    </row>
    <row r="27" spans="2:4" ht="15" customHeight="1" thickBot="1"/>
    <row r="28" spans="2:4">
      <c r="B28" s="72" t="s">
        <v>58</v>
      </c>
      <c r="C28" s="73"/>
      <c r="D28" s="74">
        <v>7.0000000000000007E-2</v>
      </c>
    </row>
    <row r="29" spans="2:4">
      <c r="B29" s="75" t="s">
        <v>53</v>
      </c>
      <c r="C29" s="82">
        <v>10476636</v>
      </c>
      <c r="D29" s="76"/>
    </row>
    <row r="30" spans="2:4">
      <c r="B30" s="75" t="s">
        <v>56</v>
      </c>
      <c r="C30" s="82">
        <v>10135796</v>
      </c>
      <c r="D30" s="76"/>
    </row>
    <row r="31" spans="2:4">
      <c r="B31" s="75" t="s">
        <v>46</v>
      </c>
      <c r="C31" s="82">
        <f>+C29-C30</f>
        <v>340840</v>
      </c>
      <c r="D31" s="76"/>
    </row>
    <row r="32" spans="2:4" ht="15" customHeight="1" thickBot="1">
      <c r="B32" s="78" t="s">
        <v>59</v>
      </c>
      <c r="C32" s="83">
        <v>4869138</v>
      </c>
      <c r="D32" s="80">
        <f>+C32*7%</f>
        <v>340839.66000000003</v>
      </c>
    </row>
    <row r="33" spans="2:4" ht="15" customHeight="1" thickBot="1"/>
    <row r="34" spans="2:4">
      <c r="B34" s="72" t="s">
        <v>60</v>
      </c>
      <c r="C34" s="73"/>
      <c r="D34" s="74">
        <v>7.0000000000000007E-2</v>
      </c>
    </row>
    <row r="35" spans="2:4">
      <c r="B35" s="75" t="s">
        <v>53</v>
      </c>
      <c r="C35" s="82">
        <f>+C36+D38</f>
        <v>10640136.58</v>
      </c>
      <c r="D35" s="76"/>
    </row>
    <row r="36" spans="2:4">
      <c r="B36" s="75" t="s">
        <v>56</v>
      </c>
      <c r="C36" s="82">
        <v>10294722</v>
      </c>
      <c r="D36" s="76"/>
    </row>
    <row r="37" spans="2:4">
      <c r="B37" s="75" t="s">
        <v>46</v>
      </c>
      <c r="C37" s="82">
        <f>+C35-C36</f>
        <v>345414.58000000007</v>
      </c>
      <c r="D37" s="76"/>
    </row>
    <row r="38" spans="2:4" ht="15" customHeight="1" thickBot="1">
      <c r="B38" s="78" t="s">
        <v>61</v>
      </c>
      <c r="C38" s="83">
        <v>4934494</v>
      </c>
      <c r="D38" s="80">
        <f>+C38*7%</f>
        <v>345414.58</v>
      </c>
    </row>
    <row r="40" spans="2:4">
      <c r="B40" s="72" t="s">
        <v>62</v>
      </c>
      <c r="C40" s="73"/>
      <c r="D40" s="74">
        <v>7.0000000000000007E-2</v>
      </c>
    </row>
    <row r="41" spans="2:4">
      <c r="B41" s="75" t="s">
        <v>53</v>
      </c>
      <c r="C41" s="82">
        <f>+C42+D44</f>
        <v>10590767.85</v>
      </c>
      <c r="D41" s="76"/>
    </row>
    <row r="42" spans="2:4">
      <c r="B42" s="75" t="s">
        <v>56</v>
      </c>
      <c r="C42" s="82">
        <v>10248044</v>
      </c>
      <c r="D42" s="76"/>
    </row>
    <row r="43" spans="2:4">
      <c r="B43" s="75" t="s">
        <v>46</v>
      </c>
      <c r="C43" s="82">
        <f>+C41-C42</f>
        <v>342723.84999999963</v>
      </c>
      <c r="D43" s="76"/>
    </row>
    <row r="44" spans="2:4">
      <c r="B44" s="78" t="s">
        <v>63</v>
      </c>
      <c r="C44" s="83">
        <v>4896055</v>
      </c>
      <c r="D44" s="80">
        <f>+C44*7%</f>
        <v>342723.85000000003</v>
      </c>
    </row>
    <row r="45" spans="2:4" ht="15" customHeight="1"/>
    <row r="46" spans="2:4" ht="15" customHeight="1">
      <c r="B46" s="88" t="s">
        <v>64</v>
      </c>
      <c r="C46" s="89"/>
      <c r="D46" s="90">
        <v>7.0000000000000007E-2</v>
      </c>
    </row>
    <row r="47" spans="2:4" ht="15" customHeight="1">
      <c r="B47" s="91" t="s">
        <v>53</v>
      </c>
      <c r="C47" s="87">
        <f>+C48+D52</f>
        <v>323133259.04000002</v>
      </c>
      <c r="D47" s="92"/>
    </row>
    <row r="48" spans="2:4" ht="15" customHeight="1">
      <c r="B48" s="91" t="s">
        <v>56</v>
      </c>
      <c r="C48" s="87">
        <v>322558848</v>
      </c>
      <c r="D48" s="92"/>
    </row>
    <row r="49" spans="2:4" ht="15" customHeight="1">
      <c r="B49" s="91" t="s">
        <v>46</v>
      </c>
      <c r="C49" s="87">
        <f>+C47-C48</f>
        <v>574411.04000002146</v>
      </c>
      <c r="D49" s="92"/>
    </row>
    <row r="50" spans="2:4" ht="15" customHeight="1">
      <c r="B50" s="91" t="s">
        <v>65</v>
      </c>
      <c r="C50" s="87">
        <v>4818236</v>
      </c>
      <c r="D50" s="93">
        <f>+C50*7%</f>
        <v>337276.52</v>
      </c>
    </row>
    <row r="51" spans="2:4" ht="15" customHeight="1">
      <c r="B51" s="91" t="s">
        <v>66</v>
      </c>
      <c r="C51" s="87">
        <v>3387636</v>
      </c>
      <c r="D51" s="93">
        <f>+C51*7%</f>
        <v>237134.52000000002</v>
      </c>
    </row>
    <row r="52" spans="2:4" ht="15" customHeight="1">
      <c r="B52" s="94" t="s">
        <v>67</v>
      </c>
      <c r="C52" s="95"/>
      <c r="D52" s="96">
        <f>+D50+D51</f>
        <v>574411.04</v>
      </c>
    </row>
    <row r="53" spans="2:4" ht="1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customHeight="1" thickBot="1"/>
    <row r="2" spans="1:4" ht="15" customHeight="1" thickBot="1">
      <c r="A2" s="106" t="s">
        <v>23</v>
      </c>
      <c r="B2" s="110"/>
      <c r="C2" s="110"/>
      <c r="D2" s="111"/>
    </row>
    <row r="3" spans="1:4" ht="26.45" customHeight="1">
      <c r="A3" s="23" t="s">
        <v>36</v>
      </c>
      <c r="B3" s="16" t="s">
        <v>37</v>
      </c>
      <c r="C3" s="17" t="s">
        <v>38</v>
      </c>
      <c r="D3" s="24" t="s">
        <v>42</v>
      </c>
    </row>
    <row r="4" spans="1:4">
      <c r="A4" s="25"/>
      <c r="B4" s="22"/>
      <c r="C4" s="22"/>
      <c r="D4" s="26"/>
    </row>
    <row r="5" spans="1:4">
      <c r="A5" s="25"/>
      <c r="B5" s="22"/>
      <c r="C5" s="22"/>
      <c r="D5" s="27"/>
    </row>
    <row r="6" spans="1:4" ht="15" customHeight="1" thickBot="1">
      <c r="A6" s="28"/>
      <c r="B6" s="29"/>
      <c r="C6" s="30"/>
      <c r="D6" s="31"/>
    </row>
  </sheetData>
  <mergeCells count="1">
    <mergeCell ref="A2:D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108" t="s">
        <v>68</v>
      </c>
      <c r="B2" s="112"/>
      <c r="C2" s="112"/>
      <c r="D2" s="113"/>
      <c r="G2" s="107" t="s">
        <v>69</v>
      </c>
      <c r="H2" s="112"/>
      <c r="I2" s="112"/>
      <c r="J2" s="113"/>
    </row>
    <row r="4" spans="1:10" ht="26.45" customHeight="1">
      <c r="A4" s="41" t="s">
        <v>36</v>
      </c>
      <c r="B4" s="42" t="s">
        <v>37</v>
      </c>
      <c r="C4" s="43" t="s">
        <v>38</v>
      </c>
      <c r="D4" s="49" t="s">
        <v>42</v>
      </c>
      <c r="F4" s="44" t="s">
        <v>70</v>
      </c>
      <c r="G4" s="44" t="s">
        <v>36</v>
      </c>
      <c r="H4" s="45" t="s">
        <v>37</v>
      </c>
      <c r="I4" s="46" t="s">
        <v>38</v>
      </c>
      <c r="J4" s="46" t="s">
        <v>71</v>
      </c>
    </row>
    <row r="5" spans="1:10">
      <c r="A5" s="48">
        <v>45092</v>
      </c>
      <c r="B5" s="22">
        <v>11579428</v>
      </c>
      <c r="C5" s="22">
        <v>5047163</v>
      </c>
      <c r="D5" s="22">
        <f>+C5+B5</f>
        <v>16626591</v>
      </c>
      <c r="F5" s="47">
        <v>1</v>
      </c>
      <c r="G5" s="36">
        <v>45092</v>
      </c>
      <c r="H5" s="18">
        <v>11579428</v>
      </c>
      <c r="I5" s="18">
        <v>5047163</v>
      </c>
      <c r="J5" s="38">
        <f>+H5+I5</f>
        <v>16626591</v>
      </c>
    </row>
    <row r="6" spans="1:10">
      <c r="A6" s="36">
        <v>45121</v>
      </c>
      <c r="B6" s="22">
        <v>11095536</v>
      </c>
      <c r="C6" s="50">
        <v>5531054</v>
      </c>
      <c r="D6" s="22">
        <f>+C6+B6</f>
        <v>16626590</v>
      </c>
      <c r="F6" s="35">
        <v>2</v>
      </c>
      <c r="G6" s="36">
        <v>45122</v>
      </c>
      <c r="H6" s="22">
        <v>11478140</v>
      </c>
      <c r="I6" s="22">
        <v>5148450</v>
      </c>
      <c r="J6" s="38">
        <f>SUM(H6:I6)</f>
        <v>16626590</v>
      </c>
    </row>
    <row r="7" spans="1:10">
      <c r="A7" s="36">
        <v>45153</v>
      </c>
      <c r="B7" s="22"/>
      <c r="C7" s="22"/>
      <c r="D7" s="22">
        <f>+C7+B7</f>
        <v>0</v>
      </c>
      <c r="F7" s="35">
        <v>3</v>
      </c>
      <c r="G7" s="36">
        <v>45153</v>
      </c>
      <c r="H7" s="22">
        <v>11368085</v>
      </c>
      <c r="I7" s="22">
        <v>5247935</v>
      </c>
      <c r="J7" s="38">
        <f>SUM(H7:I7)</f>
        <v>16616020</v>
      </c>
    </row>
    <row r="8" spans="1:10">
      <c r="A8" s="37"/>
      <c r="B8" s="39"/>
      <c r="C8" s="38"/>
      <c r="D8" s="38"/>
    </row>
    <row r="11" spans="1:10">
      <c r="A11" s="109" t="s">
        <v>72</v>
      </c>
      <c r="B11" s="112"/>
      <c r="C11" s="112"/>
      <c r="D11" s="113"/>
    </row>
    <row r="13" spans="1:10">
      <c r="A13" s="40">
        <v>45047</v>
      </c>
      <c r="B13" s="40">
        <v>45078</v>
      </c>
      <c r="C13" s="40">
        <v>45108</v>
      </c>
    </row>
    <row r="14" spans="1:10">
      <c r="A14" s="21">
        <v>5789714.166666666</v>
      </c>
      <c r="B14" s="21">
        <v>5789714</v>
      </c>
      <c r="C14" s="21">
        <v>5356465.8998543695</v>
      </c>
    </row>
    <row r="15" spans="1:10">
      <c r="A15" s="33"/>
      <c r="B15" s="34">
        <v>5739070.1001456305</v>
      </c>
      <c r="C15" s="34">
        <v>5684042.6006204812</v>
      </c>
    </row>
    <row r="16" spans="1:10">
      <c r="A16" s="21">
        <f>SUM(A14:A15)</f>
        <v>5789714.166666666</v>
      </c>
      <c r="B16" s="21">
        <f>SUM(B14:B15)</f>
        <v>11528784.100145631</v>
      </c>
      <c r="C16" s="21">
        <f>SUM(C14:C15)</f>
        <v>11040508.500474852</v>
      </c>
    </row>
    <row r="18" spans="1:2">
      <c r="A18" s="21">
        <f>+A16+B14</f>
        <v>11579428.166666666</v>
      </c>
      <c r="B18" s="21">
        <f>+B15+C14</f>
        <v>11095536</v>
      </c>
    </row>
  </sheetData>
  <mergeCells count="3">
    <mergeCell ref="G2:J2"/>
    <mergeCell ref="A2:D2"/>
    <mergeCell ref="A11:D1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"/>
  <sheetViews>
    <sheetView workbookViewId="0"/>
  </sheetViews>
  <sheetFormatPr defaultRowHeight="15"/>
  <sheetData>
    <row r="1" spans="1:2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</row>
    <row r="2" spans="1:21">
      <c r="A2" t="s">
        <v>94</v>
      </c>
      <c r="B2" t="s">
        <v>95</v>
      </c>
      <c r="C2" t="s">
        <v>96</v>
      </c>
      <c r="D2" t="s">
        <v>97</v>
      </c>
      <c r="E2">
        <v>13</v>
      </c>
      <c r="F2" t="s">
        <v>98</v>
      </c>
      <c r="G2" t="s">
        <v>99</v>
      </c>
      <c r="H2" t="s">
        <v>100</v>
      </c>
      <c r="I2" t="s">
        <v>101</v>
      </c>
      <c r="J2">
        <v>13</v>
      </c>
      <c r="K2">
        <v>12</v>
      </c>
      <c r="L2" t="s">
        <v>102</v>
      </c>
      <c r="M2" t="s">
        <v>103</v>
      </c>
      <c r="N2" t="s">
        <v>98</v>
      </c>
      <c r="O2" t="s">
        <v>104</v>
      </c>
      <c r="Q2" t="s">
        <v>105</v>
      </c>
      <c r="R2" t="s">
        <v>104</v>
      </c>
      <c r="S2" t="s">
        <v>106</v>
      </c>
      <c r="T2" t="s">
        <v>107</v>
      </c>
      <c r="U2" t="s">
        <v>108</v>
      </c>
    </row>
    <row r="3" spans="1:21">
      <c r="A3" t="s">
        <v>94</v>
      </c>
      <c r="B3" t="s">
        <v>95</v>
      </c>
      <c r="C3" t="s">
        <v>96</v>
      </c>
      <c r="D3" t="s">
        <v>97</v>
      </c>
      <c r="E3">
        <v>14</v>
      </c>
      <c r="F3" t="s">
        <v>98</v>
      </c>
      <c r="G3" t="s">
        <v>109</v>
      </c>
      <c r="H3" t="s">
        <v>110</v>
      </c>
      <c r="I3" t="s">
        <v>111</v>
      </c>
      <c r="J3">
        <v>14</v>
      </c>
      <c r="K3">
        <v>12</v>
      </c>
      <c r="L3" t="s">
        <v>112</v>
      </c>
      <c r="M3" t="s">
        <v>113</v>
      </c>
      <c r="N3" t="s">
        <v>98</v>
      </c>
      <c r="O3" t="s">
        <v>104</v>
      </c>
      <c r="Q3" t="s">
        <v>105</v>
      </c>
      <c r="R3" t="s">
        <v>104</v>
      </c>
      <c r="S3" t="s">
        <v>106</v>
      </c>
      <c r="T3" t="s">
        <v>107</v>
      </c>
      <c r="U3" t="s">
        <v>108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B33814-A914-4D1E-95CC-D8BA9BD02964}"/>
</file>

<file path=customXml/itemProps2.xml><?xml version="1.0" encoding="utf-8"?>
<ds:datastoreItem xmlns:ds="http://schemas.openxmlformats.org/officeDocument/2006/customXml" ds:itemID="{A45E3855-DC27-4D2D-B80B-726D524788BA}"/>
</file>

<file path=customXml/itemProps3.xml><?xml version="1.0" encoding="utf-8"?>
<ds:datastoreItem xmlns:ds="http://schemas.openxmlformats.org/officeDocument/2006/customXml" ds:itemID="{4F650BF6-48E6-41C6-8AAB-FB6095CB1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