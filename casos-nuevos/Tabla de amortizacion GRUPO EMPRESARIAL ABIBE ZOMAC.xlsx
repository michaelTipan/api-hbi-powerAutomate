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GRUPO EMPRESARIAL ABIBE/"/>
    </mc:Choice>
  </mc:AlternateContent>
  <xr:revisionPtr revIDLastSave="2024" documentId="13_ncr:1_{3399C118-4EE5-477B-B6C1-03AB99ED72B1}" xr6:coauthVersionLast="47" xr6:coauthVersionMax="47" xr10:uidLastSave="{4F7DB410-0E01-495B-A5E2-4E4C4E455831}"/>
  <bookViews>
    <workbookView xWindow="-110" yWindow="-110" windowWidth="19420" windowHeight="10300" tabRatio="616" firstSheet="1" activeTab="1" xr2:uid="{0920E443-DC1E-47E3-8B6F-959661E6D6A8}"/>
  </bookViews>
  <sheets>
    <sheet name="TasaImplicita" sheetId="1" state="hidden" r:id="rId1"/>
    <sheet name="GRUPO EMPRESARIAL ABIBE ZOMAC" sheetId="2" r:id="rId2"/>
    <sheet name="Hoja1" sheetId="3" r:id="rId3"/>
    <sheet name="Hoj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AF15" i="2"/>
  <c r="AF14" i="2"/>
  <c r="P26" i="2"/>
  <c r="O26" i="2"/>
  <c r="W27" i="2"/>
  <c r="V26" i="2"/>
  <c r="D25" i="2"/>
  <c r="V25" i="2"/>
  <c r="D24" i="2"/>
  <c r="D23" i="2"/>
  <c r="V24" i="2"/>
  <c r="V23" i="2"/>
  <c r="D22" i="2"/>
  <c r="V22" i="2"/>
  <c r="D21" i="2"/>
  <c r="V21" i="2"/>
  <c r="D20" i="2"/>
  <c r="V20" i="2"/>
  <c r="D19" i="2"/>
  <c r="V19" i="2"/>
  <c r="D18" i="2" l="1"/>
  <c r="V18" i="2"/>
  <c r="D17" i="2"/>
  <c r="V17" i="2"/>
  <c r="D16" i="2"/>
  <c r="V15" i="2"/>
  <c r="V16" i="2"/>
  <c r="D15" i="2"/>
  <c r="D14" i="2"/>
  <c r="V14" i="2"/>
  <c r="D12" i="2"/>
  <c r="D13" i="2"/>
  <c r="O13" i="2"/>
  <c r="V5" i="2"/>
  <c r="V6" i="2"/>
  <c r="V7" i="2"/>
  <c r="V8" i="2"/>
  <c r="V9" i="2"/>
  <c r="V10" i="2"/>
  <c r="V11" i="2"/>
  <c r="V12" i="2"/>
  <c r="V13" i="2"/>
  <c r="V4" i="2"/>
  <c r="AJ5" i="2" l="1"/>
  <c r="AI10" i="2" s="1"/>
  <c r="D11" i="2"/>
  <c r="D10" i="2"/>
  <c r="D9" i="2"/>
  <c r="D8" i="2" l="1"/>
  <c r="O8" i="2"/>
  <c r="P8" i="2" s="1"/>
  <c r="AD6" i="2" s="1"/>
  <c r="D7" i="2"/>
  <c r="D6" i="2"/>
  <c r="O6" i="2"/>
  <c r="P6" i="2" s="1"/>
  <c r="AB6" i="2"/>
  <c r="D5" i="2"/>
  <c r="D4" i="2"/>
  <c r="B4" i="2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AE5" i="2" l="1"/>
  <c r="AD10" i="2"/>
  <c r="AC5" i="2"/>
  <c r="AB10" i="2"/>
  <c r="A4" i="2"/>
  <c r="H4" i="2" l="1"/>
  <c r="C12" i="1" l="1"/>
  <c r="G5" i="1"/>
  <c r="G2" i="1"/>
  <c r="G1" i="1"/>
  <c r="B9" i="1"/>
  <c r="B7" i="1"/>
  <c r="F1" i="2" l="1"/>
  <c r="C4" i="2" s="1"/>
  <c r="I4" i="2"/>
  <c r="A5" i="2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P4" i="2" l="1"/>
  <c r="Z5" i="2" s="1"/>
  <c r="O4" i="2"/>
  <c r="K4" i="2"/>
  <c r="F2" i="2"/>
  <c r="E4" i="2" s="1"/>
  <c r="L5" i="2"/>
  <c r="M5" i="2"/>
  <c r="N5" i="2" s="1"/>
  <c r="A6" i="2"/>
  <c r="K5" i="2"/>
  <c r="H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AA5" i="2" l="1"/>
  <c r="Z7" i="2"/>
  <c r="Z10" i="2"/>
  <c r="F4" i="2"/>
  <c r="J4" i="2"/>
  <c r="E5" i="2" s="1"/>
  <c r="H6" i="2"/>
  <c r="I6" i="2" s="1"/>
  <c r="A7" i="2"/>
  <c r="K7" i="2" s="1"/>
  <c r="M6" i="2"/>
  <c r="N6" i="2" s="1"/>
  <c r="L6" i="2"/>
  <c r="I5" i="2"/>
  <c r="K6" i="2"/>
  <c r="B10" i="1"/>
  <c r="B5" i="2" l="1"/>
  <c r="M7" i="2"/>
  <c r="H7" i="2"/>
  <c r="I7" i="2" s="1"/>
  <c r="L7" i="2"/>
  <c r="A8" i="2"/>
  <c r="C5" i="2" l="1"/>
  <c r="O5" i="2" s="1"/>
  <c r="P5" i="2" s="1"/>
  <c r="AA6" i="2" s="1"/>
  <c r="N7" i="2"/>
  <c r="M8" i="2"/>
  <c r="A9" i="2"/>
  <c r="A10" i="2" s="1"/>
  <c r="K10" i="2" s="1"/>
  <c r="H8" i="2"/>
  <c r="I8" i="2" s="1"/>
  <c r="L8" i="2"/>
  <c r="K8" i="2"/>
  <c r="AB5" i="2" l="1"/>
  <c r="AB7" i="2" s="1"/>
  <c r="AA10" i="2"/>
  <c r="AA7" i="2"/>
  <c r="F5" i="2"/>
  <c r="J5" i="2" s="1"/>
  <c r="E6" i="2" s="1"/>
  <c r="L9" i="2"/>
  <c r="L10" i="2" s="1"/>
  <c r="N8" i="2"/>
  <c r="A11" i="2"/>
  <c r="K9" i="2"/>
  <c r="M9" i="2"/>
  <c r="M10" i="2" s="1"/>
  <c r="H9" i="2"/>
  <c r="L11" i="2" l="1"/>
  <c r="B6" i="2"/>
  <c r="C6" i="2" s="1"/>
  <c r="K11" i="2"/>
  <c r="M11" i="2"/>
  <c r="A12" i="2"/>
  <c r="A13" i="2" s="1"/>
  <c r="N9" i="2"/>
  <c r="N10" i="2" s="1"/>
  <c r="I9" i="2"/>
  <c r="H10" i="2"/>
  <c r="L12" i="2" l="1"/>
  <c r="L13" i="2" s="1"/>
  <c r="M12" i="2"/>
  <c r="M13" i="2" s="1"/>
  <c r="K12" i="2"/>
  <c r="N11" i="2"/>
  <c r="I10" i="2"/>
  <c r="H11" i="2"/>
  <c r="A14" i="2"/>
  <c r="K13" i="2"/>
  <c r="N12" i="2" l="1"/>
  <c r="N13" i="2" s="1"/>
  <c r="M14" i="2"/>
  <c r="I11" i="2"/>
  <c r="H12" i="2"/>
  <c r="L14" i="2"/>
  <c r="A15" i="2"/>
  <c r="K14" i="2"/>
  <c r="N14" i="2" l="1"/>
  <c r="M15" i="2"/>
  <c r="I12" i="2"/>
  <c r="H13" i="2"/>
  <c r="L15" i="2"/>
  <c r="A16" i="2"/>
  <c r="K15" i="2"/>
  <c r="N15" i="2" l="1"/>
  <c r="M16" i="2"/>
  <c r="I13" i="2"/>
  <c r="H14" i="2"/>
  <c r="L16" i="2"/>
  <c r="A17" i="2"/>
  <c r="K16" i="2"/>
  <c r="N16" i="2" l="1"/>
  <c r="M17" i="2"/>
  <c r="I14" i="2"/>
  <c r="H15" i="2"/>
  <c r="L17" i="2"/>
  <c r="A18" i="2"/>
  <c r="K17" i="2"/>
  <c r="N17" i="2" l="1"/>
  <c r="M18" i="2"/>
  <c r="I15" i="2"/>
  <c r="H16" i="2"/>
  <c r="L18" i="2"/>
  <c r="A19" i="2"/>
  <c r="K18" i="2"/>
  <c r="N18" i="2" l="1"/>
  <c r="M19" i="2"/>
  <c r="I16" i="2"/>
  <c r="H17" i="2"/>
  <c r="L19" i="2"/>
  <c r="K19" i="2"/>
  <c r="A20" i="2"/>
  <c r="N19" i="2" l="1"/>
  <c r="M20" i="2"/>
  <c r="N20" i="2" s="1"/>
  <c r="I17" i="2"/>
  <c r="H18" i="2"/>
  <c r="L20" i="2"/>
  <c r="K20" i="2"/>
  <c r="A21" i="2"/>
  <c r="M21" i="2" l="1"/>
  <c r="N21" i="2" s="1"/>
  <c r="I18" i="2"/>
  <c r="H19" i="2"/>
  <c r="L21" i="2"/>
  <c r="K21" i="2"/>
  <c r="A22" i="2"/>
  <c r="M22" i="2" l="1"/>
  <c r="I19" i="2"/>
  <c r="H20" i="2"/>
  <c r="N22" i="2"/>
  <c r="L22" i="2"/>
  <c r="K22" i="2"/>
  <c r="A23" i="2"/>
  <c r="M23" i="2" s="1"/>
  <c r="I20" i="2" l="1"/>
  <c r="H21" i="2"/>
  <c r="L23" i="2"/>
  <c r="N23" i="2"/>
  <c r="K23" i="2"/>
  <c r="A24" i="2"/>
  <c r="M24" i="2" s="1"/>
  <c r="I21" i="2" l="1"/>
  <c r="H22" i="2"/>
  <c r="N24" i="2"/>
  <c r="L24" i="2"/>
  <c r="K24" i="2"/>
  <c r="A25" i="2"/>
  <c r="M25" i="2" l="1"/>
  <c r="I22" i="2"/>
  <c r="H23" i="2"/>
  <c r="L25" i="2"/>
  <c r="N25" i="2"/>
  <c r="K25" i="2"/>
  <c r="A26" i="2"/>
  <c r="M26" i="2" l="1"/>
  <c r="I23" i="2"/>
  <c r="H24" i="2"/>
  <c r="N26" i="2"/>
  <c r="L26" i="2"/>
  <c r="K26" i="2"/>
  <c r="A27" i="2"/>
  <c r="M27" i="2" l="1"/>
  <c r="I24" i="2"/>
  <c r="H25" i="2"/>
  <c r="N27" i="2"/>
  <c r="L27" i="2"/>
  <c r="K27" i="2"/>
  <c r="A28" i="2"/>
  <c r="M28" i="2" l="1"/>
  <c r="N28" i="2" s="1"/>
  <c r="K28" i="2"/>
  <c r="L28" i="2"/>
  <c r="I25" i="2"/>
  <c r="H26" i="2"/>
  <c r="A29" i="2"/>
  <c r="M29" i="2" l="1"/>
  <c r="N29" i="2" s="1"/>
  <c r="K29" i="2"/>
  <c r="L29" i="2"/>
  <c r="I26" i="2"/>
  <c r="H27" i="2"/>
  <c r="H28" i="2" s="1"/>
  <c r="A30" i="2"/>
  <c r="K30" i="2" l="1"/>
  <c r="L30" i="2"/>
  <c r="M30" i="2"/>
  <c r="N30" i="2" s="1"/>
  <c r="I28" i="2"/>
  <c r="H29" i="2"/>
  <c r="I27" i="2"/>
  <c r="A31" i="2"/>
  <c r="M31" i="2" l="1"/>
  <c r="N31" i="2" s="1"/>
  <c r="K31" i="2"/>
  <c r="L31" i="2"/>
  <c r="H30" i="2"/>
  <c r="I29" i="2"/>
  <c r="A32" i="2"/>
  <c r="M32" i="2" l="1"/>
  <c r="N32" i="2" s="1"/>
  <c r="K32" i="2"/>
  <c r="L32" i="2"/>
  <c r="I30" i="2"/>
  <c r="H31" i="2"/>
  <c r="A33" i="2"/>
  <c r="M33" i="2" l="1"/>
  <c r="N33" i="2" s="1"/>
  <c r="K33" i="2"/>
  <c r="L33" i="2"/>
  <c r="H32" i="2"/>
  <c r="I31" i="2"/>
  <c r="A34" i="2"/>
  <c r="M34" i="2" l="1"/>
  <c r="N34" i="2" s="1"/>
  <c r="K34" i="2"/>
  <c r="L34" i="2"/>
  <c r="H33" i="2"/>
  <c r="I32" i="2"/>
  <c r="A35" i="2"/>
  <c r="M35" i="2" l="1"/>
  <c r="N35" i="2" s="1"/>
  <c r="K35" i="2"/>
  <c r="L35" i="2"/>
  <c r="H34" i="2"/>
  <c r="I33" i="2"/>
  <c r="A36" i="2"/>
  <c r="M36" i="2" l="1"/>
  <c r="N36" i="2" s="1"/>
  <c r="K36" i="2"/>
  <c r="L36" i="2"/>
  <c r="H35" i="2"/>
  <c r="I34" i="2"/>
  <c r="A37" i="2"/>
  <c r="M37" i="2" l="1"/>
  <c r="N37" i="2" s="1"/>
  <c r="K37" i="2"/>
  <c r="L37" i="2"/>
  <c r="H36" i="2"/>
  <c r="I35" i="2"/>
  <c r="A38" i="2"/>
  <c r="M38" i="2" l="1"/>
  <c r="N38" i="2" s="1"/>
  <c r="K38" i="2"/>
  <c r="L38" i="2"/>
  <c r="H37" i="2"/>
  <c r="I36" i="2"/>
  <c r="A39" i="2"/>
  <c r="M39" i="2" l="1"/>
  <c r="N39" i="2" s="1"/>
  <c r="K39" i="2"/>
  <c r="L39" i="2"/>
  <c r="I37" i="2"/>
  <c r="H38" i="2"/>
  <c r="F6" i="2"/>
  <c r="J6" i="2" s="1"/>
  <c r="E7" i="2" s="1"/>
  <c r="I38" i="2" l="1"/>
  <c r="H39" i="2"/>
  <c r="B7" i="2"/>
  <c r="I39" i="2" l="1"/>
  <c r="C7" i="2"/>
  <c r="O7" i="2" s="1"/>
  <c r="P7" i="2" s="1"/>
  <c r="AC6" i="2" s="1"/>
  <c r="AD5" i="2" l="1"/>
  <c r="AC7" i="2"/>
  <c r="F7" i="2"/>
  <c r="B8" i="2" s="1"/>
  <c r="AD7" i="2" l="1"/>
  <c r="AC10" i="2"/>
  <c r="J7" i="2"/>
  <c r="E8" i="2" s="1"/>
  <c r="C8" i="2"/>
  <c r="F8" i="2" l="1"/>
  <c r="J8" i="2" l="1"/>
  <c r="E9" i="2" s="1"/>
  <c r="B9" i="2"/>
  <c r="C9" i="2" s="1"/>
  <c r="O9" i="2" l="1"/>
  <c r="F9" i="2"/>
  <c r="AF3" i="2" l="1"/>
  <c r="P9" i="2"/>
  <c r="AE6" i="2" s="1"/>
  <c r="J9" i="2"/>
  <c r="E10" i="2" s="1"/>
  <c r="B10" i="2"/>
  <c r="AE7" i="2" l="1"/>
  <c r="AF5" i="2"/>
  <c r="AE10" i="2" s="1"/>
  <c r="C10" i="2"/>
  <c r="O10" i="2" s="1"/>
  <c r="P10" i="2" l="1"/>
  <c r="AF6" i="2" s="1"/>
  <c r="F10" i="2"/>
  <c r="AG5" i="2" l="1"/>
  <c r="AF10" i="2" s="1"/>
  <c r="AF7" i="2"/>
  <c r="J10" i="2"/>
  <c r="E11" i="2" s="1"/>
  <c r="B11" i="2"/>
  <c r="C11" i="2" s="1"/>
  <c r="O11" i="2" s="1"/>
  <c r="AH5" i="2" l="1"/>
  <c r="P11" i="2"/>
  <c r="AG6" i="2" s="1"/>
  <c r="F11" i="2"/>
  <c r="AG10" i="2" l="1"/>
  <c r="AG7" i="2"/>
  <c r="B12" i="2"/>
  <c r="C12" i="2" s="1"/>
  <c r="O12" i="2" s="1"/>
  <c r="J11" i="2"/>
  <c r="E12" i="2" s="1"/>
  <c r="AI5" i="2" l="1"/>
  <c r="P12" i="2"/>
  <c r="AH6" i="2" s="1"/>
  <c r="F12" i="2"/>
  <c r="J12" i="2" s="1"/>
  <c r="E13" i="2" s="1"/>
  <c r="AH10" i="2" l="1"/>
  <c r="AH7" i="2"/>
  <c r="B13" i="2"/>
  <c r="C13" i="2" s="1"/>
  <c r="P13" i="2" l="1"/>
  <c r="AI7" i="2" s="1"/>
  <c r="F13" i="2" l="1"/>
  <c r="B14" i="2" s="1"/>
  <c r="C14" i="2" s="1"/>
  <c r="O14" i="2" s="1"/>
  <c r="AK5" i="2" l="1"/>
  <c r="AJ6" i="2"/>
  <c r="AJ10" i="2"/>
  <c r="AJ7" i="2"/>
  <c r="P14" i="2"/>
  <c r="J13" i="2"/>
  <c r="E14" i="2" s="1"/>
  <c r="F14" i="2" l="1"/>
  <c r="J14" i="2" s="1"/>
  <c r="E15" i="2" s="1"/>
  <c r="B15" i="2"/>
  <c r="C15" i="2" s="1"/>
  <c r="O15" i="2" s="1"/>
  <c r="AL5" i="2" l="1"/>
  <c r="P15" i="2"/>
  <c r="AK6" i="2" s="1"/>
  <c r="AK7" i="2" s="1"/>
  <c r="F15" i="2"/>
  <c r="J15" i="2" s="1"/>
  <c r="E16" i="2" s="1"/>
  <c r="B16" i="2" l="1"/>
  <c r="C16" i="2" s="1"/>
  <c r="F16" i="2" l="1"/>
  <c r="O16" i="2"/>
  <c r="J16" i="2"/>
  <c r="E17" i="2" s="1"/>
  <c r="B17" i="2"/>
  <c r="C17" i="2" s="1"/>
  <c r="P16" i="2" l="1"/>
  <c r="AL6" i="2" s="1"/>
  <c r="AL7" i="2" s="1"/>
  <c r="AM5" i="2"/>
  <c r="F17" i="2"/>
  <c r="J17" i="2" s="1"/>
  <c r="E18" i="2" s="1"/>
  <c r="O17" i="2"/>
  <c r="AN5" i="2" s="1"/>
  <c r="B18" i="2"/>
  <c r="C18" i="2" s="1"/>
  <c r="F18" i="2" l="1"/>
  <c r="J18" i="2" s="1"/>
  <c r="E19" i="2" s="1"/>
  <c r="O18" i="2"/>
  <c r="P17" i="2"/>
  <c r="AM6" i="2" s="1"/>
  <c r="AM7" i="2" s="1"/>
  <c r="B19" i="2"/>
  <c r="Z14" i="2" l="1"/>
  <c r="P18" i="2"/>
  <c r="AN6" i="2" s="1"/>
  <c r="AN7" i="2" s="1"/>
  <c r="C19" i="2"/>
  <c r="O19" i="2" s="1"/>
  <c r="AA14" i="2" l="1"/>
  <c r="P19" i="2"/>
  <c r="Z15" i="2" s="1"/>
  <c r="Z16" i="2"/>
  <c r="F19" i="2"/>
  <c r="J19" i="2" s="1"/>
  <c r="E20" i="2" s="1"/>
  <c r="B20" i="2" l="1"/>
  <c r="C20" i="2"/>
  <c r="F20" i="2" l="1"/>
  <c r="J20" i="2" s="1"/>
  <c r="E21" i="2" s="1"/>
  <c r="O20" i="2"/>
  <c r="B21" i="2"/>
  <c r="P20" i="2" l="1"/>
  <c r="AB14" i="2"/>
  <c r="C21" i="2"/>
  <c r="AA15" i="2" l="1"/>
  <c r="AA16" i="2" s="1"/>
  <c r="F21" i="2"/>
  <c r="J21" i="2" s="1"/>
  <c r="E22" i="2" s="1"/>
  <c r="O21" i="2"/>
  <c r="AC14" i="2" s="1"/>
  <c r="B22" i="2" l="1"/>
  <c r="C22" i="2" s="1"/>
  <c r="P21" i="2"/>
  <c r="AB15" i="2" l="1"/>
  <c r="AB16" i="2" s="1"/>
  <c r="F22" i="2"/>
  <c r="J22" i="2" s="1"/>
  <c r="E23" i="2" s="1"/>
  <c r="O22" i="2"/>
  <c r="AD14" i="2" s="1"/>
  <c r="B23" i="2"/>
  <c r="P22" i="2" l="1"/>
  <c r="C23" i="2"/>
  <c r="AC15" i="2" l="1"/>
  <c r="AC16" i="2" s="1"/>
  <c r="F23" i="2"/>
  <c r="J23" i="2" s="1"/>
  <c r="E24" i="2" s="1"/>
  <c r="O23" i="2"/>
  <c r="B24" i="2"/>
  <c r="P23" i="2" l="1"/>
  <c r="AE14" i="2"/>
  <c r="AD15" i="2"/>
  <c r="AD16" i="2" s="1"/>
  <c r="C24" i="2"/>
  <c r="F24" i="2" l="1"/>
  <c r="J24" i="2" s="1"/>
  <c r="E25" i="2" s="1"/>
  <c r="O24" i="2"/>
  <c r="B25" i="2"/>
  <c r="P24" i="2" l="1"/>
  <c r="AE15" i="2" s="1"/>
  <c r="AE16" i="2" s="1"/>
  <c r="C25" i="2"/>
  <c r="F25" i="2" l="1"/>
  <c r="J25" i="2" s="1"/>
  <c r="E26" i="2" s="1"/>
  <c r="O25" i="2"/>
  <c r="P25" i="2" s="1"/>
  <c r="AF16" i="2" s="1"/>
  <c r="B26" i="2"/>
  <c r="C26" i="2" l="1"/>
  <c r="F26" i="2" s="1"/>
  <c r="J26" i="2" s="1"/>
  <c r="E27" i="2" s="1"/>
  <c r="B27" i="2" l="1"/>
  <c r="C27" i="2" l="1"/>
  <c r="D27" i="2" s="1"/>
  <c r="F27" i="2" s="1"/>
  <c r="J27" i="2" l="1"/>
  <c r="E28" i="2" s="1"/>
  <c r="B28" i="2"/>
  <c r="C28" i="2" l="1"/>
  <c r="D28" i="2" s="1"/>
  <c r="F28" i="2" s="1"/>
  <c r="B29" i="2" l="1"/>
  <c r="C29" i="2" s="1"/>
  <c r="J28" i="2"/>
  <c r="E29" i="2" s="1"/>
  <c r="D29" i="2" l="1"/>
  <c r="F29" i="2" s="1"/>
  <c r="J29" i="2" l="1"/>
  <c r="E30" i="2" s="1"/>
  <c r="B30" i="2"/>
  <c r="C30" i="2" s="1"/>
  <c r="D30" i="2" l="1"/>
  <c r="F30" i="2" s="1"/>
  <c r="J30" i="2" l="1"/>
  <c r="E31" i="2" s="1"/>
  <c r="B31" i="2"/>
  <c r="C31" i="2" s="1"/>
  <c r="D31" i="2" l="1"/>
  <c r="F31" i="2" s="1"/>
  <c r="J31" i="2" l="1"/>
  <c r="E32" i="2" s="1"/>
  <c r="B32" i="2"/>
  <c r="C32" i="2" s="1"/>
  <c r="D32" i="2" l="1"/>
  <c r="F32" i="2" s="1"/>
  <c r="J32" i="2" l="1"/>
  <c r="E33" i="2" s="1"/>
  <c r="B33" i="2"/>
  <c r="C33" i="2" l="1"/>
  <c r="D33" i="2" s="1"/>
  <c r="F33" i="2" s="1"/>
  <c r="B34" i="2" l="1"/>
  <c r="C34" i="2" s="1"/>
  <c r="J33" i="2"/>
  <c r="E34" i="2" s="1"/>
  <c r="D34" i="2" l="1"/>
  <c r="F34" i="2" s="1"/>
  <c r="J34" i="2" l="1"/>
  <c r="E35" i="2" s="1"/>
  <c r="B35" i="2"/>
  <c r="C35" i="2" s="1"/>
  <c r="D35" i="2" l="1"/>
  <c r="F35" i="2" s="1"/>
  <c r="B36" i="2" s="1"/>
  <c r="C36" i="2" s="1"/>
  <c r="J35" i="2" l="1"/>
  <c r="E36" i="2" s="1"/>
  <c r="D36" i="2" s="1"/>
  <c r="F36" i="2" s="1"/>
  <c r="J36" i="2" l="1"/>
  <c r="E37" i="2" s="1"/>
  <c r="B37" i="2"/>
  <c r="C37" i="2" s="1"/>
  <c r="D37" i="2" l="1"/>
  <c r="F37" i="2" s="1"/>
  <c r="B38" i="2" s="1"/>
  <c r="C38" i="2" s="1"/>
  <c r="J37" i="2" l="1"/>
  <c r="E38" i="2" s="1"/>
  <c r="D38" i="2" s="1"/>
  <c r="F38" i="2" s="1"/>
  <c r="J38" i="2" l="1"/>
  <c r="E39" i="2" s="1"/>
  <c r="B39" i="2"/>
  <c r="C39" i="2" s="1"/>
  <c r="D39" i="2" l="1"/>
  <c r="F39" i="2" s="1"/>
  <c r="J3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tc={7E309D7A-A43F-4F21-A473-EBF8101644D4}</author>
    <author>tc={3BDA0088-F4B5-426D-9CD1-E7D50D8BEFF2}</author>
  </authors>
  <commentList>
    <comment ref="U12" authorId="0" shapeId="0" xr:uid="{D50F4331-E4A1-4567-AE37-1C12484D0D31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3119</t>
        </r>
      </text>
    </comment>
    <comment ref="U13" authorId="0" shapeId="0" xr:uid="{E54D7983-1623-4476-88BB-4746E9CBD10D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3307</t>
        </r>
      </text>
    </comment>
    <comment ref="U18" authorId="0" shapeId="0" xr:uid="{8829AF98-3CC8-4BE4-B8CA-684F4371A57F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4629</t>
        </r>
      </text>
    </comment>
    <comment ref="U20" authorId="0" shapeId="0" xr:uid="{AF0F8E72-5B41-4FD7-9C8C-C7665DC02341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5234</t>
        </r>
      </text>
    </comment>
    <comment ref="U21" authorId="0" shapeId="0" xr:uid="{714CB29D-8C79-467A-900D-04B5CF15CCEC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5531</t>
        </r>
      </text>
    </comment>
    <comment ref="U22" authorId="1" shapeId="0" xr:uid="{7E309D7A-A43F-4F21-A473-EBF8101644D4}">
      <text>
        <t>[Threaded comment]
Your version of Excel allows you to read this threaded comment; however, any edits to it will get removed if the file is opened in a newer version of Excel. Learn more: https://go.microsoft.com/fwlink/?linkid=870924
Comment:
    5920</t>
      </text>
    </comment>
    <comment ref="U24" authorId="2" shapeId="0" xr:uid="{3BDA0088-F4B5-426D-9CD1-E7D50D8BEFF2}">
      <text>
        <t>[Threaded comment]
Your version of Excel allows you to read this threaded comment; however, any edits to it will get removed if the file is opened in a newer version of Excel. Learn more: https://go.microsoft.com/fwlink/?linkid=870924
Comment:
    6518</t>
      </text>
    </comment>
  </commentList>
</comments>
</file>

<file path=xl/sharedStrings.xml><?xml version="1.0" encoding="utf-8"?>
<sst xmlns="http://schemas.openxmlformats.org/spreadsheetml/2006/main" count="53" uniqueCount="43">
  <si>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</si>
  <si>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</si>
  <si>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</si>
  <si>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</si>
  <si>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</si>
  <si>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</si>
  <si>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</si>
  <si>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</si>
  <si>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</si>
  <si>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</si>
  <si>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</si>
  <si>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</si>
  <si>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</si>
  <si>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</si>
  <si>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</si>
  <si>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</si>
  <si>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</si>
  <si>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</si>
  <si>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</si>
  <si>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</si>
  <si>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</si>
  <si>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</si>
  <si>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</si>
  <si>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</si>
  <si>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</si>
  <si>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</si>
  <si>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</si>
  <si>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</si>
  <si>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</si>
  <si>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</si>
  <si>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</si>
  <si>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</si>
  <si>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</si>
  <si>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</si>
  <si>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</si>
  <si>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</si>
  <si>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</si>
  <si>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</si>
  <si>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</si>
  <si>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Abono a capital</t>
  </si>
  <si>
    <t>Intereses de mora</t>
  </si>
  <si>
    <t>Valor pagado cliente</t>
  </si>
  <si>
    <t>Saldos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</si>
</sst>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4" fontId="0" fillId="0" borderId="0" xfId="1" applyNumberFormat="1" applyFont="1" applyFill="1"/>
    <xf numFmtId="165" fontId="0" fillId="0" borderId="0" xfId="2" applyNumberFormat="1" applyFont="1" applyFill="1" applyProtection="1">
      <protection locked="0"/>
    </xf>
    <xf numFmtId="165" fontId="0" fillId="0" borderId="0" xfId="2" applyNumberFormat="1" applyFont="1" applyFill="1"/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4" fontId="0" fillId="3" borderId="0" xfId="1" applyNumberFormat="1" applyFont="1" applyFill="1"/>
    <xf numFmtId="164" fontId="1" fillId="3" borderId="0" xfId="1" applyNumberFormat="1" applyFont="1" applyFill="1"/>
    <xf numFmtId="164" fontId="1" fillId="0" borderId="0" xfId="1" applyNumberFormat="1" applyFont="1" applyFill="1"/>
    <xf numFmtId="165" fontId="1" fillId="0" borderId="0" xfId="2" applyNumberFormat="1" applyFont="1" applyFill="1" applyProtection="1">
      <protection locked="0"/>
    </xf>
    <xf numFmtId="0" fontId="6" fillId="0" borderId="0" xfId="0" applyFont="1"/>
    <xf numFmtId="43" fontId="0" fillId="3" borderId="4" xfId="1" applyFont="1" applyFill="1" applyBorder="1"/>
    <xf numFmtId="14" fontId="0" fillId="3" borderId="4" xfId="0" applyNumberFormat="1" applyFill="1" applyBorder="1"/>
    <xf numFmtId="164" fontId="1" fillId="0" borderId="0" xfId="1" applyNumberFormat="1" applyFont="1" applyFill="1" applyBorder="1"/>
    <xf numFmtId="43" fontId="7" fillId="0" borderId="0" xfId="0" applyNumberFormat="1" applyFont="1"/>
    <xf numFmtId="0" fontId="8" fillId="0" borderId="0" xfId="0" applyFont="1"/>
    <xf numFmtId="43" fontId="6" fillId="3" borderId="4" xfId="1" applyFont="1" applyFill="1" applyBorder="1"/>
    <xf numFmtId="0" fontId="9" fillId="0" borderId="0" xfId="0" applyFont="1"/>
    <xf numFmtId="17" fontId="10" fillId="0" borderId="0" xfId="0" applyNumberFormat="1" applyFont="1" applyAlignment="1">
      <alignment horizontal="center"/>
    </xf>
    <xf numFmtId="17" fontId="5" fillId="0" borderId="0" xfId="0" applyNumberFormat="1" applyFont="1"/>
    <xf numFmtId="0" fontId="3" fillId="3" borderId="0" xfId="0" applyFont="1" applyFill="1" applyAlignment="1">
      <alignment horizontal="center"/>
    </xf>
    <xf numFmtId="165" fontId="1" fillId="3" borderId="0" xfId="2" applyNumberFormat="1" applyFont="1" applyFill="1" applyProtection="1">
      <protection locked="0"/>
    </xf>
    <xf numFmtId="164" fontId="11" fillId="3" borderId="0" xfId="1" applyNumberFormat="1" applyFont="1" applyFill="1"/>
    <xf numFmtId="164" fontId="11" fillId="3" borderId="0" xfId="1" applyNumberFormat="1" applyFont="1" applyFill="1" applyAlignment="1">
      <alignment horizontal="right"/>
    </xf>
    <xf numFmtId="0" fontId="10" fillId="0" borderId="0" xfId="0" applyFont="1" applyAlignment="1">
      <alignment horizontal="center"/>
    </xf>
    <xf numFmtId="165" fontId="11" fillId="2" borderId="0" xfId="2" applyNumberFormat="1" applyFont="1" applyFill="1" applyProtection="1">
      <protection locked="0"/>
    </xf>
    <xf numFmtId="165" fontId="0" fillId="3" borderId="0" xfId="2" applyNumberFormat="1" applyFont="1" applyFill="1"/>
    <xf numFmtId="0" fontId="0" fillId="3" borderId="0" xfId="0" applyFill="1" applyAlignment="1">
      <alignment horizontal="center"/>
    </xf>
    <xf numFmtId="165" fontId="1" fillId="0" borderId="0" xfId="2" applyNumberFormat="1" applyFont="1" applyFill="1"/>
    <xf numFmtId="0" fontId="12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5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43" fontId="6" fillId="0" borderId="4" xfId="1" applyFont="1" applyFill="1" applyBorder="1"/>
    <xf numFmtId="165" fontId="11" fillId="0" borderId="0" xfId="2" applyNumberFormat="1" applyFont="1" applyFill="1" applyProtection="1">
      <protection locked="0"/>
    </xf>
    <xf numFmtId="14" fontId="0" fillId="3" borderId="3" xfId="1" applyNumberFormat="1" applyFont="1" applyFill="1" applyBorder="1"/>
    <xf numFmtId="43" fontId="0" fillId="3" borderId="3" xfId="1" applyFont="1" applyFill="1" applyBorder="1"/>
    <xf numFmtId="43" fontId="6" fillId="3" borderId="3" xfId="1" applyFont="1" applyFill="1" applyBorder="1"/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 wrapText="1"/>
    </xf>
    <xf numFmtId="43" fontId="6" fillId="0" borderId="4" xfId="1" applyFont="1" applyBorder="1"/>
    <xf numFmtId="164" fontId="5" fillId="10" borderId="0" xfId="1" applyNumberFormat="1" applyFont="1" applyFill="1" applyBorder="1"/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0" fillId="0" borderId="0" xfId="0" applyAlignment="1"/>
    <xf numFmtId="0" fontId="3" fillId="10" borderId="16" xfId="0" applyFont="1" applyFill="1" applyBorder="1" applyAlignment="1">
      <alignment vertical="center" wrapText="1"/>
    </xf>
    <xf numFmtId="43" fontId="0" fillId="3" borderId="3" xfId="1" applyFont="1" applyFill="1" applyBorder="1" applyAlignment="1"/>
    <xf numFmtId="43" fontId="0" fillId="3" borderId="4" xfId="1" applyFont="1" applyFill="1" applyBorder="1" applyAlignment="1"/>
    <xf numFmtId="43" fontId="0" fillId="0" borderId="4" xfId="1" applyFont="1" applyBorder="1" applyAlignment="1"/>
    <xf numFmtId="0" fontId="0" fillId="0" borderId="4" xfId="0" applyBorder="1" applyAlignment="1"/>
    <xf numFmtId="0" fontId="5" fillId="10" borderId="17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43" fontId="0" fillId="0" borderId="4" xfId="0" applyNumberFormat="1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228600</xdr:rowOff>
    </xdr:from>
    <xdr:to>
      <xdr:col>15</xdr:col>
      <xdr:colOff>0</xdr:colOff>
      <xdr:row>12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CA8C92-4C7B-CB66-AA95-718DC06F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609600"/>
          <a:ext cx="4572000" cy="1781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0</xdr:colOff>
      <xdr:row>18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5681F8-7A58-1135-4E12-E87B4D6CE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7875" y="542925"/>
          <a:ext cx="4572000" cy="2895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45842655-1086-4520-BE67-EBBCFE719A22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2" dT="2026-05-25T17:07:16.76" personId="{45842655-1086-4520-BE67-EBBCFE719A22}" id="{7E309D7A-A43F-4F21-A473-EBF8101644D4}">
    <text>5920</text>
  </threadedComment>
  <threadedComment ref="U24" dT="2026-07-09T16:27:39.57" personId="{45842655-1086-4520-BE67-EBBCFE719A22}" id="{3BDA0088-F4B5-426D-9CD1-E7D50D8BEFF2}">
    <text>6518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N112"/>
  <sheetViews>
    <sheetView tabSelected="1" topLeftCell="K1" zoomScaleNormal="100" workbookViewId="0">
      <pane ySplit="3" topLeftCell="A9" activePane="bottomLeft" state="frozen"/>
      <selection pane="bottomLeft" activeCell="D27" sqref="D27"/>
    </sheetView>
  </sheetViews>
  <sheetFormatPr defaultColWidth="11.42578125" defaultRowHeight="15" customHeight="1"/>
  <cols>
    <col min="1" max="1" width="7.85546875" customWidth="1"/>
    <col min="2" max="2" width="14.140625" bestFit="1" customWidth="1"/>
    <col min="3" max="3" width="12.140625" bestFit="1" customWidth="1"/>
    <col min="4" max="4" width="12.85546875" customWidth="1"/>
    <col min="5" max="5" width="12.140625" bestFit="1" customWidth="1"/>
    <col min="6" max="6" width="13.7109375" bestFit="1" customWidth="1"/>
    <col min="7" max="7" width="13.85546875" customWidth="1"/>
    <col min="8" max="8" width="10.42578125" customWidth="1"/>
    <col min="9" max="9" width="11.5703125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.42578125" bestFit="1" customWidth="1"/>
    <col min="15" max="15" width="14.7109375" customWidth="1"/>
    <col min="16" max="16" width="19" customWidth="1"/>
    <col min="17" max="17" width="13.5703125" bestFit="1" customWidth="1"/>
    <col min="18" max="18" width="14.5703125" bestFit="1" customWidth="1"/>
    <col min="19" max="19" width="16.28515625" bestFit="1" customWidth="1"/>
    <col min="20" max="21" width="16.28515625" customWidth="1"/>
    <col min="22" max="22" width="15.28515625" style="106" customWidth="1"/>
    <col min="23" max="23" width="15.28515625" customWidth="1"/>
    <col min="24" max="24" width="12.5703125" bestFit="1" customWidth="1"/>
    <col min="25" max="25" width="5.28515625" customWidth="1"/>
    <col min="26" max="33" width="13.42578125" bestFit="1" customWidth="1"/>
    <col min="34" max="39" width="13.7109375" bestFit="1" customWidth="1"/>
    <col min="40" max="40" width="12.5703125" customWidth="1"/>
  </cols>
  <sheetData>
    <row r="1" spans="1:40">
      <c r="A1" s="10" t="s">
        <v>16</v>
      </c>
      <c r="B1" s="13">
        <v>280000000</v>
      </c>
      <c r="C1" s="10" t="s">
        <v>17</v>
      </c>
      <c r="D1" s="12">
        <v>9.5149999999999998E-2</v>
      </c>
      <c r="E1" s="10" t="s">
        <v>18</v>
      </c>
      <c r="F1" s="15">
        <f>((D1+D2)/12)</f>
        <v>1.4179166666666666E-2</v>
      </c>
      <c r="H1" s="21" t="s">
        <v>19</v>
      </c>
      <c r="J1" s="58">
        <v>45572</v>
      </c>
      <c r="O1" s="58"/>
      <c r="W1" s="106"/>
    </row>
    <row r="2" spans="1:40">
      <c r="A2" s="10" t="s">
        <v>20</v>
      </c>
      <c r="B2" s="14">
        <v>36</v>
      </c>
      <c r="C2" s="10" t="s">
        <v>21</v>
      </c>
      <c r="D2" s="12">
        <v>7.4999999999999997E-2</v>
      </c>
      <c r="E2" s="10" t="s">
        <v>22</v>
      </c>
      <c r="F2" s="16">
        <f>+PMT(F1,B2,-B1,0)</f>
        <v>9984854.1056218389</v>
      </c>
      <c r="G2" s="16"/>
      <c r="J2" s="63">
        <v>111</v>
      </c>
      <c r="O2" s="63"/>
      <c r="Q2" s="112" t="s">
        <v>23</v>
      </c>
      <c r="R2" s="113"/>
      <c r="S2" s="113"/>
      <c r="T2" s="113"/>
      <c r="U2" s="113"/>
      <c r="V2" s="113"/>
      <c r="W2" s="113"/>
    </row>
    <row r="3" spans="1:40" ht="27">
      <c r="B3" s="73" t="s">
        <v>24</v>
      </c>
      <c r="C3" s="73" t="s">
        <v>25</v>
      </c>
      <c r="D3" s="73" t="s">
        <v>26</v>
      </c>
      <c r="E3" s="73" t="s">
        <v>13</v>
      </c>
      <c r="F3" s="73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7" t="s">
        <v>35</v>
      </c>
      <c r="Q3" s="94" t="s">
        <v>36</v>
      </c>
      <c r="R3" s="95" t="s">
        <v>37</v>
      </c>
      <c r="S3" s="96" t="s">
        <v>38</v>
      </c>
      <c r="T3" s="96" t="s">
        <v>39</v>
      </c>
      <c r="U3" s="95" t="s">
        <v>40</v>
      </c>
      <c r="V3" s="107" t="s">
        <v>41</v>
      </c>
      <c r="W3" s="97" t="s">
        <v>42</v>
      </c>
      <c r="AF3">
        <f>+O9*7</f>
        <v>758075.0735411389</v>
      </c>
    </row>
    <row r="4" spans="1:40">
      <c r="A4" s="11">
        <f>+TasaImplicita!A12</f>
        <v>1</v>
      </c>
      <c r="B4" s="75">
        <f>+B1</f>
        <v>280000000</v>
      </c>
      <c r="C4" s="75">
        <f>+B4*F1</f>
        <v>3970166.6666666665</v>
      </c>
      <c r="D4" s="76">
        <f t="shared" ref="D4:D9" si="0">+S4</f>
        <v>13025984</v>
      </c>
      <c r="E4" s="75">
        <f>+F2</f>
        <v>9984854.1056218389</v>
      </c>
      <c r="F4" s="75">
        <f>+B4-D4</f>
        <v>266974016</v>
      </c>
      <c r="G4" s="78">
        <v>9.2079999999999995E-2</v>
      </c>
      <c r="H4" s="62">
        <f>+D2</f>
        <v>7.4999999999999997E-2</v>
      </c>
      <c r="I4" s="8">
        <f>((G4+H4)/12)</f>
        <v>1.3923333333333334E-2</v>
      </c>
      <c r="J4" s="2">
        <f>PMT(I4,K4,-F4,0)</f>
        <v>9688723.1561312489</v>
      </c>
      <c r="K4" s="7">
        <f>+$B$2-A4</f>
        <v>35</v>
      </c>
      <c r="L4">
        <v>7</v>
      </c>
      <c r="M4">
        <v>11</v>
      </c>
      <c r="N4">
        <v>2024</v>
      </c>
      <c r="O4" s="22">
        <f>+C4/30</f>
        <v>132338.88888888888</v>
      </c>
      <c r="P4" s="34">
        <f>+C4/30*23</f>
        <v>3043794.444444444</v>
      </c>
      <c r="Q4" s="91">
        <v>45604</v>
      </c>
      <c r="R4" s="92">
        <v>3970167</v>
      </c>
      <c r="S4" s="92">
        <v>13025984</v>
      </c>
      <c r="T4" s="92">
        <f>+B4-S4</f>
        <v>266974016</v>
      </c>
      <c r="U4" s="93">
        <v>3849</v>
      </c>
      <c r="V4" s="108">
        <f>+R4+S4+U4</f>
        <v>17000000</v>
      </c>
      <c r="W4" s="108"/>
      <c r="Z4" s="46">
        <v>45566</v>
      </c>
      <c r="AA4" s="46">
        <v>45597</v>
      </c>
      <c r="AB4" s="46">
        <v>45627</v>
      </c>
      <c r="AC4" s="71">
        <v>45658</v>
      </c>
      <c r="AD4" s="71">
        <v>45689</v>
      </c>
      <c r="AE4" s="71">
        <v>45717</v>
      </c>
      <c r="AF4" s="72">
        <v>45748</v>
      </c>
      <c r="AG4" s="72">
        <v>45778</v>
      </c>
      <c r="AH4" s="72">
        <v>45809</v>
      </c>
      <c r="AI4" s="72">
        <v>45839</v>
      </c>
      <c r="AJ4" s="72">
        <v>45870</v>
      </c>
      <c r="AK4" s="72">
        <v>45901</v>
      </c>
      <c r="AL4" s="72">
        <v>45931</v>
      </c>
      <c r="AM4" s="72">
        <v>45962</v>
      </c>
      <c r="AN4" s="72">
        <v>45992</v>
      </c>
    </row>
    <row r="5" spans="1:40">
      <c r="A5" s="11">
        <f>IF(AND(A4&lt;$B$2)*(A4&lt;&gt;0),1+A4," ")</f>
        <v>2</v>
      </c>
      <c r="B5" s="75">
        <f>IF(A5=" "," ",+F4)</f>
        <v>266974016</v>
      </c>
      <c r="C5" s="75">
        <f>IF(A5=" "," ",+B5*I4)</f>
        <v>3717168.2161066672</v>
      </c>
      <c r="D5" s="76">
        <f t="shared" si="0"/>
        <v>6530643</v>
      </c>
      <c r="E5" s="75">
        <f>IF(A5=" "," ",+J4)</f>
        <v>9688723.1561312489</v>
      </c>
      <c r="F5" s="75">
        <f t="shared" ref="F5:F27" si="1">+B5-D5</f>
        <v>260443373</v>
      </c>
      <c r="G5" s="78">
        <v>8.9620000000000005E-2</v>
      </c>
      <c r="H5" s="62">
        <f>IF(A5=" "," ",+H4)</f>
        <v>7.4999999999999997E-2</v>
      </c>
      <c r="I5" s="8">
        <f>IF(A5=" "," ",((G5+H5)/12))</f>
        <v>1.3718333333333332E-2</v>
      </c>
      <c r="J5" s="2">
        <f t="shared" ref="J5:J27" si="2">PMT(I5,K5,-F5,0)</f>
        <v>9636383.2267267313</v>
      </c>
      <c r="K5" s="7">
        <f>IF(A2=" "," ",+$B$2-A5)</f>
        <v>34</v>
      </c>
      <c r="L5">
        <f>IF(A5&lt;&gt;" ",+L4," ")</f>
        <v>7</v>
      </c>
      <c r="M5">
        <f>IF(AND(A5&lt;&gt;" ")*(M4=12),1,1+M4)</f>
        <v>12</v>
      </c>
      <c r="N5">
        <f>IF(AND(A5&lt;&gt;" ")*(M5=1),1+N4,N4)</f>
        <v>2024</v>
      </c>
      <c r="O5" s="22">
        <f>+C5/30</f>
        <v>123905.60720355557</v>
      </c>
      <c r="P5" s="34">
        <f>+O5*23</f>
        <v>2849828.9656817783</v>
      </c>
      <c r="Q5" s="65">
        <v>45631</v>
      </c>
      <c r="R5" s="64">
        <v>3469357</v>
      </c>
      <c r="S5" s="64">
        <v>6530643</v>
      </c>
      <c r="T5" s="64">
        <f>+T4-S5</f>
        <v>260443373</v>
      </c>
      <c r="U5" s="69"/>
      <c r="V5" s="109">
        <f t="shared" ref="V5:V26" si="3">+R5+S5+U5</f>
        <v>10000000</v>
      </c>
      <c r="W5" s="109"/>
      <c r="Y5" s="68">
        <v>23</v>
      </c>
      <c r="Z5" s="23">
        <f>+P4</f>
        <v>3043794.444444444</v>
      </c>
      <c r="AA5" s="23">
        <f>+R4-Z5</f>
        <v>926372.55555555597</v>
      </c>
      <c r="AB5" s="23">
        <f>+R5-AA6</f>
        <v>619528.03431822173</v>
      </c>
      <c r="AC5" s="23">
        <f>+R6-AB6</f>
        <v>827877.28125</v>
      </c>
      <c r="AD5" s="23">
        <f>+R7-AC6</f>
        <v>814232.01360974973</v>
      </c>
      <c r="AE5" s="23">
        <f>+R8-AD6</f>
        <v>787982.7666666666</v>
      </c>
      <c r="AF5" s="23">
        <f>+C9-AE6</f>
        <v>758075.07354113879</v>
      </c>
      <c r="AG5" s="23">
        <f>+R10-AF6</f>
        <v>618291.60741600022</v>
      </c>
      <c r="AH5" s="23">
        <f>(O11*7)+50150-1915</f>
        <v>732664.86023999995</v>
      </c>
      <c r="AI5" s="23">
        <f>+O12*7+854</f>
        <v>663672.40656597225</v>
      </c>
      <c r="AJ5" s="23">
        <f>+O13*7-9267</f>
        <v>632402.2333333334</v>
      </c>
      <c r="AK5" s="23">
        <f>+O14*5+3</f>
        <v>441237.92357694451</v>
      </c>
      <c r="AL5" s="23">
        <f>+O15*7</f>
        <v>598654.9581337499</v>
      </c>
      <c r="AM5" s="23">
        <f>+O16*5-1</f>
        <v>413732.65881875006</v>
      </c>
      <c r="AN5" s="23">
        <f>+O17*7+2</f>
        <v>558208.91346505564</v>
      </c>
    </row>
    <row r="6" spans="1:40">
      <c r="A6" s="11">
        <f t="shared" ref="A6:A39" si="4">IF(AND(A5&lt;$B$2)*(A5&lt;&gt;0),1+A5," ")</f>
        <v>3</v>
      </c>
      <c r="B6" s="75">
        <f t="shared" ref="B6:B27" si="5">IF(A6=" "," ",+F5)</f>
        <v>260443373</v>
      </c>
      <c r="C6" s="75">
        <f t="shared" ref="C6:C27" si="6">IF(A6=" "," ",+B6*I5)</f>
        <v>3572849.0052716662</v>
      </c>
      <c r="D6" s="76">
        <f t="shared" si="0"/>
        <v>6178946</v>
      </c>
      <c r="E6" s="75">
        <f t="shared" ref="E6:E27" si="7">IF(A6=" "," ",+J5)</f>
        <v>9636383.2267267313</v>
      </c>
      <c r="F6" s="75">
        <f t="shared" si="1"/>
        <v>254264427</v>
      </c>
      <c r="G6" s="78">
        <v>8.9690000000000006E-2</v>
      </c>
      <c r="H6" s="62">
        <f t="shared" ref="H6:H27" si="8">IF(A6=" "," ",+H5)</f>
        <v>7.4999999999999997E-2</v>
      </c>
      <c r="I6" s="8">
        <f t="shared" ref="I6:I27" si="9">IF(A6=" "," ",((G6+H6)/12))</f>
        <v>1.3724166666666667E-2</v>
      </c>
      <c r="J6" s="2">
        <f t="shared" si="2"/>
        <v>9632885.2435893361</v>
      </c>
      <c r="K6" s="7">
        <f t="shared" ref="K6:K27" si="10">IF(A3=" "," ",+$B$2-A6)</f>
        <v>33</v>
      </c>
      <c r="L6">
        <f t="shared" ref="L6:L27" si="11">IF(A6&lt;&gt;" ",+L5," ")</f>
        <v>7</v>
      </c>
      <c r="M6">
        <f t="shared" ref="M6:M27" si="12">IF(AND(A6&lt;&gt;" ")*(M5=12),1,1+M5)</f>
        <v>1</v>
      </c>
      <c r="N6">
        <f>IF(AND(A6&lt;&gt;" ")*(M6=1),1+N5,N5)</f>
        <v>2025</v>
      </c>
      <c r="O6" s="22">
        <f>3818447/32</f>
        <v>119326.46875</v>
      </c>
      <c r="P6" s="34">
        <f>+O6*25</f>
        <v>2983161.71875</v>
      </c>
      <c r="Q6" s="65">
        <v>45667</v>
      </c>
      <c r="R6" s="64">
        <v>3811039</v>
      </c>
      <c r="S6" s="64">
        <v>6178946</v>
      </c>
      <c r="T6" s="64">
        <f t="shared" ref="T6:T18" si="13">+T5-S6</f>
        <v>254264427</v>
      </c>
      <c r="U6" s="69">
        <v>10015</v>
      </c>
      <c r="V6" s="109">
        <f t="shared" si="3"/>
        <v>10000000</v>
      </c>
      <c r="W6" s="109"/>
      <c r="Y6" s="68">
        <v>7</v>
      </c>
      <c r="Z6" s="39"/>
      <c r="AA6" s="40">
        <f>+P5</f>
        <v>2849828.9656817783</v>
      </c>
      <c r="AB6" s="40">
        <f>+P6</f>
        <v>2983161.71875</v>
      </c>
      <c r="AC6" s="40">
        <f>+P7</f>
        <v>2675334.9863902503</v>
      </c>
      <c r="AD6" s="40">
        <f>+P8</f>
        <v>2589086.2333333334</v>
      </c>
      <c r="AE6" s="40">
        <f>+P9</f>
        <v>2490818.098778028</v>
      </c>
      <c r="AF6" s="40">
        <f>+P10</f>
        <v>2370116.3925839998</v>
      </c>
      <c r="AG6" s="40">
        <f>+P11</f>
        <v>2248840.96936</v>
      </c>
      <c r="AH6" s="40">
        <f>+P12</f>
        <v>2177831.9072881946</v>
      </c>
      <c r="AI6" s="40">
        <v>2117638.3666666667</v>
      </c>
      <c r="AJ6" s="40">
        <f>+O14*19+357268</f>
        <v>2033960.7095923892</v>
      </c>
      <c r="AK6" s="40">
        <f>+P15</f>
        <v>2138053.4219062496</v>
      </c>
      <c r="AL6" s="40">
        <f>+P16</f>
        <v>1903174.8305662503</v>
      </c>
      <c r="AM6" s="40">
        <f>+P17</f>
        <v>1993596.1195180556</v>
      </c>
      <c r="AN6" s="40">
        <f>+P18</f>
        <v>1771832.302022222</v>
      </c>
    </row>
    <row r="7" spans="1:40">
      <c r="A7" s="11">
        <f t="shared" si="4"/>
        <v>4</v>
      </c>
      <c r="B7" s="75">
        <f t="shared" si="5"/>
        <v>254264427</v>
      </c>
      <c r="C7" s="75">
        <f t="shared" si="6"/>
        <v>3489567.3735525003</v>
      </c>
      <c r="D7" s="76">
        <f t="shared" si="0"/>
        <v>8510433</v>
      </c>
      <c r="E7" s="75">
        <f t="shared" si="7"/>
        <v>9632885.2435893361</v>
      </c>
      <c r="F7" s="75">
        <f t="shared" si="1"/>
        <v>245753994</v>
      </c>
      <c r="G7" s="78">
        <v>8.9899999999999994E-2</v>
      </c>
      <c r="H7" s="62">
        <f t="shared" si="8"/>
        <v>7.4999999999999997E-2</v>
      </c>
      <c r="I7" s="8">
        <f t="shared" si="9"/>
        <v>1.3741666666666666E-2</v>
      </c>
      <c r="J7" s="2">
        <f t="shared" si="2"/>
        <v>9543513.0406128298</v>
      </c>
      <c r="K7" s="7">
        <f t="shared" si="10"/>
        <v>32</v>
      </c>
      <c r="L7">
        <f t="shared" si="11"/>
        <v>7</v>
      </c>
      <c r="M7">
        <f t="shared" si="12"/>
        <v>2</v>
      </c>
      <c r="N7">
        <f t="shared" ref="N7:N27" si="14">IF(AND(A7&lt;&gt;" ")*(M7=1),1+N6,N6)</f>
        <v>2025</v>
      </c>
      <c r="O7" s="22">
        <f>+C7/30</f>
        <v>116318.91245175</v>
      </c>
      <c r="P7" s="34">
        <f t="shared" ref="P7:P12" si="15">+O7*23</f>
        <v>2675334.9863902503</v>
      </c>
      <c r="Q7" s="42">
        <v>45695</v>
      </c>
      <c r="R7" s="64">
        <v>3489567</v>
      </c>
      <c r="S7" s="64">
        <v>8510433</v>
      </c>
      <c r="T7" s="64">
        <f t="shared" si="13"/>
        <v>245753994</v>
      </c>
      <c r="U7" s="69"/>
      <c r="V7" s="109">
        <f t="shared" si="3"/>
        <v>12000000</v>
      </c>
      <c r="W7" s="109"/>
      <c r="Z7" s="23">
        <f>+Z5+AA5</f>
        <v>3970167</v>
      </c>
      <c r="AA7" s="23">
        <f>SUM(AA5:AA6)</f>
        <v>3776201.5212373342</v>
      </c>
      <c r="AB7" s="23">
        <f>SUM(AB5:AB6)</f>
        <v>3602689.7530682217</v>
      </c>
      <c r="AC7" s="23">
        <f>SUM(AC5:AC6)</f>
        <v>3503212.2676402503</v>
      </c>
      <c r="AD7" s="23">
        <f t="shared" ref="AD7:AN7" si="16">+AD6+AD5</f>
        <v>3403318.2469430831</v>
      </c>
      <c r="AE7" s="23">
        <f t="shared" si="16"/>
        <v>3278800.8654446946</v>
      </c>
      <c r="AF7" s="23">
        <f t="shared" si="16"/>
        <v>3128191.4661251386</v>
      </c>
      <c r="AG7" s="23">
        <f t="shared" si="16"/>
        <v>2867132.5767760002</v>
      </c>
      <c r="AH7" s="23">
        <f t="shared" si="16"/>
        <v>2910496.7675281945</v>
      </c>
      <c r="AI7" s="23">
        <f t="shared" si="16"/>
        <v>2781310.7732326388</v>
      </c>
      <c r="AJ7" s="23">
        <f t="shared" si="16"/>
        <v>2666362.9429257223</v>
      </c>
      <c r="AK7" s="23">
        <f t="shared" si="16"/>
        <v>2579291.3454831941</v>
      </c>
      <c r="AL7" s="23">
        <f t="shared" si="16"/>
        <v>2501829.7887000004</v>
      </c>
      <c r="AM7" s="23">
        <f t="shared" si="16"/>
        <v>2407328.7783368058</v>
      </c>
      <c r="AN7" s="23">
        <f t="shared" si="16"/>
        <v>2330041.2154872776</v>
      </c>
    </row>
    <row r="8" spans="1:40">
      <c r="A8" s="77">
        <f t="shared" si="4"/>
        <v>5</v>
      </c>
      <c r="B8" s="75">
        <f t="shared" si="5"/>
        <v>245753994</v>
      </c>
      <c r="C8" s="75">
        <f t="shared" si="6"/>
        <v>3377069.4675499997</v>
      </c>
      <c r="D8" s="75">
        <f t="shared" si="0"/>
        <v>8622931</v>
      </c>
      <c r="E8" s="75">
        <f t="shared" si="7"/>
        <v>9543513.0406128298</v>
      </c>
      <c r="F8" s="75">
        <f t="shared" si="1"/>
        <v>237131063</v>
      </c>
      <c r="G8" s="78">
        <v>8.9410000000000003E-2</v>
      </c>
      <c r="H8" s="62">
        <f t="shared" si="8"/>
        <v>7.4999999999999997E-2</v>
      </c>
      <c r="I8" s="8">
        <f t="shared" si="9"/>
        <v>1.3700833333333334E-2</v>
      </c>
      <c r="J8" s="2">
        <f t="shared" si="2"/>
        <v>9439991.1974607147</v>
      </c>
      <c r="K8" s="7">
        <f t="shared" si="10"/>
        <v>31</v>
      </c>
      <c r="L8">
        <f t="shared" si="11"/>
        <v>7</v>
      </c>
      <c r="M8">
        <f t="shared" si="12"/>
        <v>3</v>
      </c>
      <c r="N8">
        <f t="shared" si="14"/>
        <v>2025</v>
      </c>
      <c r="O8" s="22">
        <f>3377069/30</f>
        <v>112568.96666666666</v>
      </c>
      <c r="P8" s="34">
        <f t="shared" si="15"/>
        <v>2589086.2333333334</v>
      </c>
      <c r="Q8" s="42">
        <v>45723</v>
      </c>
      <c r="R8" s="64">
        <v>3377069</v>
      </c>
      <c r="S8" s="64">
        <v>8622931</v>
      </c>
      <c r="T8" s="64">
        <f t="shared" si="13"/>
        <v>237131063</v>
      </c>
      <c r="U8" s="69"/>
      <c r="V8" s="109">
        <f t="shared" si="3"/>
        <v>12000000</v>
      </c>
      <c r="W8" s="109"/>
      <c r="Z8" s="23"/>
      <c r="AA8" s="67"/>
      <c r="AB8" s="23"/>
      <c r="AC8" s="23"/>
      <c r="AE8" s="23"/>
      <c r="AF8" s="23"/>
      <c r="AG8" s="23"/>
    </row>
    <row r="9" spans="1:40">
      <c r="A9" s="77">
        <f t="shared" si="4"/>
        <v>6</v>
      </c>
      <c r="B9" s="75">
        <f t="shared" si="5"/>
        <v>237131063</v>
      </c>
      <c r="C9" s="75">
        <f t="shared" si="6"/>
        <v>3248893.1723191668</v>
      </c>
      <c r="D9" s="75">
        <f t="shared" si="0"/>
        <v>11641919</v>
      </c>
      <c r="E9" s="75">
        <f t="shared" si="7"/>
        <v>9439991.1974607147</v>
      </c>
      <c r="F9" s="75">
        <f t="shared" si="1"/>
        <v>225489144</v>
      </c>
      <c r="G9" s="78">
        <v>8.9520000000000002E-2</v>
      </c>
      <c r="H9" s="62">
        <f t="shared" si="8"/>
        <v>7.4999999999999997E-2</v>
      </c>
      <c r="I9" s="8">
        <f t="shared" si="9"/>
        <v>1.371E-2</v>
      </c>
      <c r="J9" s="2">
        <f t="shared" si="2"/>
        <v>9218388.5524953939</v>
      </c>
      <c r="K9" s="7">
        <f t="shared" si="10"/>
        <v>30</v>
      </c>
      <c r="L9">
        <f t="shared" si="11"/>
        <v>7</v>
      </c>
      <c r="M9">
        <f t="shared" si="12"/>
        <v>4</v>
      </c>
      <c r="N9">
        <f t="shared" si="14"/>
        <v>2025</v>
      </c>
      <c r="O9" s="22">
        <f>+C9/30</f>
        <v>108296.43907730556</v>
      </c>
      <c r="P9" s="34">
        <f t="shared" si="15"/>
        <v>2490818.098778028</v>
      </c>
      <c r="Q9" s="42">
        <v>45755</v>
      </c>
      <c r="R9" s="64">
        <v>3354433</v>
      </c>
      <c r="S9" s="64">
        <v>11641919</v>
      </c>
      <c r="T9" s="64">
        <f t="shared" si="13"/>
        <v>225489144</v>
      </c>
      <c r="U9" s="69">
        <v>3648</v>
      </c>
      <c r="V9" s="109">
        <f t="shared" si="3"/>
        <v>15000000</v>
      </c>
      <c r="W9" s="109"/>
      <c r="Z9" s="23"/>
      <c r="AA9" s="23"/>
      <c r="AB9" s="23"/>
      <c r="AF9" s="23"/>
    </row>
    <row r="10" spans="1:40">
      <c r="A10" s="80">
        <f t="shared" si="4"/>
        <v>7</v>
      </c>
      <c r="B10" s="60">
        <f t="shared" si="5"/>
        <v>225489144</v>
      </c>
      <c r="C10" s="60">
        <f t="shared" si="6"/>
        <v>3091456.1642399998</v>
      </c>
      <c r="D10" s="60">
        <f t="shared" ref="D10:D16" si="17">+S10</f>
        <v>9011592</v>
      </c>
      <c r="E10" s="60">
        <f t="shared" si="7"/>
        <v>9218388.5524953939</v>
      </c>
      <c r="F10" s="60">
        <f t="shared" si="1"/>
        <v>216477552</v>
      </c>
      <c r="G10" s="74">
        <v>8.7599999999999997E-2</v>
      </c>
      <c r="H10" s="74">
        <f t="shared" si="8"/>
        <v>7.4999999999999997E-2</v>
      </c>
      <c r="I10" s="79">
        <f t="shared" si="9"/>
        <v>1.355E-2</v>
      </c>
      <c r="J10" s="59">
        <f t="shared" si="2"/>
        <v>9077004.870220026</v>
      </c>
      <c r="K10" s="7">
        <f t="shared" si="10"/>
        <v>29</v>
      </c>
      <c r="L10" s="5">
        <f t="shared" si="11"/>
        <v>7</v>
      </c>
      <c r="M10" s="5">
        <f t="shared" si="12"/>
        <v>5</v>
      </c>
      <c r="N10" s="5">
        <f t="shared" si="14"/>
        <v>2025</v>
      </c>
      <c r="O10" s="22">
        <f>+C10/30</f>
        <v>103048.538808</v>
      </c>
      <c r="P10" s="34">
        <f t="shared" si="15"/>
        <v>2370116.3925839998</v>
      </c>
      <c r="Q10" s="42">
        <v>45784</v>
      </c>
      <c r="R10" s="64">
        <v>2988408</v>
      </c>
      <c r="S10" s="64">
        <v>9011592</v>
      </c>
      <c r="T10" s="64">
        <f t="shared" si="13"/>
        <v>216477552</v>
      </c>
      <c r="U10" s="69"/>
      <c r="V10" s="109">
        <f t="shared" si="3"/>
        <v>12000000</v>
      </c>
      <c r="W10" s="109"/>
      <c r="Z10" s="23">
        <f>+Z5+AA5</f>
        <v>3970167</v>
      </c>
      <c r="AA10" s="23">
        <f>+AA6+AB5</f>
        <v>3469357</v>
      </c>
      <c r="AB10" s="23">
        <f>+AB6+AC5</f>
        <v>3811039</v>
      </c>
      <c r="AC10" s="23">
        <f>+AC6+AD5</f>
        <v>3489567</v>
      </c>
      <c r="AD10" s="23">
        <f>+AD6+AE5</f>
        <v>3377069</v>
      </c>
      <c r="AE10" s="23">
        <f t="shared" ref="AE10:AJ10" si="18">+AE6+AF5</f>
        <v>3248893.1723191668</v>
      </c>
      <c r="AF10" s="23">
        <f t="shared" si="18"/>
        <v>2988408</v>
      </c>
      <c r="AG10" s="23">
        <f t="shared" si="18"/>
        <v>2981505.8295999998</v>
      </c>
      <c r="AH10" s="23">
        <f t="shared" si="18"/>
        <v>2841504.3138541668</v>
      </c>
      <c r="AI10" s="23">
        <f t="shared" si="18"/>
        <v>2750040.6</v>
      </c>
      <c r="AJ10" s="23">
        <f t="shared" si="18"/>
        <v>2475198.6331693335</v>
      </c>
    </row>
    <row r="11" spans="1:40">
      <c r="A11" s="11">
        <f t="shared" si="4"/>
        <v>8</v>
      </c>
      <c r="B11" s="61">
        <f t="shared" si="5"/>
        <v>216477552</v>
      </c>
      <c r="C11" s="61">
        <f t="shared" si="6"/>
        <v>2933270.8295999998</v>
      </c>
      <c r="D11" s="61">
        <f t="shared" si="17"/>
        <v>6770977</v>
      </c>
      <c r="E11" s="61">
        <f t="shared" si="7"/>
        <v>9077004.870220026</v>
      </c>
      <c r="F11" s="61">
        <f t="shared" si="1"/>
        <v>209706575</v>
      </c>
      <c r="G11" s="62">
        <v>8.7550000000000003E-2</v>
      </c>
      <c r="H11" s="62">
        <f t="shared" si="8"/>
        <v>7.4999999999999997E-2</v>
      </c>
      <c r="I11" s="81">
        <f t="shared" si="9"/>
        <v>1.3545833333333333E-2</v>
      </c>
      <c r="J11" s="61">
        <f t="shared" si="2"/>
        <v>9049429.2005664688</v>
      </c>
      <c r="K11" s="82">
        <f t="shared" si="10"/>
        <v>28</v>
      </c>
      <c r="L11">
        <f t="shared" si="11"/>
        <v>7</v>
      </c>
      <c r="M11">
        <f t="shared" si="12"/>
        <v>6</v>
      </c>
      <c r="N11">
        <f t="shared" si="14"/>
        <v>2025</v>
      </c>
      <c r="O11" s="22">
        <f>+C11/30</f>
        <v>97775.694319999995</v>
      </c>
      <c r="P11" s="34">
        <f t="shared" si="15"/>
        <v>2248840.96936</v>
      </c>
      <c r="Q11" s="42">
        <v>45818</v>
      </c>
      <c r="R11" s="64">
        <v>3218186</v>
      </c>
      <c r="S11" s="64">
        <v>6770977</v>
      </c>
      <c r="T11" s="64">
        <f t="shared" si="13"/>
        <v>209706575</v>
      </c>
      <c r="U11" s="69">
        <v>10837</v>
      </c>
      <c r="V11" s="109">
        <f t="shared" si="3"/>
        <v>10000000</v>
      </c>
      <c r="W11" s="109"/>
      <c r="AF11" s="23"/>
      <c r="AJ11" s="23"/>
      <c r="AM11" s="23"/>
    </row>
    <row r="12" spans="1:40">
      <c r="A12" s="11">
        <f t="shared" si="4"/>
        <v>9</v>
      </c>
      <c r="B12" s="61">
        <f t="shared" si="5"/>
        <v>209706575</v>
      </c>
      <c r="C12" s="61">
        <f t="shared" si="6"/>
        <v>2840650.3138541668</v>
      </c>
      <c r="D12" s="61">
        <f t="shared" si="17"/>
        <v>6776494</v>
      </c>
      <c r="E12" s="61">
        <f t="shared" si="7"/>
        <v>9049429.2005664688</v>
      </c>
      <c r="F12" s="61">
        <f t="shared" si="1"/>
        <v>202930081</v>
      </c>
      <c r="G12" s="62">
        <v>8.7400000000000005E-2</v>
      </c>
      <c r="H12" s="62">
        <f t="shared" si="8"/>
        <v>7.4999999999999997E-2</v>
      </c>
      <c r="I12" s="81">
        <f t="shared" si="9"/>
        <v>1.3533333333333333E-2</v>
      </c>
      <c r="J12" s="61">
        <f t="shared" si="2"/>
        <v>9022715.8274985719</v>
      </c>
      <c r="K12" s="82">
        <f t="shared" si="10"/>
        <v>27</v>
      </c>
      <c r="L12">
        <f t="shared" si="11"/>
        <v>7</v>
      </c>
      <c r="M12">
        <f t="shared" si="12"/>
        <v>7</v>
      </c>
      <c r="N12">
        <f t="shared" si="14"/>
        <v>2025</v>
      </c>
      <c r="O12" s="22">
        <f>+C12/30</f>
        <v>94688.343795138891</v>
      </c>
      <c r="P12" s="34">
        <f t="shared" si="15"/>
        <v>2177831.9072881946</v>
      </c>
      <c r="Q12" s="42">
        <v>45852</v>
      </c>
      <c r="R12" s="24">
        <v>3201084</v>
      </c>
      <c r="S12" s="24">
        <v>6776494</v>
      </c>
      <c r="T12" s="64">
        <f t="shared" si="13"/>
        <v>202930081</v>
      </c>
      <c r="U12" s="89">
        <v>22422</v>
      </c>
      <c r="V12" s="109">
        <f t="shared" si="3"/>
        <v>10000000</v>
      </c>
      <c r="W12" s="109"/>
      <c r="AG12" s="23"/>
    </row>
    <row r="13" spans="1:40">
      <c r="A13" s="11">
        <f t="shared" si="4"/>
        <v>10</v>
      </c>
      <c r="B13" s="61">
        <f t="shared" si="5"/>
        <v>202930081</v>
      </c>
      <c r="C13" s="61">
        <f t="shared" si="6"/>
        <v>2746320.4295333331</v>
      </c>
      <c r="D13" s="61">
        <f t="shared" si="17"/>
        <v>7525268</v>
      </c>
      <c r="E13" s="61">
        <f t="shared" si="7"/>
        <v>9022715.8274985719</v>
      </c>
      <c r="F13" s="61">
        <f t="shared" si="1"/>
        <v>195404813</v>
      </c>
      <c r="G13" s="90">
        <v>8.7580000000000005E-2</v>
      </c>
      <c r="H13" s="62">
        <f t="shared" si="8"/>
        <v>7.4999999999999997E-2</v>
      </c>
      <c r="I13" s="81">
        <f t="shared" si="9"/>
        <v>1.3548333333333334E-2</v>
      </c>
      <c r="J13" s="61">
        <f t="shared" si="2"/>
        <v>8967107.2199560907</v>
      </c>
      <c r="K13" s="82">
        <f t="shared" si="10"/>
        <v>26</v>
      </c>
      <c r="L13">
        <f t="shared" si="11"/>
        <v>7</v>
      </c>
      <c r="M13">
        <f t="shared" si="12"/>
        <v>8</v>
      </c>
      <c r="N13">
        <f t="shared" si="14"/>
        <v>2025</v>
      </c>
      <c r="O13" s="22">
        <f>2750011/30</f>
        <v>91667.03333333334</v>
      </c>
      <c r="P13" s="34">
        <f t="shared" ref="P13:P14" si="19">+O13*23</f>
        <v>2108341.7666666666</v>
      </c>
      <c r="Q13" s="42">
        <v>45880</v>
      </c>
      <c r="R13" s="24">
        <v>2462780</v>
      </c>
      <c r="S13" s="24">
        <v>7525268</v>
      </c>
      <c r="T13" s="64">
        <f t="shared" si="13"/>
        <v>195404813</v>
      </c>
      <c r="U13" s="89">
        <v>11952</v>
      </c>
      <c r="V13" s="109">
        <f t="shared" si="3"/>
        <v>10000000</v>
      </c>
      <c r="W13" s="109"/>
      <c r="X13" s="70"/>
      <c r="Y13" s="70"/>
      <c r="Z13" s="46">
        <v>46023</v>
      </c>
      <c r="AA13" s="46">
        <v>46054</v>
      </c>
      <c r="AB13" s="46">
        <v>46082</v>
      </c>
      <c r="AC13" s="46">
        <v>46113</v>
      </c>
      <c r="AD13" s="46">
        <v>46143</v>
      </c>
      <c r="AE13" s="46">
        <v>46174</v>
      </c>
      <c r="AF13" s="46">
        <v>46204</v>
      </c>
    </row>
    <row r="14" spans="1:40">
      <c r="A14" s="11">
        <f t="shared" si="4"/>
        <v>11</v>
      </c>
      <c r="B14" s="61">
        <f t="shared" si="5"/>
        <v>195404813</v>
      </c>
      <c r="C14" s="61">
        <f t="shared" si="6"/>
        <v>2647409.541461667</v>
      </c>
      <c r="D14" s="61">
        <f t="shared" si="17"/>
        <v>5882072</v>
      </c>
      <c r="E14" s="61">
        <f t="shared" si="7"/>
        <v>8967107.2199560907</v>
      </c>
      <c r="F14" s="61">
        <f t="shared" si="1"/>
        <v>189522741</v>
      </c>
      <c r="G14" s="62">
        <v>8.745E-2</v>
      </c>
      <c r="H14" s="62">
        <f t="shared" si="8"/>
        <v>7.4999999999999997E-2</v>
      </c>
      <c r="I14" s="81">
        <f t="shared" si="9"/>
        <v>1.3537499999999999E-2</v>
      </c>
      <c r="J14" s="61">
        <f t="shared" si="2"/>
        <v>8986679.3029245101</v>
      </c>
      <c r="K14" s="82">
        <f t="shared" si="10"/>
        <v>25</v>
      </c>
      <c r="L14">
        <f t="shared" si="11"/>
        <v>7</v>
      </c>
      <c r="M14">
        <f t="shared" si="12"/>
        <v>9</v>
      </c>
      <c r="N14">
        <f t="shared" si="14"/>
        <v>2025</v>
      </c>
      <c r="O14" s="22">
        <f t="shared" ref="O14:O19" si="20">+C14/30</f>
        <v>88246.984715388899</v>
      </c>
      <c r="P14" s="34">
        <f t="shared" si="19"/>
        <v>2029680.6484539446</v>
      </c>
      <c r="Q14" s="42">
        <v>45905</v>
      </c>
      <c r="R14" s="24">
        <v>2117928</v>
      </c>
      <c r="S14" s="24">
        <v>5882072</v>
      </c>
      <c r="T14" s="64">
        <f t="shared" si="13"/>
        <v>189522741</v>
      </c>
      <c r="U14" s="98">
        <v>0</v>
      </c>
      <c r="V14" s="110">
        <f t="shared" si="3"/>
        <v>8000000</v>
      </c>
      <c r="W14" s="110"/>
      <c r="Z14" s="23">
        <f>+O18*7</f>
        <v>539253.30931111099</v>
      </c>
      <c r="AA14" s="23">
        <f>+O19*7+2</f>
        <v>515653.51336611109</v>
      </c>
      <c r="AB14" s="23">
        <f>+O20*7+1</f>
        <v>517142.34380222228</v>
      </c>
      <c r="AC14" s="23">
        <f>+O21*7+1</f>
        <v>496429.87451636104</v>
      </c>
      <c r="AD14" s="23">
        <f>+O22*7</f>
        <v>494370.74357533344</v>
      </c>
      <c r="AE14" s="23">
        <f>+O23*5-1</f>
        <v>333141.85460958339</v>
      </c>
      <c r="AF14" s="23">
        <f>+O24*7+5</f>
        <v>442912.96992555552</v>
      </c>
      <c r="AN14" s="23"/>
    </row>
    <row r="15" spans="1:40">
      <c r="A15" s="11">
        <f t="shared" si="4"/>
        <v>12</v>
      </c>
      <c r="B15" s="61">
        <f t="shared" si="5"/>
        <v>189522741</v>
      </c>
      <c r="C15" s="61">
        <f t="shared" si="6"/>
        <v>2565664.1062874999</v>
      </c>
      <c r="D15" s="61">
        <f t="shared" si="17"/>
        <v>6263292</v>
      </c>
      <c r="E15" s="61">
        <f t="shared" si="7"/>
        <v>8986679.3029245101</v>
      </c>
      <c r="F15" s="61">
        <f t="shared" si="1"/>
        <v>183259449</v>
      </c>
      <c r="G15" s="90">
        <v>8.7550000000000003E-2</v>
      </c>
      <c r="H15" s="62">
        <f t="shared" si="8"/>
        <v>7.4999999999999997E-2</v>
      </c>
      <c r="I15" s="81">
        <f t="shared" si="9"/>
        <v>1.3545833333333333E-2</v>
      </c>
      <c r="J15" s="61">
        <f t="shared" si="2"/>
        <v>8995297.2604888324</v>
      </c>
      <c r="K15" s="82">
        <f t="shared" si="10"/>
        <v>24</v>
      </c>
      <c r="L15">
        <f t="shared" si="11"/>
        <v>7</v>
      </c>
      <c r="M15">
        <f t="shared" si="12"/>
        <v>10</v>
      </c>
      <c r="N15">
        <f t="shared" si="14"/>
        <v>2025</v>
      </c>
      <c r="O15" s="22">
        <f t="shared" si="20"/>
        <v>85522.136876249991</v>
      </c>
      <c r="P15" s="34">
        <f>+O15*25</f>
        <v>2138053.4219062496</v>
      </c>
      <c r="Q15" s="42">
        <v>45937</v>
      </c>
      <c r="R15" s="24">
        <v>2736708</v>
      </c>
      <c r="S15" s="24">
        <v>6263292</v>
      </c>
      <c r="T15" s="64">
        <f t="shared" si="13"/>
        <v>183259449</v>
      </c>
      <c r="U15" s="98">
        <v>0</v>
      </c>
      <c r="V15" s="110">
        <f t="shared" si="3"/>
        <v>9000000</v>
      </c>
      <c r="W15" s="110"/>
      <c r="Z15" s="40">
        <f>+P19+778</f>
        <v>1695061.5439172222</v>
      </c>
      <c r="AA15" s="40">
        <f>+P20+1773</f>
        <v>1700951.7010644446</v>
      </c>
      <c r="AB15" s="40">
        <f>+P21+5094</f>
        <v>1636217.4448394722</v>
      </c>
      <c r="AC15" s="40">
        <f>+P22+3980</f>
        <v>1628341.014604667</v>
      </c>
      <c r="AD15" s="40">
        <f>+P23+12677</f>
        <v>1545134.1312040836</v>
      </c>
      <c r="AE15" s="40">
        <f>+P24</f>
        <v>1581814.1783055554</v>
      </c>
      <c r="AF15" s="40">
        <f>+P25+37+P26</f>
        <v>864877.62166872225</v>
      </c>
      <c r="AH15" s="22"/>
      <c r="AI15" s="22"/>
      <c r="AJ15" s="23"/>
      <c r="AL15" s="23"/>
    </row>
    <row r="16" spans="1:40">
      <c r="A16" s="11">
        <f t="shared" si="4"/>
        <v>13</v>
      </c>
      <c r="B16" s="61">
        <f t="shared" si="5"/>
        <v>183259449</v>
      </c>
      <c r="C16" s="61">
        <f t="shared" si="6"/>
        <v>2482401.9529125001</v>
      </c>
      <c r="D16" s="61">
        <f t="shared" si="17"/>
        <v>6683092</v>
      </c>
      <c r="E16" s="61">
        <f t="shared" si="7"/>
        <v>8995297.2604888324</v>
      </c>
      <c r="F16" s="61">
        <f t="shared" si="1"/>
        <v>176576357</v>
      </c>
      <c r="G16" s="90">
        <v>8.7580000000000005E-2</v>
      </c>
      <c r="H16" s="62">
        <f t="shared" si="8"/>
        <v>7.4999999999999997E-2</v>
      </c>
      <c r="I16" s="81">
        <f t="shared" si="9"/>
        <v>1.3548333333333334E-2</v>
      </c>
      <c r="J16" s="61">
        <f t="shared" si="2"/>
        <v>8986888.206407018</v>
      </c>
      <c r="K16" s="82">
        <f t="shared" si="10"/>
        <v>23</v>
      </c>
      <c r="L16">
        <f t="shared" si="11"/>
        <v>7</v>
      </c>
      <c r="M16">
        <f t="shared" si="12"/>
        <v>11</v>
      </c>
      <c r="N16">
        <f t="shared" si="14"/>
        <v>2025</v>
      </c>
      <c r="O16" s="22">
        <f t="shared" si="20"/>
        <v>82746.731763750009</v>
      </c>
      <c r="P16" s="34">
        <f>+O16*23</f>
        <v>1903174.8305662503</v>
      </c>
      <c r="Q16" s="42">
        <v>45966</v>
      </c>
      <c r="R16" s="44">
        <v>2316908</v>
      </c>
      <c r="S16" s="44">
        <v>6683092</v>
      </c>
      <c r="T16" s="64">
        <f t="shared" si="13"/>
        <v>176576357</v>
      </c>
      <c r="U16" s="98">
        <v>0</v>
      </c>
      <c r="V16" s="110">
        <f t="shared" si="3"/>
        <v>9000000</v>
      </c>
      <c r="W16" s="110"/>
      <c r="Z16" s="23">
        <f>SUM(Z14:Z15)</f>
        <v>2234314.8532283334</v>
      </c>
      <c r="AA16" s="23">
        <f>SUM(AA14:AA15)</f>
        <v>2216605.2144305557</v>
      </c>
      <c r="AB16" s="23">
        <f>SUM(AB14:AB15)</f>
        <v>2153359.7886416945</v>
      </c>
      <c r="AC16" s="23">
        <f>SUM(AC14:AC15)</f>
        <v>2124770.8891210281</v>
      </c>
      <c r="AD16" s="23">
        <f>SUM(AD14:AD15)</f>
        <v>2039504.8747794169</v>
      </c>
      <c r="AE16" s="23">
        <f>SUM(AE14:AE15)</f>
        <v>1914956.0329151386</v>
      </c>
      <c r="AF16" s="23">
        <f>SUM(AF14:AF15)</f>
        <v>1307790.5915942779</v>
      </c>
      <c r="AH16" s="22"/>
      <c r="AI16" s="22"/>
      <c r="AJ16" s="23"/>
      <c r="AK16" s="23"/>
    </row>
    <row r="17" spans="1:37">
      <c r="A17" s="11">
        <f t="shared" si="4"/>
        <v>14</v>
      </c>
      <c r="B17" s="61">
        <f t="shared" si="5"/>
        <v>176576357</v>
      </c>
      <c r="C17" s="61">
        <f t="shared" si="6"/>
        <v>2392315.3434216669</v>
      </c>
      <c r="D17" s="61">
        <f>+S17</f>
        <v>6435085</v>
      </c>
      <c r="E17" s="61">
        <f t="shared" si="7"/>
        <v>8986888.206407018</v>
      </c>
      <c r="F17" s="61">
        <f t="shared" si="1"/>
        <v>170141272</v>
      </c>
      <c r="G17" s="62">
        <v>8.7999999999999995E-2</v>
      </c>
      <c r="H17" s="62">
        <f t="shared" si="8"/>
        <v>7.4999999999999997E-2</v>
      </c>
      <c r="I17" s="81">
        <f t="shared" si="9"/>
        <v>1.3583333333333331E-2</v>
      </c>
      <c r="J17" s="61">
        <f t="shared" si="2"/>
        <v>8998724.8646264728</v>
      </c>
      <c r="K17" s="82">
        <f t="shared" si="10"/>
        <v>22</v>
      </c>
      <c r="L17">
        <f t="shared" si="11"/>
        <v>7</v>
      </c>
      <c r="M17">
        <f t="shared" si="12"/>
        <v>12</v>
      </c>
      <c r="N17">
        <f t="shared" si="14"/>
        <v>2025</v>
      </c>
      <c r="O17" s="22">
        <f t="shared" si="20"/>
        <v>79743.844780722226</v>
      </c>
      <c r="P17" s="34">
        <f>+O17*25</f>
        <v>1993596.1195180556</v>
      </c>
      <c r="Q17" s="42">
        <v>46000</v>
      </c>
      <c r="R17" s="44">
        <v>2564915</v>
      </c>
      <c r="S17" s="44">
        <v>6435085</v>
      </c>
      <c r="T17" s="64">
        <f t="shared" si="13"/>
        <v>170141272</v>
      </c>
      <c r="U17" s="98">
        <v>0</v>
      </c>
      <c r="V17" s="110">
        <f t="shared" si="3"/>
        <v>9000000</v>
      </c>
      <c r="W17" s="110"/>
      <c r="AH17" s="22"/>
      <c r="AI17" s="22"/>
      <c r="AJ17" s="23"/>
    </row>
    <row r="18" spans="1:37">
      <c r="A18" s="11">
        <f t="shared" si="4"/>
        <v>15</v>
      </c>
      <c r="B18" s="66">
        <f t="shared" si="5"/>
        <v>170141272</v>
      </c>
      <c r="C18" s="66">
        <f t="shared" si="6"/>
        <v>2311085.611333333</v>
      </c>
      <c r="D18" s="66">
        <f>+S18</f>
        <v>7546418</v>
      </c>
      <c r="E18" s="66">
        <f>IF(A18=" "," ",+J17)</f>
        <v>8998724.8646264728</v>
      </c>
      <c r="F18" s="66">
        <f t="shared" si="1"/>
        <v>162594854</v>
      </c>
      <c r="G18" s="62">
        <v>8.8099999999999998E-2</v>
      </c>
      <c r="H18" s="62">
        <f t="shared" si="8"/>
        <v>7.4999999999999997E-2</v>
      </c>
      <c r="I18" s="81">
        <f t="shared" si="9"/>
        <v>1.3591666666666667E-2</v>
      </c>
      <c r="J18" s="61">
        <f>PMT(I18,K18,-F18,0)</f>
        <v>8952219.1423735395</v>
      </c>
      <c r="K18" s="82">
        <f t="shared" si="10"/>
        <v>21</v>
      </c>
      <c r="L18">
        <f t="shared" si="11"/>
        <v>7</v>
      </c>
      <c r="M18">
        <f t="shared" si="12"/>
        <v>1</v>
      </c>
      <c r="N18">
        <f t="shared" si="14"/>
        <v>2026</v>
      </c>
      <c r="O18" s="22">
        <f t="shared" si="20"/>
        <v>77036.187044444436</v>
      </c>
      <c r="P18" s="34">
        <f>+O18*23</f>
        <v>1771832.302022222</v>
      </c>
      <c r="Q18" s="42">
        <v>46031</v>
      </c>
      <c r="R18" s="44">
        <v>2446080</v>
      </c>
      <c r="S18" s="44">
        <v>7546418</v>
      </c>
      <c r="T18" s="64">
        <f t="shared" si="13"/>
        <v>162594854</v>
      </c>
      <c r="U18" s="98">
        <v>7502</v>
      </c>
      <c r="V18" s="110">
        <f t="shared" si="3"/>
        <v>10000000</v>
      </c>
      <c r="W18" s="110"/>
      <c r="AF18" s="23"/>
      <c r="AH18" s="22"/>
      <c r="AI18" s="22"/>
      <c r="AJ18" s="23"/>
    </row>
    <row r="19" spans="1:37">
      <c r="A19" s="11">
        <f t="shared" si="4"/>
        <v>16</v>
      </c>
      <c r="B19" s="66">
        <f t="shared" si="5"/>
        <v>162594854</v>
      </c>
      <c r="C19" s="66">
        <f t="shared" si="6"/>
        <v>2209935.0572833335</v>
      </c>
      <c r="D19" s="66">
        <f>+S19</f>
        <v>7787866</v>
      </c>
      <c r="E19" s="66">
        <f>IF(A19=" "," ",+J18)</f>
        <v>8952219.1423735395</v>
      </c>
      <c r="F19" s="66">
        <f t="shared" si="1"/>
        <v>154806988</v>
      </c>
      <c r="G19" s="62">
        <v>9.6799999999999997E-2</v>
      </c>
      <c r="H19" s="62">
        <f t="shared" si="8"/>
        <v>7.4999999999999997E-2</v>
      </c>
      <c r="I19" s="81">
        <f t="shared" si="9"/>
        <v>1.4316666666666667E-2</v>
      </c>
      <c r="J19" s="61">
        <f t="shared" si="2"/>
        <v>8956224.4243853893</v>
      </c>
      <c r="K19" s="82">
        <f t="shared" si="10"/>
        <v>20</v>
      </c>
      <c r="L19">
        <f t="shared" si="11"/>
        <v>7</v>
      </c>
      <c r="M19">
        <f t="shared" si="12"/>
        <v>2</v>
      </c>
      <c r="N19">
        <f t="shared" si="14"/>
        <v>2026</v>
      </c>
      <c r="O19" s="22">
        <f t="shared" si="20"/>
        <v>73664.501909444443</v>
      </c>
      <c r="P19" s="34">
        <f>+O19*23</f>
        <v>1694283.5439172222</v>
      </c>
      <c r="Q19" s="42">
        <v>46062</v>
      </c>
      <c r="R19" s="44">
        <v>2212134</v>
      </c>
      <c r="S19" s="44">
        <v>7787866</v>
      </c>
      <c r="T19" s="44">
        <f>+T18-S19</f>
        <v>154806988</v>
      </c>
      <c r="U19" s="43">
        <v>0</v>
      </c>
      <c r="V19" s="110">
        <f t="shared" si="3"/>
        <v>10000000</v>
      </c>
      <c r="W19" s="110"/>
      <c r="AA19" s="23"/>
      <c r="AF19" s="23"/>
      <c r="AH19" s="22"/>
      <c r="AI19" s="22"/>
      <c r="AJ19" s="23"/>
    </row>
    <row r="20" spans="1:37">
      <c r="A20" s="11">
        <f t="shared" si="4"/>
        <v>17</v>
      </c>
      <c r="B20" s="66">
        <f t="shared" si="5"/>
        <v>154806988</v>
      </c>
      <c r="C20" s="66">
        <f t="shared" si="6"/>
        <v>2216320.0448666667</v>
      </c>
      <c r="D20" s="66">
        <f>+S20</f>
        <v>7630947</v>
      </c>
      <c r="E20" s="66">
        <f t="shared" si="7"/>
        <v>8956224.4243853893</v>
      </c>
      <c r="F20" s="66">
        <f t="shared" si="1"/>
        <v>147176041</v>
      </c>
      <c r="G20" s="62">
        <v>9.8470000000000002E-2</v>
      </c>
      <c r="H20" s="62">
        <f t="shared" si="8"/>
        <v>7.4999999999999997E-2</v>
      </c>
      <c r="I20" s="81">
        <f t="shared" si="9"/>
        <v>1.4455833333333334E-2</v>
      </c>
      <c r="J20" s="61">
        <f t="shared" si="2"/>
        <v>8914025.7157472931</v>
      </c>
      <c r="K20" s="82">
        <f t="shared" si="10"/>
        <v>19</v>
      </c>
      <c r="L20">
        <f t="shared" si="11"/>
        <v>7</v>
      </c>
      <c r="M20">
        <f t="shared" si="12"/>
        <v>3</v>
      </c>
      <c r="N20">
        <f t="shared" si="14"/>
        <v>2026</v>
      </c>
      <c r="O20" s="22">
        <f t="shared" ref="O20" si="21">+C20/30</f>
        <v>73877.334828888896</v>
      </c>
      <c r="P20" s="34">
        <f>+O20*23</f>
        <v>1699178.7010644446</v>
      </c>
      <c r="Q20" s="42">
        <v>46092</v>
      </c>
      <c r="R20" s="44">
        <v>2357333</v>
      </c>
      <c r="S20" s="44">
        <v>7630947</v>
      </c>
      <c r="T20" s="44">
        <f>+T19-S20</f>
        <v>147176041</v>
      </c>
      <c r="U20" s="98">
        <v>11720</v>
      </c>
      <c r="V20" s="110">
        <f t="shared" si="3"/>
        <v>10000000</v>
      </c>
      <c r="W20" s="110"/>
      <c r="AD20" s="23"/>
      <c r="AG20" s="22"/>
      <c r="AH20" s="22"/>
      <c r="AI20" s="22"/>
      <c r="AJ20" s="23"/>
      <c r="AK20" s="23"/>
    </row>
    <row r="21" spans="1:37">
      <c r="A21" s="11">
        <f t="shared" si="4"/>
        <v>18</v>
      </c>
      <c r="B21" s="66">
        <f t="shared" si="5"/>
        <v>147176041</v>
      </c>
      <c r="C21" s="66">
        <f t="shared" si="6"/>
        <v>2127552.3193558333</v>
      </c>
      <c r="D21" s="66">
        <f>+S21</f>
        <v>6932337</v>
      </c>
      <c r="E21" s="66">
        <f t="shared" si="7"/>
        <v>8914025.7157472931</v>
      </c>
      <c r="F21" s="66">
        <f t="shared" si="1"/>
        <v>140243704</v>
      </c>
      <c r="G21" s="62">
        <v>0.10629</v>
      </c>
      <c r="H21" s="62">
        <f t="shared" si="8"/>
        <v>7.4999999999999997E-2</v>
      </c>
      <c r="I21" s="81">
        <f t="shared" si="9"/>
        <v>1.5107500000000001E-2</v>
      </c>
      <c r="J21" s="61">
        <f t="shared" si="2"/>
        <v>8956985.6338303722</v>
      </c>
      <c r="K21" s="82">
        <f t="shared" si="10"/>
        <v>18</v>
      </c>
      <c r="L21">
        <f t="shared" si="11"/>
        <v>7</v>
      </c>
      <c r="M21">
        <f t="shared" si="12"/>
        <v>4</v>
      </c>
      <c r="N21">
        <f t="shared" si="14"/>
        <v>2026</v>
      </c>
      <c r="O21" s="22">
        <f t="shared" ref="O21" si="22">+C21/30</f>
        <v>70918.410645194439</v>
      </c>
      <c r="P21" s="34">
        <f>+O21*23</f>
        <v>1631123.4448394722</v>
      </c>
      <c r="Q21" s="42">
        <v>46122</v>
      </c>
      <c r="R21" s="24">
        <v>2059732</v>
      </c>
      <c r="S21" s="24">
        <v>6932337</v>
      </c>
      <c r="T21" s="24">
        <f>+T20-S21</f>
        <v>140243704</v>
      </c>
      <c r="U21" s="98">
        <v>7931</v>
      </c>
      <c r="V21" s="110">
        <f t="shared" si="3"/>
        <v>9000000</v>
      </c>
      <c r="W21" s="110"/>
      <c r="AB21" s="23"/>
      <c r="AE21" s="23"/>
      <c r="AG21" s="22"/>
      <c r="AH21" s="22"/>
      <c r="AI21" s="22"/>
      <c r="AJ21" s="23"/>
    </row>
    <row r="22" spans="1:37">
      <c r="A22" s="11">
        <f t="shared" si="4"/>
        <v>19</v>
      </c>
      <c r="B22" s="66">
        <f t="shared" si="5"/>
        <v>140243704</v>
      </c>
      <c r="C22" s="66">
        <f t="shared" si="6"/>
        <v>2118731.7581800004</v>
      </c>
      <c r="D22" s="66">
        <f>+S22</f>
        <v>7524811</v>
      </c>
      <c r="E22" s="66">
        <f t="shared" si="7"/>
        <v>8956985.6338303722</v>
      </c>
      <c r="F22" s="66">
        <f t="shared" si="1"/>
        <v>132718893</v>
      </c>
      <c r="G22" s="62">
        <v>0.10573</v>
      </c>
      <c r="H22" s="62">
        <f t="shared" si="8"/>
        <v>7.4999999999999997E-2</v>
      </c>
      <c r="I22" s="81">
        <f t="shared" si="9"/>
        <v>1.5060833333333334E-2</v>
      </c>
      <c r="J22" s="61">
        <f t="shared" si="2"/>
        <v>8907350.2323008832</v>
      </c>
      <c r="K22" s="82">
        <f t="shared" si="10"/>
        <v>17</v>
      </c>
      <c r="L22">
        <f t="shared" si="11"/>
        <v>7</v>
      </c>
      <c r="M22">
        <f t="shared" si="12"/>
        <v>5</v>
      </c>
      <c r="N22">
        <f t="shared" si="14"/>
        <v>2026</v>
      </c>
      <c r="O22" s="22">
        <f t="shared" ref="O22" si="23">+C22/30</f>
        <v>70624.391939333349</v>
      </c>
      <c r="P22" s="34">
        <f>+O22*23</f>
        <v>1624361.014604667</v>
      </c>
      <c r="Q22" s="42">
        <v>46157</v>
      </c>
      <c r="R22" s="24">
        <v>2452564</v>
      </c>
      <c r="S22" s="24">
        <v>7524811</v>
      </c>
      <c r="T22" s="24">
        <f>+T21-S22</f>
        <v>132718893</v>
      </c>
      <c r="U22" s="98">
        <v>22625</v>
      </c>
      <c r="V22" s="110">
        <f t="shared" si="3"/>
        <v>10000000</v>
      </c>
      <c r="W22" s="110"/>
      <c r="Z22" s="23"/>
      <c r="AF22" s="23"/>
      <c r="AG22" s="22"/>
      <c r="AH22" s="2"/>
      <c r="AI22" s="2"/>
      <c r="AJ22" s="23"/>
    </row>
    <row r="23" spans="1:37">
      <c r="A23" s="11">
        <f t="shared" si="4"/>
        <v>20</v>
      </c>
      <c r="B23" s="66">
        <f t="shared" si="5"/>
        <v>132718893</v>
      </c>
      <c r="C23" s="66">
        <f t="shared" si="6"/>
        <v>1998857.1276575001</v>
      </c>
      <c r="D23" s="66">
        <f>+S23</f>
        <v>7667429</v>
      </c>
      <c r="E23" s="66">
        <f t="shared" si="7"/>
        <v>8907350.2323008832</v>
      </c>
      <c r="F23" s="66">
        <f t="shared" si="1"/>
        <v>125051464</v>
      </c>
      <c r="G23" s="62">
        <v>0.10715</v>
      </c>
      <c r="H23" s="62">
        <f t="shared" si="8"/>
        <v>7.4999999999999997E-2</v>
      </c>
      <c r="I23" s="81">
        <f t="shared" si="9"/>
        <v>1.5179166666666665E-2</v>
      </c>
      <c r="J23" s="61">
        <f t="shared" si="2"/>
        <v>8862065.5717392284</v>
      </c>
      <c r="K23" s="82">
        <f t="shared" si="10"/>
        <v>16</v>
      </c>
      <c r="L23">
        <f t="shared" si="11"/>
        <v>7</v>
      </c>
      <c r="M23">
        <f t="shared" si="12"/>
        <v>6</v>
      </c>
      <c r="N23">
        <f t="shared" si="14"/>
        <v>2026</v>
      </c>
      <c r="O23" s="22">
        <f t="shared" ref="O23" si="24">+C23/30</f>
        <v>66628.570921916675</v>
      </c>
      <c r="P23" s="34">
        <f>+O23*23</f>
        <v>1532457.1312040836</v>
      </c>
      <c r="Q23" s="42">
        <v>46178</v>
      </c>
      <c r="R23" s="24">
        <v>1332571</v>
      </c>
      <c r="S23" s="24">
        <v>7667429</v>
      </c>
      <c r="T23" s="24">
        <f>+T22-S23</f>
        <v>125051464</v>
      </c>
      <c r="U23" s="24"/>
      <c r="V23" s="110">
        <f t="shared" si="3"/>
        <v>9000000</v>
      </c>
      <c r="W23" s="110"/>
      <c r="AG23" s="22"/>
      <c r="AH23" s="22"/>
      <c r="AI23" s="23"/>
    </row>
    <row r="24" spans="1:37">
      <c r="A24" s="11">
        <f t="shared" si="4"/>
        <v>21</v>
      </c>
      <c r="B24" s="66">
        <f t="shared" si="5"/>
        <v>125051464</v>
      </c>
      <c r="C24" s="66">
        <f t="shared" si="6"/>
        <v>1898177.0139666665</v>
      </c>
      <c r="D24" s="66">
        <f>+S24</f>
        <v>6908975</v>
      </c>
      <c r="E24" s="66">
        <f t="shared" si="7"/>
        <v>8862065.5717392284</v>
      </c>
      <c r="F24" s="66">
        <f t="shared" si="1"/>
        <v>118142489</v>
      </c>
      <c r="G24" s="62">
        <v>0.11318</v>
      </c>
      <c r="H24" s="62">
        <f t="shared" si="8"/>
        <v>7.4999999999999997E-2</v>
      </c>
      <c r="I24" s="81">
        <f t="shared" si="9"/>
        <v>1.5681666666666667E-2</v>
      </c>
      <c r="J24" s="61">
        <f t="shared" si="2"/>
        <v>8900098.7840196639</v>
      </c>
      <c r="K24" s="82">
        <f t="shared" si="10"/>
        <v>15</v>
      </c>
      <c r="L24">
        <f t="shared" si="11"/>
        <v>7</v>
      </c>
      <c r="M24">
        <f t="shared" si="12"/>
        <v>7</v>
      </c>
      <c r="N24">
        <f t="shared" si="14"/>
        <v>2026</v>
      </c>
      <c r="O24" s="22">
        <f t="shared" ref="O24" si="25">+C24/30</f>
        <v>63272.567132222219</v>
      </c>
      <c r="P24" s="34">
        <f>+O24*25</f>
        <v>1581814.1783055554</v>
      </c>
      <c r="Q24" s="42">
        <v>46211</v>
      </c>
      <c r="R24" s="24">
        <v>2086515</v>
      </c>
      <c r="S24" s="24">
        <v>6908975</v>
      </c>
      <c r="T24" s="24">
        <f>+T23-S24</f>
        <v>118142489</v>
      </c>
      <c r="U24" s="98">
        <v>4510</v>
      </c>
      <c r="V24" s="110">
        <f t="shared" si="3"/>
        <v>9000000</v>
      </c>
      <c r="W24" s="110"/>
      <c r="AG24" s="22"/>
      <c r="AH24" s="22"/>
      <c r="AI24" s="23"/>
    </row>
    <row r="25" spans="1:37">
      <c r="A25" s="11">
        <f t="shared" si="4"/>
        <v>22</v>
      </c>
      <c r="B25" s="66">
        <f t="shared" si="5"/>
        <v>118142489</v>
      </c>
      <c r="C25" s="66">
        <f t="shared" si="6"/>
        <v>1852671.1316683334</v>
      </c>
      <c r="D25" s="66">
        <f>+S25</f>
        <v>117895466</v>
      </c>
      <c r="E25" s="66">
        <f t="shared" si="7"/>
        <v>8900098.7840196639</v>
      </c>
      <c r="F25" s="66">
        <f t="shared" si="1"/>
        <v>247023</v>
      </c>
      <c r="G25" s="62">
        <v>0.11501</v>
      </c>
      <c r="H25" s="62">
        <f t="shared" si="8"/>
        <v>7.4999999999999997E-2</v>
      </c>
      <c r="I25" s="81">
        <f t="shared" si="9"/>
        <v>1.5834166666666667E-2</v>
      </c>
      <c r="J25" s="61">
        <f t="shared" si="2"/>
        <v>19811.161181321899</v>
      </c>
      <c r="K25" s="82">
        <f t="shared" si="10"/>
        <v>14</v>
      </c>
      <c r="L25">
        <f t="shared" si="11"/>
        <v>7</v>
      </c>
      <c r="M25">
        <f t="shared" si="12"/>
        <v>8</v>
      </c>
      <c r="N25">
        <f t="shared" si="14"/>
        <v>2026</v>
      </c>
      <c r="O25" s="22">
        <f>+C25/30</f>
        <v>61755.704388944447</v>
      </c>
      <c r="P25" s="34">
        <f>+O25*14</f>
        <v>864579.86144522228</v>
      </c>
      <c r="Q25" s="42">
        <v>46224</v>
      </c>
      <c r="R25" s="24">
        <v>802824</v>
      </c>
      <c r="S25" s="24">
        <v>117895466</v>
      </c>
      <c r="T25" s="24">
        <f>+T24-S25</f>
        <v>247023</v>
      </c>
      <c r="U25" s="98"/>
      <c r="V25" s="110">
        <f t="shared" si="3"/>
        <v>118698290</v>
      </c>
      <c r="W25" s="110"/>
      <c r="AC25" s="23"/>
      <c r="AG25" s="22"/>
      <c r="AH25" s="22"/>
      <c r="AI25" s="23"/>
    </row>
    <row r="26" spans="1:37">
      <c r="A26" s="83">
        <f t="shared" si="4"/>
        <v>23</v>
      </c>
      <c r="B26" s="99">
        <f t="shared" si="5"/>
        <v>247023</v>
      </c>
      <c r="C26" s="99">
        <f t="shared" si="6"/>
        <v>3911.4033525</v>
      </c>
      <c r="D26" s="99">
        <f>+S26+S27</f>
        <v>247023</v>
      </c>
      <c r="E26" s="99">
        <f t="shared" si="7"/>
        <v>19811.161181321899</v>
      </c>
      <c r="F26" s="99">
        <f t="shared" si="1"/>
        <v>0</v>
      </c>
      <c r="G26" s="85">
        <v>0.11712</v>
      </c>
      <c r="H26" s="85">
        <f t="shared" si="8"/>
        <v>7.4999999999999997E-2</v>
      </c>
      <c r="I26" s="86">
        <f t="shared" si="9"/>
        <v>1.601E-2</v>
      </c>
      <c r="J26" s="84">
        <f t="shared" si="2"/>
        <v>0</v>
      </c>
      <c r="K26" s="87">
        <f t="shared" si="10"/>
        <v>13</v>
      </c>
      <c r="L26" s="88">
        <f t="shared" si="11"/>
        <v>7</v>
      </c>
      <c r="M26" s="88">
        <f t="shared" si="12"/>
        <v>9</v>
      </c>
      <c r="N26" s="88">
        <f t="shared" si="14"/>
        <v>2026</v>
      </c>
      <c r="O26" s="22">
        <f>+C26/30</f>
        <v>130.38011175</v>
      </c>
      <c r="P26" s="34">
        <f>+O26*2</f>
        <v>260.7602235</v>
      </c>
      <c r="Q26" s="42">
        <v>46226</v>
      </c>
      <c r="R26" s="24">
        <v>261</v>
      </c>
      <c r="S26" s="24">
        <v>247019</v>
      </c>
      <c r="T26" s="24">
        <f>+T25-S26</f>
        <v>4</v>
      </c>
      <c r="U26" s="98"/>
      <c r="V26" s="110">
        <f t="shared" si="3"/>
        <v>247280</v>
      </c>
      <c r="W26" s="110"/>
      <c r="AG26" s="22"/>
      <c r="AH26" s="22"/>
      <c r="AI26" s="23"/>
    </row>
    <row r="27" spans="1:37">
      <c r="A27" s="11">
        <f t="shared" si="4"/>
        <v>24</v>
      </c>
      <c r="B27" s="66">
        <f t="shared" si="5"/>
        <v>0</v>
      </c>
      <c r="C27" s="66">
        <f t="shared" si="6"/>
        <v>0</v>
      </c>
      <c r="D27" s="66">
        <f t="shared" ref="D27" si="26">IF(A27=" "," ",+E27-C27)</f>
        <v>0</v>
      </c>
      <c r="E27" s="66">
        <f t="shared" si="7"/>
        <v>0</v>
      </c>
      <c r="F27" s="66">
        <f t="shared" si="1"/>
        <v>0</v>
      </c>
      <c r="G27" s="12">
        <v>0.11712</v>
      </c>
      <c r="H27" s="62">
        <f t="shared" si="8"/>
        <v>7.4999999999999997E-2</v>
      </c>
      <c r="I27" s="8">
        <f t="shared" si="9"/>
        <v>1.601E-2</v>
      </c>
      <c r="J27" s="2">
        <f t="shared" si="2"/>
        <v>0</v>
      </c>
      <c r="K27" s="7">
        <f t="shared" si="10"/>
        <v>12</v>
      </c>
      <c r="L27">
        <f t="shared" si="11"/>
        <v>7</v>
      </c>
      <c r="M27">
        <f t="shared" si="12"/>
        <v>10</v>
      </c>
      <c r="N27">
        <f t="shared" si="14"/>
        <v>2026</v>
      </c>
      <c r="O27" s="4"/>
      <c r="P27" s="34"/>
      <c r="Q27" s="42">
        <v>46226</v>
      </c>
      <c r="R27" s="43"/>
      <c r="S27" s="44">
        <v>4</v>
      </c>
      <c r="T27" s="24">
        <f>+T26-S27</f>
        <v>0</v>
      </c>
      <c r="U27" s="43"/>
      <c r="V27" s="111"/>
      <c r="W27" s="114">
        <f>+S27</f>
        <v>4</v>
      </c>
      <c r="AG27" s="22"/>
      <c r="AH27" s="22"/>
      <c r="AI27" s="23"/>
    </row>
    <row r="28" spans="1:37">
      <c r="A28" s="11">
        <f t="shared" si="4"/>
        <v>25</v>
      </c>
      <c r="B28" s="66">
        <f t="shared" ref="B28:B39" si="27">IF(A28=" "," ",+F27)</f>
        <v>0</v>
      </c>
      <c r="C28" s="66">
        <f t="shared" ref="C28:C39" si="28">IF(A28=" "," ",+B28*I27)</f>
        <v>0</v>
      </c>
      <c r="D28" s="66">
        <f t="shared" ref="D28:D39" si="29">IF(A28=" "," ",+E28-C28)</f>
        <v>0</v>
      </c>
      <c r="E28" s="66">
        <f t="shared" ref="E28:E39" si="30">IF(A28=" "," ",+J27)</f>
        <v>0</v>
      </c>
      <c r="F28" s="66">
        <f t="shared" ref="F28:F39" si="31">+B28-D28</f>
        <v>0</v>
      </c>
      <c r="G28" s="12">
        <v>0.11712</v>
      </c>
      <c r="H28" s="62">
        <f t="shared" ref="H28:H39" si="32">IF(A28=" "," ",+H27)</f>
        <v>7.4999999999999997E-2</v>
      </c>
      <c r="I28" s="8">
        <f t="shared" ref="I28:I39" si="33">IF(A28=" "," ",((G28+H28)/12))</f>
        <v>1.601E-2</v>
      </c>
      <c r="J28" s="2">
        <f t="shared" ref="J28:J39" si="34">PMT(I28,K28,-F28,0)</f>
        <v>0</v>
      </c>
      <c r="K28" s="7">
        <f t="shared" ref="K28:K39" si="35">IF(A25=" "," ",+$B$2-A28)</f>
        <v>11</v>
      </c>
      <c r="L28">
        <f t="shared" ref="L28:L39" si="36">IF(A28&lt;&gt;" ",+L27," ")</f>
        <v>7</v>
      </c>
      <c r="M28">
        <f t="shared" ref="M28:M39" si="37">IF(AND(A28&lt;&gt;" ")*(M27=12),1,1+M27)</f>
        <v>11</v>
      </c>
      <c r="N28">
        <f t="shared" ref="N28:N39" si="38">IF(AND(A28&lt;&gt;" ")*(M28=1),1+N27,N27)</f>
        <v>2026</v>
      </c>
      <c r="O28" s="4"/>
      <c r="P28" s="34"/>
      <c r="Q28" s="43"/>
      <c r="R28" s="43"/>
      <c r="S28" s="43"/>
      <c r="T28" s="43"/>
      <c r="U28" s="43"/>
      <c r="V28" s="111"/>
      <c r="W28" s="111"/>
      <c r="AH28" s="23"/>
    </row>
    <row r="29" spans="1:37">
      <c r="A29" s="11">
        <f t="shared" si="4"/>
        <v>26</v>
      </c>
      <c r="B29" s="66">
        <f t="shared" si="27"/>
        <v>0</v>
      </c>
      <c r="C29" s="66">
        <f t="shared" si="28"/>
        <v>0</v>
      </c>
      <c r="D29" s="66">
        <f t="shared" si="29"/>
        <v>0</v>
      </c>
      <c r="E29" s="66">
        <f t="shared" si="30"/>
        <v>0</v>
      </c>
      <c r="F29" s="66">
        <f t="shared" si="31"/>
        <v>0</v>
      </c>
      <c r="G29" s="12">
        <v>0.11712</v>
      </c>
      <c r="H29" s="62">
        <f t="shared" si="32"/>
        <v>7.4999999999999997E-2</v>
      </c>
      <c r="I29" s="8">
        <f t="shared" si="33"/>
        <v>1.601E-2</v>
      </c>
      <c r="J29" s="2">
        <f t="shared" si="34"/>
        <v>0</v>
      </c>
      <c r="K29" s="7">
        <f t="shared" si="35"/>
        <v>10</v>
      </c>
      <c r="L29">
        <f t="shared" si="36"/>
        <v>7</v>
      </c>
      <c r="M29">
        <f t="shared" si="37"/>
        <v>12</v>
      </c>
      <c r="N29">
        <f t="shared" si="38"/>
        <v>2026</v>
      </c>
      <c r="O29" s="4"/>
      <c r="P29" s="34"/>
      <c r="Q29" s="43"/>
      <c r="R29" s="43"/>
      <c r="S29" s="43"/>
      <c r="T29" s="43"/>
      <c r="U29" s="43"/>
      <c r="V29" s="111"/>
      <c r="W29" s="111"/>
    </row>
    <row r="30" spans="1:37">
      <c r="A30" s="11">
        <f t="shared" si="4"/>
        <v>27</v>
      </c>
      <c r="B30" s="66">
        <f t="shared" si="27"/>
        <v>0</v>
      </c>
      <c r="C30" s="66">
        <f t="shared" si="28"/>
        <v>0</v>
      </c>
      <c r="D30" s="66">
        <f t="shared" si="29"/>
        <v>0</v>
      </c>
      <c r="E30" s="66">
        <f t="shared" si="30"/>
        <v>0</v>
      </c>
      <c r="F30" s="66">
        <f t="shared" si="31"/>
        <v>0</v>
      </c>
      <c r="G30" s="12">
        <v>0.11712</v>
      </c>
      <c r="H30" s="62">
        <f t="shared" si="32"/>
        <v>7.4999999999999997E-2</v>
      </c>
      <c r="I30" s="8">
        <f t="shared" si="33"/>
        <v>1.601E-2</v>
      </c>
      <c r="J30" s="2">
        <f t="shared" si="34"/>
        <v>0</v>
      </c>
      <c r="K30" s="7">
        <f t="shared" si="35"/>
        <v>9</v>
      </c>
      <c r="L30">
        <f t="shared" si="36"/>
        <v>7</v>
      </c>
      <c r="M30">
        <f t="shared" si="37"/>
        <v>1</v>
      </c>
      <c r="N30">
        <f t="shared" si="38"/>
        <v>2027</v>
      </c>
      <c r="O30" s="4"/>
      <c r="P30" s="4"/>
      <c r="Q30" s="43"/>
      <c r="R30" s="43"/>
      <c r="S30" s="43"/>
      <c r="T30" s="43"/>
      <c r="U30" s="43"/>
      <c r="V30" s="111"/>
      <c r="W30" s="111"/>
    </row>
    <row r="31" spans="1:37">
      <c r="A31" s="11">
        <f t="shared" si="4"/>
        <v>28</v>
      </c>
      <c r="B31" s="66">
        <f t="shared" si="27"/>
        <v>0</v>
      </c>
      <c r="C31" s="66">
        <f t="shared" si="28"/>
        <v>0</v>
      </c>
      <c r="D31" s="66">
        <f t="shared" si="29"/>
        <v>0</v>
      </c>
      <c r="E31" s="66">
        <f t="shared" si="30"/>
        <v>0</v>
      </c>
      <c r="F31" s="66">
        <f t="shared" si="31"/>
        <v>0</v>
      </c>
      <c r="G31" s="12">
        <v>0.11712</v>
      </c>
      <c r="H31" s="62">
        <f t="shared" si="32"/>
        <v>7.4999999999999997E-2</v>
      </c>
      <c r="I31" s="8">
        <f t="shared" si="33"/>
        <v>1.601E-2</v>
      </c>
      <c r="J31" s="2">
        <f t="shared" si="34"/>
        <v>0</v>
      </c>
      <c r="K31" s="7">
        <f t="shared" si="35"/>
        <v>8</v>
      </c>
      <c r="L31">
        <f t="shared" si="36"/>
        <v>7</v>
      </c>
      <c r="M31">
        <f t="shared" si="37"/>
        <v>2</v>
      </c>
      <c r="N31">
        <f t="shared" si="38"/>
        <v>2027</v>
      </c>
      <c r="Q31" s="43"/>
      <c r="R31" s="43"/>
      <c r="S31" s="43"/>
      <c r="T31" s="43"/>
      <c r="U31" s="43"/>
      <c r="V31" s="111"/>
      <c r="W31" s="111"/>
    </row>
    <row r="32" spans="1:37">
      <c r="A32" s="11">
        <f t="shared" si="4"/>
        <v>29</v>
      </c>
      <c r="B32" s="66">
        <f t="shared" si="27"/>
        <v>0</v>
      </c>
      <c r="C32" s="66">
        <f t="shared" si="28"/>
        <v>0</v>
      </c>
      <c r="D32" s="66">
        <f t="shared" si="29"/>
        <v>0</v>
      </c>
      <c r="E32" s="66">
        <f t="shared" si="30"/>
        <v>0</v>
      </c>
      <c r="F32" s="66">
        <f t="shared" si="31"/>
        <v>0</v>
      </c>
      <c r="G32" s="12">
        <v>0.11712</v>
      </c>
      <c r="H32" s="62">
        <f t="shared" si="32"/>
        <v>7.4999999999999997E-2</v>
      </c>
      <c r="I32" s="8">
        <f t="shared" si="33"/>
        <v>1.601E-2</v>
      </c>
      <c r="J32" s="2">
        <f t="shared" si="34"/>
        <v>0</v>
      </c>
      <c r="K32" s="7">
        <f t="shared" si="35"/>
        <v>7</v>
      </c>
      <c r="L32">
        <f t="shared" si="36"/>
        <v>7</v>
      </c>
      <c r="M32">
        <f t="shared" si="37"/>
        <v>3</v>
      </c>
      <c r="N32">
        <f t="shared" si="38"/>
        <v>2027</v>
      </c>
      <c r="O32" s="4"/>
      <c r="P32" s="4"/>
      <c r="W32" s="106"/>
    </row>
    <row r="33" spans="1:23">
      <c r="A33" s="11">
        <f t="shared" si="4"/>
        <v>30</v>
      </c>
      <c r="B33" s="66">
        <f t="shared" si="27"/>
        <v>0</v>
      </c>
      <c r="C33" s="66">
        <f t="shared" si="28"/>
        <v>0</v>
      </c>
      <c r="D33" s="66">
        <f t="shared" si="29"/>
        <v>0</v>
      </c>
      <c r="E33" s="66">
        <f t="shared" si="30"/>
        <v>0</v>
      </c>
      <c r="F33" s="66">
        <f t="shared" si="31"/>
        <v>0</v>
      </c>
      <c r="G33" s="12">
        <v>0.11712</v>
      </c>
      <c r="H33" s="62">
        <f t="shared" si="32"/>
        <v>7.4999999999999997E-2</v>
      </c>
      <c r="I33" s="8">
        <f t="shared" si="33"/>
        <v>1.601E-2</v>
      </c>
      <c r="J33" s="2">
        <f t="shared" si="34"/>
        <v>0</v>
      </c>
      <c r="K33" s="7">
        <f t="shared" si="35"/>
        <v>6</v>
      </c>
      <c r="L33">
        <f t="shared" si="36"/>
        <v>7</v>
      </c>
      <c r="M33">
        <f t="shared" si="37"/>
        <v>4</v>
      </c>
      <c r="N33">
        <f t="shared" si="38"/>
        <v>2027</v>
      </c>
      <c r="W33" s="106"/>
    </row>
    <row r="34" spans="1:23">
      <c r="A34" s="11">
        <f t="shared" si="4"/>
        <v>31</v>
      </c>
      <c r="B34" s="66">
        <f t="shared" si="27"/>
        <v>0</v>
      </c>
      <c r="C34" s="66">
        <f t="shared" si="28"/>
        <v>0</v>
      </c>
      <c r="D34" s="66">
        <f t="shared" si="29"/>
        <v>0</v>
      </c>
      <c r="E34" s="66">
        <f t="shared" si="30"/>
        <v>0</v>
      </c>
      <c r="F34" s="66">
        <f t="shared" si="31"/>
        <v>0</v>
      </c>
      <c r="G34" s="12">
        <v>0.11712</v>
      </c>
      <c r="H34" s="62">
        <f t="shared" si="32"/>
        <v>7.4999999999999997E-2</v>
      </c>
      <c r="I34" s="8">
        <f t="shared" si="33"/>
        <v>1.601E-2</v>
      </c>
      <c r="J34" s="2">
        <f t="shared" si="34"/>
        <v>0</v>
      </c>
      <c r="K34" s="7">
        <f t="shared" si="35"/>
        <v>5</v>
      </c>
      <c r="L34">
        <f t="shared" si="36"/>
        <v>7</v>
      </c>
      <c r="M34">
        <f t="shared" si="37"/>
        <v>5</v>
      </c>
      <c r="N34">
        <f t="shared" si="38"/>
        <v>2027</v>
      </c>
      <c r="W34" s="106"/>
    </row>
    <row r="35" spans="1:23">
      <c r="A35" s="11">
        <f t="shared" si="4"/>
        <v>32</v>
      </c>
      <c r="B35" s="66">
        <f t="shared" si="27"/>
        <v>0</v>
      </c>
      <c r="C35" s="66">
        <f t="shared" si="28"/>
        <v>0</v>
      </c>
      <c r="D35" s="66">
        <f t="shared" si="29"/>
        <v>0</v>
      </c>
      <c r="E35" s="66">
        <f t="shared" si="30"/>
        <v>0</v>
      </c>
      <c r="F35" s="66">
        <f t="shared" si="31"/>
        <v>0</v>
      </c>
      <c r="G35" s="12">
        <v>0.11712</v>
      </c>
      <c r="H35" s="62">
        <f t="shared" si="32"/>
        <v>7.4999999999999997E-2</v>
      </c>
      <c r="I35" s="8">
        <f t="shared" si="33"/>
        <v>1.601E-2</v>
      </c>
      <c r="J35" s="2">
        <f t="shared" si="34"/>
        <v>0</v>
      </c>
      <c r="K35" s="7">
        <f t="shared" si="35"/>
        <v>4</v>
      </c>
      <c r="L35">
        <f t="shared" si="36"/>
        <v>7</v>
      </c>
      <c r="M35">
        <f t="shared" si="37"/>
        <v>6</v>
      </c>
      <c r="N35">
        <f t="shared" si="38"/>
        <v>2027</v>
      </c>
      <c r="W35" s="106"/>
    </row>
    <row r="36" spans="1:23">
      <c r="A36" s="11">
        <f t="shared" si="4"/>
        <v>33</v>
      </c>
      <c r="B36" s="66">
        <f t="shared" si="27"/>
        <v>0</v>
      </c>
      <c r="C36" s="66">
        <f t="shared" si="28"/>
        <v>0</v>
      </c>
      <c r="D36" s="66">
        <f t="shared" si="29"/>
        <v>0</v>
      </c>
      <c r="E36" s="66">
        <f t="shared" si="30"/>
        <v>0</v>
      </c>
      <c r="F36" s="66">
        <f t="shared" si="31"/>
        <v>0</v>
      </c>
      <c r="G36" s="12">
        <v>0.11712</v>
      </c>
      <c r="H36" s="62">
        <f t="shared" si="32"/>
        <v>7.4999999999999997E-2</v>
      </c>
      <c r="I36" s="8">
        <f t="shared" si="33"/>
        <v>1.601E-2</v>
      </c>
      <c r="J36" s="2">
        <f t="shared" si="34"/>
        <v>0</v>
      </c>
      <c r="K36" s="7">
        <f t="shared" si="35"/>
        <v>3</v>
      </c>
      <c r="L36">
        <f t="shared" si="36"/>
        <v>7</v>
      </c>
      <c r="M36">
        <f t="shared" si="37"/>
        <v>7</v>
      </c>
      <c r="N36">
        <f t="shared" si="38"/>
        <v>2027</v>
      </c>
      <c r="W36" s="106"/>
    </row>
    <row r="37" spans="1:23">
      <c r="A37" s="11">
        <f t="shared" si="4"/>
        <v>34</v>
      </c>
      <c r="B37" s="66">
        <f t="shared" si="27"/>
        <v>0</v>
      </c>
      <c r="C37" s="66">
        <f t="shared" si="28"/>
        <v>0</v>
      </c>
      <c r="D37" s="66">
        <f t="shared" si="29"/>
        <v>0</v>
      </c>
      <c r="E37" s="66">
        <f t="shared" si="30"/>
        <v>0</v>
      </c>
      <c r="F37" s="66">
        <f t="shared" si="31"/>
        <v>0</v>
      </c>
      <c r="G37" s="12">
        <v>0.11712</v>
      </c>
      <c r="H37" s="62">
        <f t="shared" si="32"/>
        <v>7.4999999999999997E-2</v>
      </c>
      <c r="I37" s="8">
        <f t="shared" si="33"/>
        <v>1.601E-2</v>
      </c>
      <c r="J37" s="2">
        <f t="shared" si="34"/>
        <v>0</v>
      </c>
      <c r="K37" s="7">
        <f t="shared" si="35"/>
        <v>2</v>
      </c>
      <c r="L37">
        <f t="shared" si="36"/>
        <v>7</v>
      </c>
      <c r="M37">
        <f t="shared" si="37"/>
        <v>8</v>
      </c>
      <c r="N37">
        <f t="shared" si="38"/>
        <v>2027</v>
      </c>
      <c r="W37" s="106"/>
    </row>
    <row r="38" spans="1:23">
      <c r="A38" s="11">
        <f t="shared" si="4"/>
        <v>35</v>
      </c>
      <c r="B38" s="66">
        <f t="shared" si="27"/>
        <v>0</v>
      </c>
      <c r="C38" s="66">
        <f t="shared" si="28"/>
        <v>0</v>
      </c>
      <c r="D38" s="66">
        <f t="shared" si="29"/>
        <v>0</v>
      </c>
      <c r="E38" s="66">
        <f t="shared" si="30"/>
        <v>0</v>
      </c>
      <c r="F38" s="66">
        <f t="shared" si="31"/>
        <v>0</v>
      </c>
      <c r="G38" s="12">
        <v>0.11712</v>
      </c>
      <c r="H38" s="62">
        <f t="shared" si="32"/>
        <v>7.4999999999999997E-2</v>
      </c>
      <c r="I38" s="8">
        <f t="shared" si="33"/>
        <v>1.601E-2</v>
      </c>
      <c r="J38" s="2">
        <f t="shared" si="34"/>
        <v>0</v>
      </c>
      <c r="K38" s="7">
        <f t="shared" si="35"/>
        <v>1</v>
      </c>
      <c r="L38">
        <f t="shared" si="36"/>
        <v>7</v>
      </c>
      <c r="M38">
        <f t="shared" si="37"/>
        <v>9</v>
      </c>
      <c r="N38">
        <f t="shared" si="38"/>
        <v>2027</v>
      </c>
      <c r="W38" s="106"/>
    </row>
    <row r="39" spans="1:23">
      <c r="A39" s="11">
        <f t="shared" si="4"/>
        <v>36</v>
      </c>
      <c r="B39" s="66">
        <f t="shared" si="27"/>
        <v>0</v>
      </c>
      <c r="C39" s="66">
        <f t="shared" si="28"/>
        <v>0</v>
      </c>
      <c r="D39" s="66">
        <f t="shared" si="29"/>
        <v>0</v>
      </c>
      <c r="E39" s="66">
        <f t="shared" si="30"/>
        <v>0</v>
      </c>
      <c r="F39" s="66">
        <f t="shared" si="31"/>
        <v>0</v>
      </c>
      <c r="G39" s="12">
        <v>0.11712</v>
      </c>
      <c r="H39" s="62">
        <f t="shared" si="32"/>
        <v>7.4999999999999997E-2</v>
      </c>
      <c r="I39" s="8">
        <f t="shared" si="33"/>
        <v>1.601E-2</v>
      </c>
      <c r="J39" s="2" t="e">
        <f t="shared" si="34"/>
        <v>#NUM!</v>
      </c>
      <c r="K39" s="7">
        <f t="shared" si="35"/>
        <v>0</v>
      </c>
      <c r="L39">
        <f t="shared" si="36"/>
        <v>7</v>
      </c>
      <c r="M39">
        <f t="shared" si="37"/>
        <v>10</v>
      </c>
      <c r="N39">
        <f t="shared" si="38"/>
        <v>2027</v>
      </c>
      <c r="W39" s="106"/>
    </row>
    <row r="40" spans="1:23">
      <c r="A40" s="11"/>
      <c r="B40" s="2"/>
      <c r="C40" s="2"/>
      <c r="D40" s="2"/>
      <c r="E40" s="59"/>
      <c r="F40" s="60"/>
      <c r="G40" s="12"/>
      <c r="H40" s="12"/>
      <c r="I40" s="8"/>
      <c r="J40" s="2"/>
      <c r="K40" s="7"/>
      <c r="W40" s="106"/>
    </row>
    <row r="41" spans="1:23">
      <c r="A41" s="11"/>
      <c r="B41" s="2"/>
      <c r="C41" s="2"/>
      <c r="D41" s="2"/>
      <c r="E41" s="59"/>
      <c r="F41" s="60"/>
      <c r="G41" s="12"/>
      <c r="H41" s="12"/>
      <c r="I41" s="8"/>
      <c r="J41" s="2"/>
      <c r="K41" s="7"/>
      <c r="W41" s="106"/>
    </row>
    <row r="42" spans="1:23">
      <c r="A42" s="11"/>
      <c r="B42" s="2"/>
      <c r="C42" s="2"/>
      <c r="D42" s="2"/>
      <c r="E42" s="59"/>
      <c r="F42" s="60"/>
      <c r="G42" s="12"/>
      <c r="H42" s="12"/>
      <c r="I42" s="8"/>
      <c r="J42" s="2"/>
      <c r="K42" s="7"/>
      <c r="W42" s="106"/>
    </row>
    <row r="43" spans="1:23">
      <c r="A43" s="11"/>
      <c r="B43" s="2"/>
      <c r="C43" s="2"/>
      <c r="D43" s="2"/>
      <c r="E43" s="59"/>
      <c r="F43" s="60"/>
      <c r="G43" s="12"/>
      <c r="H43" s="12"/>
      <c r="I43" s="8"/>
      <c r="J43" s="2"/>
      <c r="K43" s="7"/>
      <c r="W43" s="106"/>
    </row>
    <row r="44" spans="1:23">
      <c r="A44" s="11"/>
      <c r="B44" s="2"/>
      <c r="C44" s="2"/>
      <c r="D44" s="2"/>
      <c r="E44" s="59"/>
      <c r="F44" s="60"/>
      <c r="G44" s="12"/>
      <c r="H44" s="12"/>
      <c r="I44" s="8"/>
      <c r="J44" s="2"/>
      <c r="K44" s="7"/>
      <c r="W44" s="106"/>
    </row>
    <row r="45" spans="1:23">
      <c r="A45" s="11"/>
      <c r="B45" s="2"/>
      <c r="C45" s="2"/>
      <c r="D45" s="2"/>
      <c r="E45" s="59"/>
      <c r="F45" s="60"/>
      <c r="G45" s="12"/>
      <c r="H45" s="12"/>
      <c r="I45" s="8"/>
      <c r="J45" s="2"/>
      <c r="K45" s="7"/>
      <c r="W45" s="106"/>
    </row>
    <row r="46" spans="1:23">
      <c r="A46" s="11"/>
      <c r="B46" s="2"/>
      <c r="C46" s="2"/>
      <c r="D46" s="2"/>
      <c r="E46" s="59"/>
      <c r="F46" s="60"/>
      <c r="G46" s="12"/>
      <c r="H46" s="12"/>
      <c r="I46" s="8"/>
      <c r="J46" s="2"/>
      <c r="K46" s="7"/>
      <c r="W46" s="106"/>
    </row>
    <row r="47" spans="1:23">
      <c r="A47" s="11"/>
      <c r="B47" s="2"/>
      <c r="C47" s="2"/>
      <c r="D47" s="2"/>
      <c r="E47" s="59"/>
      <c r="F47" s="60"/>
      <c r="G47" s="12"/>
      <c r="H47" s="12"/>
      <c r="I47" s="8"/>
      <c r="J47" s="2"/>
      <c r="K47" s="7"/>
      <c r="W47" s="106"/>
    </row>
    <row r="48" spans="1:23">
      <c r="A48" s="11"/>
      <c r="B48" s="2"/>
      <c r="C48" s="2"/>
      <c r="D48" s="2"/>
      <c r="E48" s="59"/>
      <c r="F48" s="60"/>
      <c r="G48" s="12"/>
      <c r="H48" s="12"/>
      <c r="I48" s="8"/>
      <c r="J48" s="2"/>
      <c r="K48" s="7"/>
      <c r="W48" s="106"/>
    </row>
    <row r="49" spans="1:23">
      <c r="A49" s="11"/>
      <c r="B49" s="2"/>
      <c r="C49" s="2"/>
      <c r="D49" s="2"/>
      <c r="E49" s="59"/>
      <c r="F49" s="60"/>
      <c r="G49" s="12"/>
      <c r="H49" s="12"/>
      <c r="I49" s="8"/>
      <c r="J49" s="2"/>
      <c r="K49" s="7"/>
      <c r="W49" s="106"/>
    </row>
    <row r="50" spans="1:23">
      <c r="A50" s="11"/>
      <c r="B50" s="2"/>
      <c r="C50" s="2"/>
      <c r="D50" s="2"/>
      <c r="E50" s="59"/>
      <c r="F50" s="60"/>
      <c r="G50" s="12"/>
      <c r="H50" s="12"/>
      <c r="I50" s="8"/>
      <c r="J50" s="2"/>
      <c r="K50" s="7"/>
      <c r="W50" s="106"/>
    </row>
    <row r="51" spans="1:23">
      <c r="A51" s="11"/>
      <c r="B51" s="2"/>
      <c r="C51" s="2"/>
      <c r="D51" s="2"/>
      <c r="E51" s="59"/>
      <c r="F51" s="60"/>
      <c r="G51" s="12"/>
      <c r="H51" s="12"/>
      <c r="I51" s="8"/>
      <c r="J51" s="2"/>
      <c r="K51" s="7"/>
      <c r="W51" s="106"/>
    </row>
    <row r="52" spans="1:23">
      <c r="A52" s="11"/>
      <c r="B52" s="35"/>
      <c r="C52" s="35"/>
      <c r="D52" s="35"/>
      <c r="E52" s="35"/>
      <c r="F52" s="35"/>
      <c r="G52" s="12"/>
      <c r="H52" s="12"/>
      <c r="I52" s="8"/>
      <c r="J52" s="2"/>
      <c r="K52" s="38"/>
      <c r="W52" s="106"/>
    </row>
    <row r="53" spans="1:23">
      <c r="A53" s="11"/>
      <c r="B53" s="35"/>
      <c r="C53" s="35"/>
      <c r="D53" s="35"/>
      <c r="E53" s="35"/>
      <c r="F53" s="35"/>
      <c r="G53" s="12"/>
      <c r="H53" s="12"/>
      <c r="I53" s="8"/>
      <c r="J53" s="35"/>
      <c r="K53" s="38"/>
      <c r="W53" s="106"/>
    </row>
    <row r="54" spans="1:23">
      <c r="A54" s="11"/>
      <c r="B54" s="35"/>
      <c r="C54" s="35"/>
      <c r="D54" s="35"/>
      <c r="E54" s="35"/>
      <c r="F54" s="35"/>
      <c r="G54" s="12"/>
      <c r="H54" s="12"/>
      <c r="I54" s="8"/>
      <c r="J54" s="35"/>
      <c r="K54" s="38"/>
      <c r="W54" s="106"/>
    </row>
    <row r="55" spans="1:23">
      <c r="A55" s="11"/>
      <c r="B55" s="35"/>
      <c r="C55" s="35"/>
      <c r="D55" s="35"/>
      <c r="E55" s="35"/>
      <c r="F55" s="35"/>
      <c r="G55" s="12"/>
      <c r="H55" s="12"/>
      <c r="I55" s="8"/>
      <c r="J55" s="35"/>
      <c r="K55" s="38"/>
      <c r="W55" s="106"/>
    </row>
    <row r="56" spans="1:23">
      <c r="A56" s="11"/>
      <c r="B56" s="35"/>
      <c r="C56" s="35"/>
      <c r="D56" s="35"/>
      <c r="E56" s="35"/>
      <c r="F56" s="35"/>
      <c r="G56" s="36"/>
      <c r="H56" s="36"/>
      <c r="I56" s="37"/>
      <c r="J56" s="35"/>
      <c r="K56" s="38"/>
      <c r="W56" s="106"/>
    </row>
    <row r="57" spans="1:23">
      <c r="A57" s="11"/>
      <c r="B57" s="35"/>
      <c r="C57" s="35"/>
      <c r="D57" s="35"/>
      <c r="E57" s="35"/>
      <c r="F57" s="35"/>
      <c r="G57" s="36"/>
      <c r="H57" s="36"/>
      <c r="I57" s="37"/>
      <c r="J57" s="35"/>
      <c r="K57" s="38"/>
      <c r="W57" s="106"/>
    </row>
    <row r="58" spans="1:23">
      <c r="A58" s="11"/>
      <c r="B58" s="35"/>
      <c r="C58" s="35"/>
      <c r="D58" s="35"/>
      <c r="E58" s="35"/>
      <c r="F58" s="35"/>
      <c r="G58" s="36"/>
      <c r="H58" s="36"/>
      <c r="I58" s="37"/>
      <c r="J58" s="35"/>
      <c r="K58" s="38"/>
      <c r="W58" s="106"/>
    </row>
    <row r="59" spans="1:23">
      <c r="A59" s="11"/>
      <c r="B59" s="35"/>
      <c r="C59" s="35"/>
      <c r="D59" s="35"/>
      <c r="E59" s="35"/>
      <c r="F59" s="35"/>
      <c r="G59" s="36"/>
      <c r="H59" s="36"/>
      <c r="I59" s="37"/>
      <c r="J59" s="35"/>
      <c r="K59" s="38"/>
      <c r="W59" s="106"/>
    </row>
    <row r="60" spans="1:23">
      <c r="A60" s="11"/>
      <c r="B60" s="35"/>
      <c r="C60" s="35"/>
      <c r="D60" s="35"/>
      <c r="E60" s="35"/>
      <c r="F60" s="35"/>
      <c r="G60" s="36"/>
      <c r="H60" s="36"/>
      <c r="I60" s="37"/>
      <c r="J60" s="35"/>
      <c r="K60" s="38"/>
      <c r="W60" s="106"/>
    </row>
    <row r="61" spans="1:23">
      <c r="A61" s="11"/>
      <c r="B61" s="35"/>
      <c r="C61" s="35"/>
      <c r="D61" s="35"/>
      <c r="E61" s="35"/>
      <c r="F61" s="35"/>
      <c r="G61" s="36"/>
      <c r="H61" s="36"/>
      <c r="I61" s="37"/>
      <c r="J61" s="35"/>
      <c r="K61" s="38"/>
      <c r="W61" s="106"/>
    </row>
    <row r="62" spans="1:23">
      <c r="A62" s="11"/>
      <c r="B62" s="35"/>
      <c r="C62" s="35"/>
      <c r="D62" s="35"/>
      <c r="E62" s="35"/>
      <c r="F62" s="35"/>
      <c r="G62" s="36"/>
      <c r="H62" s="36"/>
      <c r="I62" s="37"/>
      <c r="J62" s="35"/>
      <c r="K62" s="38"/>
      <c r="W62" s="106"/>
    </row>
    <row r="63" spans="1:23">
      <c r="A63" s="11"/>
      <c r="B63" s="35"/>
      <c r="C63" s="35"/>
      <c r="D63" s="35"/>
      <c r="E63" s="35"/>
      <c r="F63" s="35"/>
      <c r="G63" s="36"/>
      <c r="H63" s="36"/>
      <c r="I63" s="37"/>
      <c r="J63" s="35"/>
      <c r="K63" s="38"/>
      <c r="W63" s="106"/>
    </row>
    <row r="64" spans="1:23">
      <c r="A64" s="11"/>
      <c r="B64" s="35"/>
      <c r="C64" s="35"/>
      <c r="D64" s="35"/>
      <c r="E64" s="35"/>
      <c r="F64" s="35"/>
      <c r="G64" s="36"/>
      <c r="H64" s="36"/>
      <c r="I64" s="37"/>
      <c r="J64" s="35"/>
      <c r="K64" s="38"/>
      <c r="W64" s="106"/>
    </row>
    <row r="65" spans="1:23">
      <c r="A65" s="11"/>
      <c r="B65" s="35"/>
      <c r="C65" s="35"/>
      <c r="D65" s="35"/>
      <c r="E65" s="35"/>
      <c r="F65" s="35"/>
      <c r="G65" s="36"/>
      <c r="H65" s="36"/>
      <c r="I65" s="37"/>
      <c r="J65" s="35"/>
      <c r="K65" s="38"/>
      <c r="W65" s="106"/>
    </row>
    <row r="66" spans="1:23">
      <c r="A66" s="11"/>
      <c r="B66" s="35"/>
      <c r="C66" s="35"/>
      <c r="D66" s="35"/>
      <c r="E66" s="35"/>
      <c r="F66" s="35"/>
      <c r="G66" s="36"/>
      <c r="H66" s="36"/>
      <c r="I66" s="37"/>
      <c r="J66" s="35"/>
      <c r="K66" s="38"/>
      <c r="W66" s="106"/>
    </row>
    <row r="67" spans="1:23">
      <c r="A67" s="11"/>
      <c r="B67" s="35"/>
      <c r="C67" s="35"/>
      <c r="D67" s="35"/>
      <c r="E67" s="35"/>
      <c r="F67" s="35"/>
      <c r="G67" s="36"/>
      <c r="H67" s="36"/>
      <c r="I67" s="37"/>
      <c r="J67" s="35"/>
      <c r="K67" s="38"/>
      <c r="W67" s="106"/>
    </row>
    <row r="68" spans="1:23">
      <c r="A68" s="11"/>
      <c r="B68" s="35"/>
      <c r="C68" s="35"/>
      <c r="D68" s="35"/>
      <c r="E68" s="35"/>
      <c r="F68" s="35"/>
      <c r="G68" s="36"/>
      <c r="H68" s="36"/>
      <c r="I68" s="37"/>
      <c r="J68" s="35"/>
      <c r="K68" s="38"/>
      <c r="W68" s="106"/>
    </row>
    <row r="69" spans="1:23">
      <c r="A69" s="11"/>
      <c r="B69" s="35"/>
      <c r="C69" s="35"/>
      <c r="D69" s="35"/>
      <c r="E69" s="35"/>
      <c r="F69" s="35"/>
      <c r="G69" s="36"/>
      <c r="H69" s="36"/>
      <c r="I69" s="37"/>
      <c r="J69" s="35"/>
      <c r="K69" s="38"/>
      <c r="W69" s="106"/>
    </row>
    <row r="70" spans="1:23">
      <c r="A70" s="11"/>
      <c r="B70" s="35"/>
      <c r="C70" s="35"/>
      <c r="D70" s="35"/>
      <c r="E70" s="35"/>
      <c r="F70" s="35"/>
      <c r="G70" s="36"/>
      <c r="H70" s="36"/>
      <c r="I70" s="37"/>
      <c r="J70" s="35"/>
      <c r="K70" s="38"/>
      <c r="W70" s="106"/>
    </row>
    <row r="71" spans="1:23">
      <c r="A71" s="11"/>
      <c r="B71" s="35"/>
      <c r="C71" s="35"/>
      <c r="D71" s="35"/>
      <c r="E71" s="35"/>
      <c r="F71" s="35"/>
      <c r="G71" s="36"/>
      <c r="H71" s="36"/>
      <c r="I71" s="37"/>
      <c r="J71" s="35"/>
      <c r="K71" s="38"/>
      <c r="W71" s="106"/>
    </row>
    <row r="72" spans="1:23">
      <c r="A72" s="11"/>
      <c r="B72" s="35"/>
      <c r="C72" s="35"/>
      <c r="D72" s="35"/>
      <c r="E72" s="35"/>
      <c r="F72" s="35"/>
      <c r="G72" s="36"/>
      <c r="H72" s="36"/>
      <c r="I72" s="37"/>
      <c r="J72" s="35"/>
      <c r="K72" s="38"/>
      <c r="W72" s="106"/>
    </row>
    <row r="73" spans="1:23">
      <c r="A73" s="11"/>
      <c r="B73" s="35"/>
      <c r="C73" s="35"/>
      <c r="D73" s="35"/>
      <c r="E73" s="35"/>
      <c r="F73" s="35"/>
      <c r="G73" s="36"/>
      <c r="H73" s="36"/>
      <c r="I73" s="37"/>
      <c r="J73" s="35"/>
      <c r="K73" s="38"/>
      <c r="W73" s="106"/>
    </row>
    <row r="74" spans="1:23">
      <c r="A74" s="11"/>
      <c r="B74" s="35"/>
      <c r="C74" s="35"/>
      <c r="D74" s="35"/>
      <c r="E74" s="35"/>
      <c r="F74" s="35"/>
      <c r="G74" s="36"/>
      <c r="H74" s="36"/>
      <c r="I74" s="37"/>
      <c r="J74" s="35"/>
      <c r="K74" s="38"/>
      <c r="W74" s="106"/>
    </row>
    <row r="75" spans="1:23">
      <c r="A75" s="11"/>
      <c r="B75" s="35"/>
      <c r="C75" s="35"/>
      <c r="D75" s="35"/>
      <c r="E75" s="35"/>
      <c r="F75" s="35"/>
      <c r="G75" s="36"/>
      <c r="H75" s="36"/>
      <c r="I75" s="37"/>
      <c r="J75" s="35"/>
      <c r="K75" s="38"/>
      <c r="W75" s="106"/>
    </row>
    <row r="76" spans="1:23">
      <c r="A76" s="11"/>
      <c r="B76" s="35"/>
      <c r="C76" s="35"/>
      <c r="D76" s="35"/>
      <c r="E76" s="35"/>
      <c r="F76" s="35"/>
      <c r="G76" s="36"/>
      <c r="H76" s="36"/>
      <c r="I76" s="37"/>
      <c r="J76" s="35"/>
      <c r="K76" s="38"/>
      <c r="W76" s="106"/>
    </row>
    <row r="77" spans="1:23">
      <c r="A77" s="11"/>
      <c r="B77" s="35"/>
      <c r="C77" s="35"/>
      <c r="D77" s="35"/>
      <c r="E77" s="35"/>
      <c r="F77" s="35"/>
      <c r="G77" s="36"/>
      <c r="H77" s="36"/>
      <c r="I77" s="37"/>
      <c r="J77" s="35"/>
      <c r="K77" s="38"/>
      <c r="W77" s="106"/>
    </row>
    <row r="78" spans="1:23">
      <c r="A78" s="11"/>
      <c r="B78" s="35"/>
      <c r="C78" s="35"/>
      <c r="D78" s="35"/>
      <c r="E78" s="35"/>
      <c r="F78" s="35"/>
      <c r="G78" s="36"/>
      <c r="H78" s="36"/>
      <c r="I78" s="37"/>
      <c r="J78" s="35"/>
      <c r="K78" s="38"/>
      <c r="W78" s="106"/>
    </row>
    <row r="79" spans="1:23">
      <c r="A79" s="11"/>
      <c r="B79" s="35"/>
      <c r="C79" s="35"/>
      <c r="D79" s="35"/>
      <c r="E79" s="35"/>
      <c r="F79" s="35"/>
      <c r="G79" s="36"/>
      <c r="H79" s="36"/>
      <c r="I79" s="37"/>
      <c r="J79" s="35"/>
      <c r="K79" s="38"/>
      <c r="W79" s="106"/>
    </row>
    <row r="80" spans="1:23">
      <c r="A80" s="11"/>
      <c r="B80" s="35"/>
      <c r="C80" s="35"/>
      <c r="D80" s="35"/>
      <c r="E80" s="35"/>
      <c r="F80" s="35"/>
      <c r="G80" s="36"/>
      <c r="H80" s="36"/>
      <c r="I80" s="37"/>
      <c r="J80" s="35"/>
      <c r="K80" s="38"/>
      <c r="W80" s="106"/>
    </row>
    <row r="81" spans="1:23">
      <c r="A81" s="11"/>
      <c r="B81" s="35"/>
      <c r="C81" s="35"/>
      <c r="D81" s="35"/>
      <c r="E81" s="35"/>
      <c r="F81" s="35"/>
      <c r="G81" s="36"/>
      <c r="H81" s="36"/>
      <c r="I81" s="37"/>
      <c r="J81" s="35"/>
      <c r="K81" s="38"/>
      <c r="W81" s="106"/>
    </row>
    <row r="82" spans="1:23">
      <c r="A82" s="11"/>
      <c r="B82" s="35"/>
      <c r="C82" s="35"/>
      <c r="D82" s="35"/>
      <c r="E82" s="35"/>
      <c r="F82" s="35"/>
      <c r="G82" s="36"/>
      <c r="H82" s="36"/>
      <c r="I82" s="37"/>
      <c r="J82" s="35"/>
      <c r="K82" s="38"/>
      <c r="W82" s="106"/>
    </row>
    <row r="83" spans="1:23">
      <c r="A83" s="11"/>
      <c r="B83" s="35"/>
      <c r="C83" s="35"/>
      <c r="D83" s="35"/>
      <c r="E83" s="35"/>
      <c r="F83" s="35"/>
      <c r="G83" s="36"/>
      <c r="H83" s="36"/>
      <c r="I83" s="37"/>
      <c r="J83" s="35"/>
      <c r="K83" s="38"/>
      <c r="W83" s="106"/>
    </row>
    <row r="84" spans="1:23">
      <c r="A84" s="11"/>
      <c r="B84" s="35"/>
      <c r="C84" s="35"/>
      <c r="D84" s="35"/>
      <c r="E84" s="35"/>
      <c r="F84" s="35"/>
      <c r="G84" s="36"/>
      <c r="H84" s="36"/>
      <c r="I84" s="37"/>
      <c r="J84" s="35"/>
      <c r="K84" s="38"/>
      <c r="W84" s="106"/>
    </row>
    <row r="85" spans="1:23">
      <c r="A85" s="11"/>
      <c r="B85" s="35"/>
      <c r="C85" s="35"/>
      <c r="D85" s="35"/>
      <c r="E85" s="35"/>
      <c r="F85" s="35"/>
      <c r="G85" s="36"/>
      <c r="H85" s="36"/>
      <c r="I85" s="37"/>
      <c r="J85" s="35"/>
      <c r="K85" s="38"/>
      <c r="W85" s="106"/>
    </row>
    <row r="86" spans="1:23">
      <c r="A86" s="11"/>
      <c r="B86" s="35"/>
      <c r="C86" s="35"/>
      <c r="D86" s="35"/>
      <c r="E86" s="35"/>
      <c r="F86" s="35"/>
      <c r="G86" s="36"/>
      <c r="H86" s="36"/>
      <c r="I86" s="37"/>
      <c r="J86" s="35"/>
      <c r="K86" s="38"/>
      <c r="W86" s="106"/>
    </row>
    <row r="87" spans="1:23">
      <c r="A87" s="11"/>
      <c r="B87" s="35"/>
      <c r="C87" s="35"/>
      <c r="D87" s="35"/>
      <c r="E87" s="35"/>
      <c r="F87" s="35"/>
      <c r="G87" s="36"/>
      <c r="H87" s="36"/>
      <c r="I87" s="37"/>
      <c r="J87" s="35"/>
      <c r="K87" s="38"/>
      <c r="W87" s="106"/>
    </row>
    <row r="88" spans="1:23">
      <c r="A88" s="11"/>
      <c r="B88" s="35"/>
      <c r="C88" s="35"/>
      <c r="D88" s="35"/>
      <c r="E88" s="35"/>
      <c r="F88" s="35"/>
      <c r="G88" s="36"/>
      <c r="H88" s="36"/>
      <c r="I88" s="37"/>
      <c r="J88" s="35"/>
      <c r="K88" s="38"/>
      <c r="W88" s="106"/>
    </row>
    <row r="89" spans="1:23">
      <c r="A89" s="11"/>
      <c r="B89" s="35"/>
      <c r="C89" s="35"/>
      <c r="D89" s="35"/>
      <c r="E89" s="35"/>
      <c r="F89" s="35"/>
      <c r="G89" s="36"/>
      <c r="H89" s="36"/>
      <c r="I89" s="37"/>
      <c r="J89" s="35"/>
      <c r="K89" s="38"/>
      <c r="W89" s="106"/>
    </row>
    <row r="90" spans="1:23">
      <c r="A90" s="11"/>
      <c r="B90" s="35"/>
      <c r="C90" s="35"/>
      <c r="D90" s="35"/>
      <c r="E90" s="35"/>
      <c r="F90" s="35"/>
      <c r="G90" s="36"/>
      <c r="H90" s="36"/>
      <c r="I90" s="37"/>
      <c r="J90" s="35"/>
      <c r="K90" s="38"/>
      <c r="W90" s="106"/>
    </row>
    <row r="91" spans="1:23">
      <c r="A91" s="11"/>
      <c r="B91" s="35"/>
      <c r="C91" s="35"/>
      <c r="D91" s="35"/>
      <c r="E91" s="35"/>
      <c r="F91" s="35"/>
      <c r="G91" s="36"/>
      <c r="H91" s="36"/>
      <c r="I91" s="37"/>
      <c r="J91" s="35"/>
      <c r="K91" s="38"/>
      <c r="W91" s="106"/>
    </row>
    <row r="92" spans="1:23">
      <c r="A92" s="11"/>
      <c r="B92" s="35"/>
      <c r="C92" s="35"/>
      <c r="D92" s="35"/>
      <c r="E92" s="35"/>
      <c r="F92" s="35"/>
      <c r="G92" s="36"/>
      <c r="H92" s="36"/>
      <c r="I92" s="37"/>
      <c r="J92" s="35"/>
      <c r="K92" s="38"/>
      <c r="W92" s="106"/>
    </row>
    <row r="93" spans="1:23">
      <c r="A93" s="11"/>
      <c r="B93" s="35"/>
      <c r="C93" s="35"/>
      <c r="D93" s="35"/>
      <c r="E93" s="35"/>
      <c r="F93" s="35"/>
      <c r="G93" s="36"/>
      <c r="H93" s="36"/>
      <c r="I93" s="37"/>
      <c r="J93" s="35"/>
      <c r="K93" s="38"/>
      <c r="W93" s="106"/>
    </row>
    <row r="94" spans="1:23">
      <c r="A94" s="11"/>
      <c r="B94" s="35"/>
      <c r="C94" s="35"/>
      <c r="D94" s="35"/>
      <c r="E94" s="35"/>
      <c r="F94" s="35"/>
      <c r="G94" s="36"/>
      <c r="H94" s="36"/>
      <c r="I94" s="37"/>
      <c r="J94" s="35"/>
      <c r="K94" s="38"/>
      <c r="W94" s="106"/>
    </row>
    <row r="95" spans="1:23">
      <c r="A95" s="11"/>
      <c r="B95" s="35"/>
      <c r="C95" s="35"/>
      <c r="D95" s="35"/>
      <c r="E95" s="35"/>
      <c r="F95" s="35"/>
      <c r="G95" s="36"/>
      <c r="H95" s="36"/>
      <c r="I95" s="37"/>
      <c r="J95" s="35"/>
      <c r="K95" s="38"/>
      <c r="W95" s="106"/>
    </row>
    <row r="96" spans="1:23">
      <c r="A96" s="11"/>
      <c r="B96" s="35"/>
      <c r="C96" s="35"/>
      <c r="D96" s="35"/>
      <c r="E96" s="35"/>
      <c r="F96" s="35"/>
      <c r="G96" s="36"/>
      <c r="H96" s="36"/>
      <c r="I96" s="37"/>
      <c r="J96" s="35"/>
      <c r="K96" s="38"/>
      <c r="W96" s="106"/>
    </row>
    <row r="97" spans="1:23">
      <c r="A97" s="11"/>
      <c r="B97" s="35"/>
      <c r="C97" s="35"/>
      <c r="D97" s="35"/>
      <c r="E97" s="35"/>
      <c r="F97" s="35"/>
      <c r="G97" s="36"/>
      <c r="H97" s="36"/>
      <c r="I97" s="37"/>
      <c r="J97" s="35"/>
      <c r="K97" s="38"/>
      <c r="W97" s="106"/>
    </row>
    <row r="98" spans="1:23">
      <c r="A98" s="11"/>
      <c r="B98" s="35"/>
      <c r="C98" s="35"/>
      <c r="D98" s="35"/>
      <c r="E98" s="35"/>
      <c r="F98" s="35"/>
      <c r="G98" s="36"/>
      <c r="H98" s="36"/>
      <c r="I98" s="37"/>
      <c r="J98" s="35"/>
      <c r="K98" s="38"/>
      <c r="W98" s="106"/>
    </row>
    <row r="99" spans="1:23">
      <c r="A99" s="11"/>
      <c r="B99" s="35"/>
      <c r="C99" s="35"/>
      <c r="D99" s="35"/>
      <c r="E99" s="35"/>
      <c r="F99" s="35"/>
      <c r="G99" s="36"/>
      <c r="H99" s="36"/>
      <c r="I99" s="37"/>
      <c r="J99" s="35"/>
      <c r="K99" s="38"/>
      <c r="W99" s="106"/>
    </row>
    <row r="100" spans="1:23">
      <c r="A100" s="11"/>
      <c r="B100" s="35"/>
      <c r="C100" s="35"/>
      <c r="D100" s="35"/>
      <c r="E100" s="35"/>
      <c r="F100" s="35"/>
      <c r="G100" s="36"/>
      <c r="H100" s="36"/>
      <c r="I100" s="37"/>
      <c r="J100" s="35"/>
      <c r="K100" s="38"/>
      <c r="W100" s="106"/>
    </row>
    <row r="101" spans="1:23">
      <c r="A101" s="11"/>
      <c r="B101" s="35"/>
      <c r="C101" s="35"/>
      <c r="D101" s="35"/>
      <c r="E101" s="35"/>
      <c r="F101" s="35"/>
      <c r="G101" s="36"/>
      <c r="H101" s="36"/>
      <c r="I101" s="37"/>
      <c r="J101" s="35"/>
      <c r="K101" s="38"/>
      <c r="W101" s="106"/>
    </row>
    <row r="102" spans="1:23">
      <c r="A102" s="11"/>
      <c r="B102" s="35"/>
      <c r="C102" s="35"/>
      <c r="D102" s="35"/>
      <c r="E102" s="35"/>
      <c r="F102" s="35"/>
      <c r="G102" s="36"/>
      <c r="H102" s="36"/>
      <c r="I102" s="37"/>
      <c r="J102" s="35"/>
      <c r="K102" s="38"/>
      <c r="W102" s="106"/>
    </row>
    <row r="103" spans="1:23">
      <c r="A103" s="11"/>
      <c r="B103" s="35"/>
      <c r="C103" s="35"/>
      <c r="D103" s="35"/>
      <c r="E103" s="35"/>
      <c r="F103" s="35"/>
      <c r="G103" s="36"/>
      <c r="H103" s="36"/>
      <c r="I103" s="37"/>
      <c r="J103" s="35"/>
      <c r="K103" s="38"/>
      <c r="W103" s="106"/>
    </row>
    <row r="104" spans="1:23">
      <c r="A104" s="11"/>
      <c r="B104" s="35"/>
      <c r="C104" s="35"/>
      <c r="D104" s="35"/>
      <c r="E104" s="35"/>
      <c r="F104" s="35"/>
      <c r="G104" s="36"/>
      <c r="H104" s="36"/>
      <c r="I104" s="37"/>
      <c r="J104" s="35"/>
      <c r="K104" s="38"/>
      <c r="W104" s="106"/>
    </row>
    <row r="105" spans="1:23">
      <c r="A105" s="11"/>
      <c r="B105" s="35"/>
      <c r="C105" s="35"/>
      <c r="D105" s="35"/>
      <c r="E105" s="35"/>
      <c r="F105" s="35"/>
      <c r="G105" s="36"/>
      <c r="H105" s="36"/>
      <c r="I105" s="37"/>
      <c r="J105" s="35"/>
      <c r="K105" s="38"/>
      <c r="W105" s="106"/>
    </row>
    <row r="106" spans="1:23">
      <c r="A106" s="11"/>
      <c r="B106" s="35"/>
      <c r="C106" s="35"/>
      <c r="D106" s="35"/>
      <c r="E106" s="35"/>
      <c r="F106" s="35"/>
      <c r="G106" s="36"/>
      <c r="H106" s="36"/>
      <c r="I106" s="37"/>
      <c r="J106" s="35"/>
      <c r="K106" s="38"/>
      <c r="W106" s="106"/>
    </row>
    <row r="107" spans="1:23">
      <c r="A107" s="11"/>
      <c r="B107" s="35"/>
      <c r="C107" s="35"/>
      <c r="D107" s="35"/>
      <c r="E107" s="35"/>
      <c r="F107" s="35"/>
      <c r="G107" s="36"/>
      <c r="H107" s="36"/>
      <c r="I107" s="37"/>
      <c r="J107" s="35"/>
      <c r="K107" s="38"/>
      <c r="W107" s="106"/>
    </row>
    <row r="108" spans="1:23">
      <c r="A108" s="11"/>
      <c r="B108" s="35"/>
      <c r="C108" s="35"/>
      <c r="D108" s="35"/>
      <c r="E108" s="35"/>
      <c r="F108" s="35"/>
      <c r="G108" s="36"/>
      <c r="H108" s="36"/>
      <c r="I108" s="37"/>
      <c r="J108" s="35"/>
      <c r="K108" s="38"/>
      <c r="W108" s="106"/>
    </row>
    <row r="109" spans="1:23">
      <c r="A109" s="11"/>
      <c r="B109" s="35"/>
      <c r="C109" s="35"/>
      <c r="D109" s="35"/>
      <c r="E109" s="35"/>
      <c r="F109" s="35"/>
      <c r="G109" s="36"/>
      <c r="H109" s="36"/>
      <c r="I109" s="37"/>
      <c r="J109" s="35"/>
      <c r="K109" s="38"/>
      <c r="W109" s="106"/>
    </row>
    <row r="110" spans="1:23">
      <c r="A110" s="11"/>
      <c r="B110" s="35"/>
      <c r="C110" s="35"/>
      <c r="D110" s="35"/>
      <c r="E110" s="35"/>
      <c r="F110" s="35"/>
      <c r="G110" s="36"/>
      <c r="H110" s="36"/>
      <c r="I110" s="37"/>
      <c r="J110" s="35"/>
      <c r="K110" s="38"/>
      <c r="W110" s="106"/>
    </row>
    <row r="111" spans="1:23">
      <c r="A111" s="11"/>
      <c r="B111" s="35"/>
      <c r="C111" s="35"/>
      <c r="D111" s="35"/>
      <c r="E111" s="35"/>
      <c r="F111" s="35"/>
      <c r="G111" s="36"/>
      <c r="H111" s="36"/>
      <c r="I111" s="37"/>
      <c r="J111" s="35"/>
      <c r="K111" s="38"/>
      <c r="W111" s="106"/>
    </row>
    <row r="112" spans="1:23">
      <c r="A112" s="11"/>
      <c r="W112" s="106"/>
    </row>
  </sheetData>
  <mergeCells count="1">
    <mergeCell ref="Q2:W2"/>
  </mergeCells>
  <pageMargins left="0.31496062992125984" right="0" top="0.74803149606299213" bottom="0.74803149606299213" header="0.31496062992125984" footer="0.31496062992125984"/>
  <pageSetup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S12" sqref="S12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100" t="s">
        <v>23</v>
      </c>
      <c r="B2" s="101"/>
      <c r="C2" s="101"/>
      <c r="D2" s="102"/>
    </row>
    <row r="3" spans="1:4" ht="26.45">
      <c r="A3" s="25" t="s">
        <v>36</v>
      </c>
      <c r="B3" s="18" t="s">
        <v>37</v>
      </c>
      <c r="C3" s="19" t="s">
        <v>38</v>
      </c>
      <c r="D3" s="26" t="s">
        <v>41</v>
      </c>
    </row>
    <row r="4" spans="1:4">
      <c r="A4" s="27"/>
      <c r="B4" s="24"/>
      <c r="C4" s="24"/>
      <c r="D4" s="28"/>
    </row>
    <row r="5" spans="1:4">
      <c r="A5" s="27"/>
      <c r="B5" s="24"/>
      <c r="C5" s="24"/>
      <c r="D5" s="29"/>
    </row>
    <row r="6" spans="1:4" ht="15" thickBot="1">
      <c r="A6" s="30"/>
      <c r="B6" s="31"/>
      <c r="C6" s="32"/>
      <c r="D6" s="33"/>
    </row>
  </sheetData>
  <mergeCells count="1">
    <mergeCell ref="A2:D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A2" sqref="A2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03"/>
      <c r="B2" s="103"/>
      <c r="C2" s="103"/>
      <c r="D2" s="103"/>
      <c r="G2" s="104"/>
      <c r="H2" s="104"/>
      <c r="I2" s="104"/>
      <c r="J2" s="104"/>
    </row>
    <row r="4" spans="1:10">
      <c r="A4" s="47"/>
      <c r="B4" s="48"/>
      <c r="C4" s="49"/>
      <c r="D4" s="56"/>
      <c r="F4" s="50"/>
      <c r="G4" s="50"/>
      <c r="H4" s="51"/>
      <c r="I4" s="52"/>
      <c r="J4" s="52"/>
    </row>
    <row r="5" spans="1:10">
      <c r="A5" s="54"/>
      <c r="B5" s="55"/>
      <c r="C5" s="55"/>
      <c r="D5" s="55"/>
      <c r="F5" s="53"/>
      <c r="G5" s="42"/>
      <c r="H5" s="20"/>
      <c r="I5" s="20"/>
      <c r="J5" s="44"/>
    </row>
    <row r="6" spans="1:10">
      <c r="A6" s="42"/>
      <c r="B6" s="55"/>
      <c r="C6" s="57"/>
      <c r="D6" s="55"/>
      <c r="F6" s="41"/>
      <c r="G6" s="42"/>
      <c r="H6" s="24"/>
      <c r="I6" s="24"/>
      <c r="J6" s="44"/>
    </row>
    <row r="7" spans="1:10">
      <c r="A7" s="42"/>
      <c r="B7" s="55"/>
      <c r="C7" s="55"/>
      <c r="D7" s="55"/>
      <c r="F7" s="41"/>
      <c r="G7" s="42"/>
      <c r="H7" s="24"/>
      <c r="I7" s="24"/>
      <c r="J7" s="44"/>
    </row>
    <row r="8" spans="1:10">
      <c r="A8" s="43"/>
      <c r="B8" s="45"/>
      <c r="C8" s="44"/>
      <c r="D8" s="44"/>
    </row>
    <row r="11" spans="1:10">
      <c r="A11" s="105"/>
      <c r="B11" s="105"/>
      <c r="C11" s="105"/>
      <c r="D11" s="105"/>
    </row>
    <row r="13" spans="1:10">
      <c r="A13" s="46"/>
      <c r="B13" s="46"/>
      <c r="C13" s="46"/>
    </row>
    <row r="14" spans="1:10">
      <c r="A14" s="23"/>
      <c r="B14" s="23"/>
      <c r="C14" s="23"/>
    </row>
    <row r="15" spans="1:10">
      <c r="A15" s="39"/>
      <c r="B15" s="40"/>
      <c r="C15" s="40"/>
    </row>
    <row r="16" spans="1:10">
      <c r="A16" s="23"/>
      <c r="B16" s="23"/>
      <c r="C16" s="23"/>
    </row>
    <row r="18" spans="1:2">
      <c r="A18" s="23"/>
      <c r="B18" s="23"/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CD906403-6D40-430C-B32F-9EEDAA28DF14}"/>
</file>

<file path=customXml/itemProps2.xml><?xml version="1.0" encoding="utf-8"?>
<ds:datastoreItem xmlns:ds="http://schemas.openxmlformats.org/officeDocument/2006/customXml" ds:itemID="{2A2A8CE7-A36B-4136-AD2F-3297D6504CD5}"/>
</file>

<file path=customXml/itemProps3.xml><?xml version="1.0" encoding="utf-8"?>
<ds:datastoreItem xmlns:ds="http://schemas.openxmlformats.org/officeDocument/2006/customXml" ds:itemID="{6C6F6E56-5A43-482E-AAF1-9EBA54300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2026-07-24T20:56:08Z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