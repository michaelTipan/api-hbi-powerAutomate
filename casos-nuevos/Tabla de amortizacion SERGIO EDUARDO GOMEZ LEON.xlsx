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ecolsacat.sharepoint.com/sites/OperacionesHBICapital/Documentos compartidos/INFORMACION CREDITOS-CLIENTES/SERGIO EDUARDO GOMEZ L/CREDITO #327/"/>
    </mc:Choice>
  </mc:AlternateContent>
  <xr:revisionPtr revIDLastSave="135" documentId="13_ncr:1_{AED71811-89CF-4A41-B139-E21660D6DCBA}" xr6:coauthVersionLast="47" xr6:coauthVersionMax="47" xr10:uidLastSave="{5023B760-0324-42D9-9E60-CC21EBDFE8D6}"/>
  <bookViews>
    <workbookView xWindow="-110" yWindow="-110" windowWidth="19420" windowHeight="10300" firstSheet="1" activeTab="1" xr2:uid="{0920E443-DC1E-47E3-8B6F-959661E6D6A8}"/>
  </bookViews>
  <sheets>
    <sheet name="TasaImplicita" sheetId="1" state="hidden" r:id="rId1"/>
    <sheet name="SERGIO EDUARDO GOMEZ LEON" sheetId="2" r:id="rId2"/>
    <sheet name="Hoja1" sheetId="3" state="hidden" r:id="rId3"/>
    <sheet name="Hoja2" sheetId="5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C4" i="2"/>
  <c r="O4" i="2" s="1"/>
  <c r="D5" i="2"/>
  <c r="AA9" i="2"/>
  <c r="V14" i="2"/>
  <c r="T14" i="2"/>
  <c r="V13" i="2"/>
  <c r="T13" i="2"/>
  <c r="V12" i="2"/>
  <c r="D4" i="2"/>
  <c r="F4" i="2"/>
  <c r="O5" i="2"/>
  <c r="V11" i="2"/>
  <c r="V10" i="2"/>
  <c r="V8" i="2"/>
  <c r="V9" i="2"/>
  <c r="V5" i="2"/>
  <c r="V6" i="2"/>
  <c r="V7" i="2"/>
  <c r="V4" i="2"/>
  <c r="T4" i="2"/>
  <c r="T5" i="2" s="1"/>
  <c r="T6" i="2" s="1"/>
  <c r="T7" i="2" s="1"/>
  <c r="T8" i="2" s="1"/>
  <c r="T9" i="2" s="1"/>
  <c r="T10" i="2" s="1"/>
  <c r="T11" i="2" s="1"/>
  <c r="T12" i="2" s="1"/>
  <c r="AB11" i="2"/>
  <c r="AC11" i="2"/>
  <c r="AD11" i="2"/>
  <c r="AE11" i="2"/>
  <c r="AF11" i="2"/>
  <c r="AG11" i="2"/>
  <c r="AH11" i="2"/>
  <c r="H4" i="2"/>
  <c r="F1" i="2"/>
  <c r="Z9" i="2" l="1"/>
  <c r="J7" i="5"/>
  <c r="J5" i="5"/>
  <c r="J6" i="5"/>
  <c r="B18" i="5"/>
  <c r="P4" i="2" l="1"/>
  <c r="Y9" i="2" s="1"/>
  <c r="Y11" i="2" s="1"/>
  <c r="B16" i="5"/>
  <c r="A16" i="5"/>
  <c r="A18" i="5" s="1"/>
  <c r="D7" i="5"/>
  <c r="D6" i="5"/>
  <c r="D5" i="5"/>
  <c r="C16" i="5" l="1"/>
  <c r="I4" i="2" l="1"/>
  <c r="C12" i="1" l="1"/>
  <c r="G5" i="1"/>
  <c r="G2" i="1"/>
  <c r="G1" i="1"/>
  <c r="B9" i="1"/>
  <c r="B7" i="1"/>
  <c r="A4" i="2" l="1"/>
  <c r="A5" i="2" s="1"/>
  <c r="H5" i="2" s="1"/>
  <c r="C11" i="1"/>
  <c r="B11" i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B132" i="1" s="1"/>
  <c r="K1" i="1"/>
  <c r="K5" i="1" s="1"/>
  <c r="B4" i="1"/>
  <c r="B5" i="1" s="1"/>
  <c r="B12" i="1" s="1"/>
  <c r="B13" i="1" s="1"/>
  <c r="C13" i="1" s="1"/>
  <c r="K4" i="2" l="1"/>
  <c r="F2" i="2"/>
  <c r="L5" i="2"/>
  <c r="M5" i="2"/>
  <c r="N5" i="2" s="1"/>
  <c r="A6" i="2"/>
  <c r="H6" i="2" s="1"/>
  <c r="K5" i="2"/>
  <c r="I5" i="2"/>
  <c r="C132" i="1"/>
  <c r="C14" i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B14" i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I6" i="2" l="1"/>
  <c r="E4" i="2"/>
  <c r="A7" i="2"/>
  <c r="H7" i="2" s="1"/>
  <c r="M6" i="2"/>
  <c r="N6" i="2" s="1"/>
  <c r="L6" i="2"/>
  <c r="K6" i="2"/>
  <c r="B10" i="1"/>
  <c r="K7" i="2" l="1"/>
  <c r="M7" i="2"/>
  <c r="I7" i="2"/>
  <c r="L7" i="2"/>
  <c r="A8" i="2"/>
  <c r="H8" i="2" s="1"/>
  <c r="B5" i="2" l="1"/>
  <c r="J4" i="2"/>
  <c r="N7" i="2"/>
  <c r="M8" i="2"/>
  <c r="A9" i="2"/>
  <c r="A10" i="2" s="1"/>
  <c r="K10" i="2" s="1"/>
  <c r="I8" i="2"/>
  <c r="L8" i="2"/>
  <c r="K8" i="2"/>
  <c r="C5" i="2" l="1"/>
  <c r="P5" i="2" s="1"/>
  <c r="Z10" i="2" s="1"/>
  <c r="F5" i="2"/>
  <c r="E5" i="2"/>
  <c r="J5" i="2"/>
  <c r="H9" i="2"/>
  <c r="H10" i="2" s="1"/>
  <c r="L9" i="2"/>
  <c r="L10" i="2" s="1"/>
  <c r="N8" i="2"/>
  <c r="A11" i="2"/>
  <c r="K9" i="2"/>
  <c r="M9" i="2"/>
  <c r="M10" i="2" s="1"/>
  <c r="Z11" i="2" l="1"/>
  <c r="H11" i="2"/>
  <c r="E6" i="2"/>
  <c r="L11" i="2"/>
  <c r="B6" i="2"/>
  <c r="C6" i="2" s="1"/>
  <c r="O6" i="2" s="1"/>
  <c r="P6" i="2" s="1"/>
  <c r="AA10" i="2" s="1"/>
  <c r="AA11" i="2" s="1"/>
  <c r="K11" i="2"/>
  <c r="M11" i="2"/>
  <c r="A12" i="2"/>
  <c r="A13" i="2" s="1"/>
  <c r="N9" i="2"/>
  <c r="N10" i="2" s="1"/>
  <c r="D6" i="2" l="1"/>
  <c r="H12" i="2"/>
  <c r="H13" i="2" s="1"/>
  <c r="I9" i="2"/>
  <c r="L12" i="2"/>
  <c r="L13" i="2" s="1"/>
  <c r="M12" i="2"/>
  <c r="M13" i="2" s="1"/>
  <c r="K12" i="2"/>
  <c r="N11" i="2"/>
  <c r="A14" i="2"/>
  <c r="K13" i="2"/>
  <c r="H14" i="2" l="1"/>
  <c r="N12" i="2"/>
  <c r="N13" i="2" s="1"/>
  <c r="M14" i="2"/>
  <c r="L14" i="2"/>
  <c r="A15" i="2"/>
  <c r="K14" i="2"/>
  <c r="A16" i="2" l="1"/>
  <c r="H15" i="2"/>
  <c r="N14" i="2"/>
  <c r="M15" i="2"/>
  <c r="L15" i="2"/>
  <c r="K15" i="2"/>
  <c r="M16" i="2" l="1"/>
  <c r="H16" i="2"/>
  <c r="I16" i="2" s="1"/>
  <c r="L16" i="2"/>
  <c r="A17" i="2"/>
  <c r="K16" i="2"/>
  <c r="N15" i="2"/>
  <c r="M17" i="2" l="1"/>
  <c r="L17" i="2"/>
  <c r="H17" i="2"/>
  <c r="I17" i="2" s="1"/>
  <c r="A18" i="2"/>
  <c r="K17" i="2"/>
  <c r="N16" i="2"/>
  <c r="F6" i="2"/>
  <c r="H18" i="2" l="1"/>
  <c r="I18" i="2" s="1"/>
  <c r="A19" i="2"/>
  <c r="M18" i="2"/>
  <c r="L18" i="2"/>
  <c r="K18" i="2"/>
  <c r="N17" i="2"/>
  <c r="J6" i="2"/>
  <c r="E7" i="2" s="1"/>
  <c r="B7" i="2"/>
  <c r="C7" i="2" s="1"/>
  <c r="L19" i="2" l="1"/>
  <c r="N18" i="2"/>
  <c r="K19" i="2"/>
  <c r="A20" i="2"/>
  <c r="H19" i="2"/>
  <c r="M19" i="2"/>
  <c r="D7" i="2"/>
  <c r="I10" i="2"/>
  <c r="N19" i="2" l="1"/>
  <c r="H20" i="2"/>
  <c r="I20" i="2" s="1"/>
  <c r="K20" i="2"/>
  <c r="A21" i="2"/>
  <c r="M20" i="2"/>
  <c r="I19" i="2"/>
  <c r="L20" i="2"/>
  <c r="F7" i="2"/>
  <c r="L21" i="2" l="1"/>
  <c r="N20" i="2"/>
  <c r="A22" i="2"/>
  <c r="H21" i="2"/>
  <c r="I21" i="2" s="1"/>
  <c r="M21" i="2"/>
  <c r="K21" i="2"/>
  <c r="B8" i="2"/>
  <c r="C8" i="2" s="1"/>
  <c r="J7" i="2"/>
  <c r="E8" i="2" s="1"/>
  <c r="N21" i="2" l="1"/>
  <c r="A23" i="2"/>
  <c r="H22" i="2"/>
  <c r="I22" i="2" s="1"/>
  <c r="M22" i="2"/>
  <c r="K22" i="2"/>
  <c r="L22" i="2"/>
  <c r="D8" i="2"/>
  <c r="I11" i="2"/>
  <c r="L23" i="2" l="1"/>
  <c r="N22" i="2"/>
  <c r="A24" i="2"/>
  <c r="H23" i="2"/>
  <c r="I23" i="2" s="1"/>
  <c r="M23" i="2"/>
  <c r="K23" i="2"/>
  <c r="F8" i="2"/>
  <c r="N23" i="2" l="1"/>
  <c r="L24" i="2"/>
  <c r="A25" i="2"/>
  <c r="H24" i="2"/>
  <c r="I24" i="2" s="1"/>
  <c r="M24" i="2"/>
  <c r="K24" i="2"/>
  <c r="B9" i="2"/>
  <c r="C9" i="2" s="1"/>
  <c r="J8" i="2"/>
  <c r="E9" i="2" s="1"/>
  <c r="N24" i="2" l="1"/>
  <c r="A26" i="2"/>
  <c r="H25" i="2"/>
  <c r="I25" i="2" s="1"/>
  <c r="M25" i="2"/>
  <c r="K25" i="2"/>
  <c r="L25" i="2"/>
  <c r="D9" i="2"/>
  <c r="F9" i="2" s="1"/>
  <c r="I12" i="2"/>
  <c r="N25" i="2" l="1"/>
  <c r="A27" i="2"/>
  <c r="H26" i="2"/>
  <c r="I26" i="2" s="1"/>
  <c r="L26" i="2"/>
  <c r="M26" i="2"/>
  <c r="N26" i="2" s="1"/>
  <c r="K26" i="2"/>
  <c r="J9" i="2"/>
  <c r="E10" i="2" s="1"/>
  <c r="B10" i="2"/>
  <c r="C10" i="2" s="1"/>
  <c r="A28" i="2" l="1"/>
  <c r="H27" i="2"/>
  <c r="H28" i="2" s="1"/>
  <c r="M27" i="2"/>
  <c r="N27" i="2" s="1"/>
  <c r="L27" i="2"/>
  <c r="K27" i="2"/>
  <c r="D10" i="2"/>
  <c r="F10" i="2" s="1"/>
  <c r="I13" i="2"/>
  <c r="L28" i="2" l="1"/>
  <c r="M28" i="2"/>
  <c r="N28" i="2" s="1"/>
  <c r="A29" i="2"/>
  <c r="K28" i="2"/>
  <c r="I28" i="2"/>
  <c r="H29" i="2"/>
  <c r="I27" i="2"/>
  <c r="J10" i="2"/>
  <c r="E11" i="2" s="1"/>
  <c r="B11" i="2"/>
  <c r="C11" i="2" s="1"/>
  <c r="M29" i="2" l="1"/>
  <c r="N29" i="2" s="1"/>
  <c r="A30" i="2"/>
  <c r="K29" i="2"/>
  <c r="L29" i="2"/>
  <c r="I29" i="2"/>
  <c r="H30" i="2"/>
  <c r="D11" i="2"/>
  <c r="I14" i="2"/>
  <c r="L30" i="2" l="1"/>
  <c r="M30" i="2"/>
  <c r="N30" i="2" s="1"/>
  <c r="A31" i="2"/>
  <c r="K30" i="2"/>
  <c r="I30" i="2"/>
  <c r="H31" i="2"/>
  <c r="F11" i="2"/>
  <c r="L31" i="2" l="1"/>
  <c r="M31" i="2"/>
  <c r="N31" i="2" s="1"/>
  <c r="A32" i="2"/>
  <c r="K31" i="2"/>
  <c r="I31" i="2"/>
  <c r="H32" i="2"/>
  <c r="J11" i="2"/>
  <c r="E12" i="2" s="1"/>
  <c r="B12" i="2"/>
  <c r="C12" i="2" s="1"/>
  <c r="L32" i="2" l="1"/>
  <c r="M32" i="2"/>
  <c r="N32" i="2" s="1"/>
  <c r="A33" i="2"/>
  <c r="K32" i="2"/>
  <c r="I32" i="2"/>
  <c r="H33" i="2"/>
  <c r="D12" i="2"/>
  <c r="F12" i="2" s="1"/>
  <c r="I15" i="2"/>
  <c r="L33" i="2" l="1"/>
  <c r="M33" i="2"/>
  <c r="N33" i="2"/>
  <c r="A34" i="2"/>
  <c r="K33" i="2"/>
  <c r="I33" i="2"/>
  <c r="H34" i="2"/>
  <c r="J12" i="2"/>
  <c r="E13" i="2" s="1"/>
  <c r="B13" i="2"/>
  <c r="C13" i="2" s="1"/>
  <c r="L34" i="2" l="1"/>
  <c r="M34" i="2"/>
  <c r="N34" i="2" s="1"/>
  <c r="A35" i="2"/>
  <c r="K34" i="2"/>
  <c r="I34" i="2"/>
  <c r="H35" i="2"/>
  <c r="D13" i="2"/>
  <c r="F13" i="2" s="1"/>
  <c r="A36" i="2" l="1"/>
  <c r="L35" i="2"/>
  <c r="M35" i="2"/>
  <c r="N35" i="2"/>
  <c r="K35" i="2"/>
  <c r="H36" i="2"/>
  <c r="I35" i="2"/>
  <c r="J13" i="2"/>
  <c r="E14" i="2" s="1"/>
  <c r="B14" i="2"/>
  <c r="C14" i="2" s="1"/>
  <c r="L36" i="2" l="1"/>
  <c r="M36" i="2"/>
  <c r="N36" i="2" s="1"/>
  <c r="A37" i="2"/>
  <c r="K36" i="2"/>
  <c r="H37" i="2"/>
  <c r="I36" i="2"/>
  <c r="D14" i="2"/>
  <c r="F14" i="2" s="1"/>
  <c r="M37" i="2" l="1"/>
  <c r="N37" i="2" s="1"/>
  <c r="L37" i="2"/>
  <c r="A38" i="2"/>
  <c r="K37" i="2"/>
  <c r="H38" i="2"/>
  <c r="I37" i="2"/>
  <c r="J14" i="2"/>
  <c r="E15" i="2" s="1"/>
  <c r="B15" i="2"/>
  <c r="C15" i="2" s="1"/>
  <c r="L38" i="2" l="1"/>
  <c r="A39" i="2"/>
  <c r="M38" i="2"/>
  <c r="N38" i="2" s="1"/>
  <c r="K38" i="2"/>
  <c r="H39" i="2"/>
  <c r="I38" i="2"/>
  <c r="D15" i="2"/>
  <c r="K39" i="2" l="1"/>
  <c r="A40" i="2"/>
  <c r="L39" i="2"/>
  <c r="M39" i="2"/>
  <c r="N39" i="2" s="1"/>
  <c r="I39" i="2"/>
  <c r="H40" i="2"/>
  <c r="F15" i="2"/>
  <c r="B16" i="2" s="1"/>
  <c r="L40" i="2" l="1"/>
  <c r="M40" i="2"/>
  <c r="N40" i="2"/>
  <c r="A41" i="2"/>
  <c r="K40" i="2"/>
  <c r="H41" i="2"/>
  <c r="I40" i="2"/>
  <c r="C16" i="2"/>
  <c r="J15" i="2"/>
  <c r="E16" i="2" s="1"/>
  <c r="L41" i="2" l="1"/>
  <c r="M41" i="2"/>
  <c r="N41" i="2" s="1"/>
  <c r="A42" i="2"/>
  <c r="K41" i="2"/>
  <c r="H42" i="2"/>
  <c r="I41" i="2"/>
  <c r="D16" i="2"/>
  <c r="F16" i="2" s="1"/>
  <c r="J16" i="2" s="1"/>
  <c r="E17" i="2" s="1"/>
  <c r="L42" i="2" l="1"/>
  <c r="M42" i="2"/>
  <c r="N42" i="2" s="1"/>
  <c r="A43" i="2"/>
  <c r="K42" i="2"/>
  <c r="I42" i="2"/>
  <c r="H43" i="2"/>
  <c r="B17" i="2"/>
  <c r="C17" i="2" s="1"/>
  <c r="D17" i="2" s="1"/>
  <c r="F17" i="2" s="1"/>
  <c r="L43" i="2" l="1"/>
  <c r="M43" i="2"/>
  <c r="N43" i="2" s="1"/>
  <c r="A44" i="2"/>
  <c r="K43" i="2"/>
  <c r="I43" i="2"/>
  <c r="H44" i="2"/>
  <c r="B18" i="2"/>
  <c r="C18" i="2" s="1"/>
  <c r="J17" i="2"/>
  <c r="E18" i="2" s="1"/>
  <c r="A45" i="2" l="1"/>
  <c r="L44" i="2"/>
  <c r="M44" i="2"/>
  <c r="N44" i="2"/>
  <c r="K44" i="2"/>
  <c r="I44" i="2"/>
  <c r="H45" i="2"/>
  <c r="D18" i="2"/>
  <c r="F18" i="2" s="1"/>
  <c r="L45" i="2" l="1"/>
  <c r="M45" i="2"/>
  <c r="N45" i="2" s="1"/>
  <c r="A46" i="2"/>
  <c r="K45" i="2"/>
  <c r="I45" i="2"/>
  <c r="H46" i="2"/>
  <c r="B19" i="2"/>
  <c r="C19" i="2" s="1"/>
  <c r="J18" i="2"/>
  <c r="E19" i="2" s="1"/>
  <c r="M46" i="2" l="1"/>
  <c r="N46" i="2" s="1"/>
  <c r="A47" i="2"/>
  <c r="K46" i="2"/>
  <c r="L46" i="2"/>
  <c r="I46" i="2"/>
  <c r="H47" i="2"/>
  <c r="D19" i="2"/>
  <c r="F19" i="2" s="1"/>
  <c r="L47" i="2" l="1"/>
  <c r="A48" i="2"/>
  <c r="M47" i="2"/>
  <c r="N47" i="2" s="1"/>
  <c r="K47" i="2"/>
  <c r="I47" i="2"/>
  <c r="H48" i="2"/>
  <c r="B20" i="2"/>
  <c r="C20" i="2" s="1"/>
  <c r="J19" i="2"/>
  <c r="E20" i="2" s="1"/>
  <c r="A49" i="2" l="1"/>
  <c r="M48" i="2"/>
  <c r="N48" i="2" s="1"/>
  <c r="L48" i="2"/>
  <c r="K48" i="2"/>
  <c r="I48" i="2"/>
  <c r="H49" i="2"/>
  <c r="D20" i="2"/>
  <c r="F20" i="2" s="1"/>
  <c r="A50" i="2" l="1"/>
  <c r="L49" i="2"/>
  <c r="M49" i="2"/>
  <c r="N49" i="2"/>
  <c r="K49" i="2"/>
  <c r="H50" i="2"/>
  <c r="I49" i="2"/>
  <c r="B21" i="2"/>
  <c r="C21" i="2" s="1"/>
  <c r="J20" i="2"/>
  <c r="E21" i="2" s="1"/>
  <c r="M50" i="2" l="1"/>
  <c r="N50" i="2" s="1"/>
  <c r="L50" i="2"/>
  <c r="A51" i="2"/>
  <c r="K50" i="2"/>
  <c r="I50" i="2"/>
  <c r="H51" i="2"/>
  <c r="I51" i="2" s="1"/>
  <c r="D21" i="2"/>
  <c r="F21" i="2" s="1"/>
  <c r="L51" i="2" l="1"/>
  <c r="M51" i="2"/>
  <c r="N51" i="2" s="1"/>
  <c r="K51" i="2"/>
  <c r="B22" i="2"/>
  <c r="C22" i="2" s="1"/>
  <c r="J21" i="2"/>
  <c r="E22" i="2" s="1"/>
  <c r="D22" i="2" l="1"/>
  <c r="F22" i="2" s="1"/>
  <c r="B23" i="2" l="1"/>
  <c r="C23" i="2" s="1"/>
  <c r="J22" i="2"/>
  <c r="E23" i="2" s="1"/>
  <c r="D23" i="2" l="1"/>
  <c r="F23" i="2" s="1"/>
  <c r="B24" i="2" l="1"/>
  <c r="C24" i="2" s="1"/>
  <c r="J23" i="2"/>
  <c r="E24" i="2" s="1"/>
  <c r="D24" i="2" l="1"/>
  <c r="F24" i="2" s="1"/>
  <c r="J24" i="2" l="1"/>
  <c r="E25" i="2" s="1"/>
  <c r="B25" i="2"/>
  <c r="C25" i="2" s="1"/>
  <c r="D25" i="2" l="1"/>
  <c r="F25" i="2" s="1"/>
  <c r="J25" i="2" s="1"/>
  <c r="E26" i="2" s="1"/>
  <c r="B26" i="2" l="1"/>
  <c r="C26" i="2" s="1"/>
  <c r="D26" i="2" s="1"/>
  <c r="F26" i="2" s="1"/>
  <c r="J26" i="2" l="1"/>
  <c r="E27" i="2" s="1"/>
  <c r="B27" i="2"/>
  <c r="C27" i="2" s="1"/>
  <c r="D27" i="2" l="1"/>
  <c r="F27" i="2" s="1"/>
  <c r="B28" i="2" s="1"/>
  <c r="C28" i="2" s="1"/>
  <c r="J27" i="2" l="1"/>
  <c r="E28" i="2" s="1"/>
  <c r="D28" i="2" s="1"/>
  <c r="F28" i="2" s="1"/>
  <c r="J28" i="2" l="1"/>
  <c r="E29" i="2" s="1"/>
  <c r="B29" i="2"/>
  <c r="C29" i="2" s="1"/>
  <c r="D29" i="2" l="1"/>
  <c r="F29" i="2" s="1"/>
  <c r="J29" i="2" l="1"/>
  <c r="E30" i="2" s="1"/>
  <c r="B30" i="2"/>
  <c r="C30" i="2" s="1"/>
  <c r="D30" i="2" l="1"/>
  <c r="F30" i="2" s="1"/>
  <c r="J30" i="2" l="1"/>
  <c r="E31" i="2" s="1"/>
  <c r="B31" i="2"/>
  <c r="C31" i="2" s="1"/>
  <c r="D31" i="2" l="1"/>
  <c r="F31" i="2" s="1"/>
  <c r="J31" i="2"/>
  <c r="E32" i="2" s="1"/>
  <c r="B32" i="2"/>
  <c r="C32" i="2" s="1"/>
  <c r="D32" i="2" l="1"/>
  <c r="F32" i="2" s="1"/>
  <c r="B33" i="2"/>
  <c r="C33" i="2" s="1"/>
  <c r="J32" i="2"/>
  <c r="E33" i="2" s="1"/>
  <c r="D33" i="2" l="1"/>
  <c r="F33" i="2" s="1"/>
  <c r="J33" i="2" l="1"/>
  <c r="E34" i="2" s="1"/>
  <c r="B34" i="2"/>
  <c r="C34" i="2" s="1"/>
  <c r="D34" i="2" l="1"/>
  <c r="F34" i="2" s="1"/>
  <c r="B35" i="2"/>
  <c r="C35" i="2" s="1"/>
  <c r="J34" i="2"/>
  <c r="E35" i="2" s="1"/>
  <c r="D35" i="2" s="1"/>
  <c r="F35" i="2" s="1"/>
  <c r="J35" i="2" l="1"/>
  <c r="E36" i="2" s="1"/>
  <c r="B36" i="2"/>
  <c r="C36" i="2" l="1"/>
  <c r="D36" i="2" s="1"/>
  <c r="F36" i="2" s="1"/>
  <c r="B37" i="2" l="1"/>
  <c r="C37" i="2" s="1"/>
  <c r="J36" i="2"/>
  <c r="E37" i="2" s="1"/>
  <c r="D37" i="2" s="1"/>
  <c r="F37" i="2" s="1"/>
  <c r="B38" i="2" l="1"/>
  <c r="C38" i="2" s="1"/>
  <c r="J37" i="2"/>
  <c r="E38" i="2" s="1"/>
  <c r="D38" i="2" s="1"/>
  <c r="F38" i="2" s="1"/>
  <c r="B39" i="2" l="1"/>
  <c r="C39" i="2" s="1"/>
  <c r="J38" i="2"/>
  <c r="E39" i="2" s="1"/>
  <c r="D39" i="2" s="1"/>
  <c r="F39" i="2" s="1"/>
  <c r="B40" i="2" l="1"/>
  <c r="C40" i="2" s="1"/>
  <c r="J39" i="2"/>
  <c r="E40" i="2" s="1"/>
  <c r="D40" i="2" s="1"/>
  <c r="F40" i="2" s="1"/>
  <c r="B41" i="2" l="1"/>
  <c r="C41" i="2" s="1"/>
  <c r="J40" i="2"/>
  <c r="E41" i="2" s="1"/>
  <c r="D41" i="2" l="1"/>
  <c r="F41" i="2" s="1"/>
  <c r="B42" i="2" l="1"/>
  <c r="C42" i="2" s="1"/>
  <c r="J41" i="2"/>
  <c r="E42" i="2" s="1"/>
  <c r="D42" i="2" l="1"/>
  <c r="F42" i="2" s="1"/>
  <c r="B43" i="2" l="1"/>
  <c r="C43" i="2" s="1"/>
  <c r="J42" i="2"/>
  <c r="E43" i="2" s="1"/>
  <c r="D43" i="2" l="1"/>
  <c r="F43" i="2" s="1"/>
  <c r="B44" i="2" l="1"/>
  <c r="C44" i="2" s="1"/>
  <c r="J43" i="2"/>
  <c r="E44" i="2" s="1"/>
  <c r="D44" i="2" l="1"/>
  <c r="F44" i="2" s="1"/>
  <c r="J44" i="2" l="1"/>
  <c r="E45" i="2" s="1"/>
  <c r="B45" i="2"/>
  <c r="C45" i="2" s="1"/>
  <c r="D45" i="2" l="1"/>
  <c r="F45" i="2" s="1"/>
  <c r="J45" i="2" l="1"/>
  <c r="E46" i="2" s="1"/>
  <c r="B46" i="2"/>
  <c r="C46" i="2" s="1"/>
  <c r="D46" i="2" l="1"/>
  <c r="F46" i="2" s="1"/>
  <c r="B47" i="2"/>
  <c r="C47" i="2" s="1"/>
  <c r="J46" i="2"/>
  <c r="E47" i="2" s="1"/>
  <c r="D47" i="2" s="1"/>
  <c r="F47" i="2" s="1"/>
  <c r="J47" i="2" l="1"/>
  <c r="E48" i="2" s="1"/>
  <c r="B48" i="2"/>
  <c r="C48" i="2" s="1"/>
  <c r="D48" i="2" l="1"/>
  <c r="F48" i="2" s="1"/>
  <c r="J48" i="2" l="1"/>
  <c r="E49" i="2" s="1"/>
  <c r="B49" i="2"/>
  <c r="C49" i="2" s="1"/>
  <c r="D49" i="2" l="1"/>
  <c r="F49" i="2" s="1"/>
  <c r="J49" i="2" s="1"/>
  <c r="E50" i="2" s="1"/>
  <c r="B50" i="2"/>
  <c r="C50" i="2" s="1"/>
  <c r="D50" i="2" l="1"/>
  <c r="F50" i="2" s="1"/>
  <c r="J50" i="2" l="1"/>
  <c r="E51" i="2" s="1"/>
  <c r="B51" i="2"/>
  <c r="C51" i="2" s="1"/>
  <c r="D51" i="2" l="1"/>
  <c r="F51" i="2" s="1"/>
  <c r="J5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tc={D1ED3313-A282-49A4-8B42-2A9154D91252}</author>
    <author>tc={8C5FF55F-78A8-4ECD-8578-5A2D550926B3}</author>
  </authors>
  <commentList>
    <comment ref="C5" authorId="0" shapeId="0" xr:uid="{D1ED3313-A282-49A4-8B42-2A9154D91252}">
      <text>
        <t>[Threaded comment]
Your version of Excel allows you to read this threaded comment; however, any edits to it will get removed if the file is opened in a newer version of Excel. Learn more: https://go.microsoft.com/fwlink/?linkid=870924
Comment:
    Abono 1.308</t>
      </text>
    </comment>
    <comment ref="U12" authorId="1" shapeId="0" xr:uid="{8C5FF55F-78A8-4ECD-8578-5A2D550926B3}">
      <text>
        <t>[Threaded comment]
Your version of Excel allows you to read this threaded comment; however, any edits to it will get removed if the file is opened in a newer version of Excel. Learn more: https://go.microsoft.com/fwlink/?linkid=870924
Comment:
    6671</t>
      </text>
    </comment>
  </commentList>
</comments>
</file>

<file path=xl/sharedStrings.xml><?xml version="1.0" encoding="utf-8"?>
<sst xmlns="http://schemas.openxmlformats.org/spreadsheetml/2006/main" count="65" uniqueCount="48">
  <si>
    <t>Valor Crédito</t>
  </si>
  <si>
    <t>Comisión Inicial</t>
  </si>
  <si>
    <t>GMF</t>
  </si>
  <si>
    <t>Tasa  IBR NMV</t>
  </si>
  <si>
    <t>Cobro Seguro</t>
  </si>
  <si>
    <t>Pago Seguro</t>
  </si>
  <si>
    <t>Spread</t>
  </si>
  <si>
    <t>Otros Cobros</t>
  </si>
  <si>
    <t>Otros Pagos</t>
  </si>
  <si>
    <t>Tasa Cliente - Inicial</t>
  </si>
  <si>
    <t>Varios</t>
  </si>
  <si>
    <t>Tasa Mes</t>
  </si>
  <si>
    <t>Plazo</t>
  </si>
  <si>
    <t>Cuota</t>
  </si>
  <si>
    <t>TIR Nominal</t>
  </si>
  <si>
    <t>TIR Implicita</t>
  </si>
  <si>
    <t>Capital inicial</t>
  </si>
  <si>
    <t>IBR inicial</t>
  </si>
  <si>
    <t>Tasa inicial</t>
  </si>
  <si>
    <t>FECHA DESEM</t>
  </si>
  <si>
    <t>Plazo Inicial</t>
  </si>
  <si>
    <t>Spread inicial</t>
  </si>
  <si>
    <t>Cuota inicio</t>
  </si>
  <si>
    <t>Aplicación del Pago</t>
  </si>
  <si>
    <t>Ki</t>
  </si>
  <si>
    <t>i</t>
  </si>
  <si>
    <t>k</t>
  </si>
  <si>
    <t>KF</t>
  </si>
  <si>
    <t>IBR +i</t>
  </si>
  <si>
    <t>Tasa + i</t>
  </si>
  <si>
    <t>}</t>
  </si>
  <si>
    <t>Plazo + i</t>
  </si>
  <si>
    <t>dia</t>
  </si>
  <si>
    <t>mes</t>
  </si>
  <si>
    <t>año</t>
  </si>
  <si>
    <t>Causac Inter Mes</t>
  </si>
  <si>
    <t>Fecha pago</t>
  </si>
  <si>
    <t xml:space="preserve">Valor intereses </t>
  </si>
  <si>
    <t>Abono a K</t>
  </si>
  <si>
    <t>Saldo a capital</t>
  </si>
  <si>
    <t>Intereses de mora</t>
  </si>
  <si>
    <t>Valor pagado cliente</t>
  </si>
  <si>
    <t>Saldos menores</t>
  </si>
  <si>
    <t xml:space="preserve">APLICACIÓN DEL PAGO </t>
  </si>
  <si>
    <t xml:space="preserve">EXTRACTO </t>
  </si>
  <si>
    <t>Cuota #</t>
  </si>
  <si>
    <t>Valor a pagar</t>
  </si>
  <si>
    <t>FACTURACION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</si>
</sst>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8">
    <xf numFmtId="0" fontId="0" fillId="0" borderId="0" xfId="0"/>
    <xf numFmtId="10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165" fontId="0" fillId="2" borderId="0" xfId="2" applyNumberFormat="1" applyFont="1" applyFill="1" applyProtection="1">
      <protection locked="0"/>
    </xf>
    <xf numFmtId="164" fontId="0" fillId="2" borderId="0" xfId="1" applyNumberFormat="1" applyFont="1" applyFill="1" applyProtection="1">
      <protection locked="0"/>
    </xf>
    <xf numFmtId="0" fontId="0" fillId="2" borderId="0" xfId="0" applyFill="1" applyProtection="1">
      <protection locked="0"/>
    </xf>
    <xf numFmtId="165" fontId="0" fillId="0" borderId="0" xfId="2" applyNumberFormat="1" applyFont="1" applyProtection="1"/>
    <xf numFmtId="164" fontId="0" fillId="0" borderId="0" xfId="1" applyNumberFormat="1" applyFont="1" applyProtection="1"/>
    <xf numFmtId="0" fontId="3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43" fontId="0" fillId="5" borderId="4" xfId="1" applyFont="1" applyFill="1" applyBorder="1"/>
    <xf numFmtId="14" fontId="0" fillId="0" borderId="0" xfId="0" applyNumberFormat="1"/>
    <xf numFmtId="43" fontId="0" fillId="0" borderId="0" xfId="1" applyFont="1"/>
    <xf numFmtId="43" fontId="0" fillId="0" borderId="0" xfId="0" applyNumberFormat="1"/>
    <xf numFmtId="43" fontId="0" fillId="0" borderId="4" xfId="1" applyFont="1" applyBorder="1"/>
    <xf numFmtId="0" fontId="3" fillId="5" borderId="6" xfId="0" applyFont="1" applyFill="1" applyBorder="1" applyAlignment="1">
      <alignment horizontal="center" vertical="top"/>
    </xf>
    <xf numFmtId="0" fontId="3" fillId="5" borderId="7" xfId="0" applyFont="1" applyFill="1" applyBorder="1" applyAlignment="1">
      <alignment horizontal="center" wrapText="1"/>
    </xf>
    <xf numFmtId="14" fontId="0" fillId="0" borderId="8" xfId="0" applyNumberFormat="1" applyBorder="1"/>
    <xf numFmtId="43" fontId="5" fillId="6" borderId="9" xfId="1" applyFont="1" applyFill="1" applyBorder="1"/>
    <xf numFmtId="43" fontId="5" fillId="6" borderId="9" xfId="0" applyNumberFormat="1" applyFont="1" applyFill="1" applyBorder="1"/>
    <xf numFmtId="0" fontId="0" fillId="0" borderId="10" xfId="0" applyBorder="1" applyAlignment="1">
      <alignment horizontal="center"/>
    </xf>
    <xf numFmtId="164" fontId="0" fillId="0" borderId="11" xfId="0" applyNumberFormat="1" applyBorder="1"/>
    <xf numFmtId="43" fontId="0" fillId="0" borderId="11" xfId="0" applyNumberFormat="1" applyBorder="1"/>
    <xf numFmtId="43" fontId="5" fillId="6" borderId="12" xfId="0" applyNumberFormat="1" applyFont="1" applyFill="1" applyBorder="1"/>
    <xf numFmtId="43" fontId="0" fillId="7" borderId="0" xfId="1" applyFont="1" applyFill="1"/>
    <xf numFmtId="0" fontId="0" fillId="0" borderId="13" xfId="0" applyBorder="1"/>
    <xf numFmtId="43" fontId="0" fillId="0" borderId="13" xfId="0" applyNumberFormat="1" applyBorder="1"/>
    <xf numFmtId="0" fontId="0" fillId="0" borderId="4" xfId="0" applyBorder="1" applyAlignment="1">
      <alignment horizontal="center"/>
    </xf>
    <xf numFmtId="14" fontId="0" fillId="0" borderId="4" xfId="0" applyNumberFormat="1" applyBorder="1"/>
    <xf numFmtId="0" fontId="0" fillId="0" borderId="4" xfId="0" applyBorder="1"/>
    <xf numFmtId="43" fontId="0" fillId="0" borderId="4" xfId="0" applyNumberFormat="1" applyBorder="1"/>
    <xf numFmtId="164" fontId="0" fillId="0" borderId="4" xfId="0" applyNumberFormat="1" applyBorder="1"/>
    <xf numFmtId="17" fontId="5" fillId="0" borderId="0" xfId="0" applyNumberFormat="1" applyFont="1" applyAlignment="1">
      <alignment horizontal="center"/>
    </xf>
    <xf numFmtId="0" fontId="3" fillId="5" borderId="4" xfId="0" applyFont="1" applyFill="1" applyBorder="1" applyAlignment="1">
      <alignment horizontal="center" vertical="top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top"/>
    </xf>
    <xf numFmtId="0" fontId="3" fillId="7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0" fillId="0" borderId="4" xfId="1" applyNumberFormat="1" applyFont="1" applyFill="1" applyBorder="1" applyAlignment="1">
      <alignment horizontal="center"/>
    </xf>
    <xf numFmtId="14" fontId="0" fillId="0" borderId="4" xfId="1" applyNumberFormat="1" applyFont="1" applyFill="1" applyBorder="1"/>
    <xf numFmtId="43" fontId="0" fillId="0" borderId="4" xfId="1" applyFont="1" applyFill="1" applyBorder="1"/>
    <xf numFmtId="0" fontId="3" fillId="5" borderId="4" xfId="0" applyFont="1" applyFill="1" applyBorder="1" applyAlignment="1">
      <alignment horizontal="center" wrapText="1"/>
    </xf>
    <xf numFmtId="43" fontId="5" fillId="3" borderId="4" xfId="1" applyFont="1" applyFill="1" applyBorder="1"/>
    <xf numFmtId="14" fontId="6" fillId="0" borderId="0" xfId="0" applyNumberFormat="1" applyFont="1"/>
    <xf numFmtId="165" fontId="1" fillId="0" borderId="0" xfId="2" applyNumberFormat="1" applyFont="1" applyFill="1" applyProtection="1">
      <protection locked="0"/>
    </xf>
    <xf numFmtId="0" fontId="6" fillId="0" borderId="0" xfId="0" applyFont="1"/>
    <xf numFmtId="43" fontId="0" fillId="3" borderId="4" xfId="1" applyFont="1" applyFill="1" applyBorder="1"/>
    <xf numFmtId="14" fontId="0" fillId="3" borderId="4" xfId="0" applyNumberFormat="1" applyFill="1" applyBorder="1"/>
    <xf numFmtId="43" fontId="7" fillId="3" borderId="4" xfId="1" applyFont="1" applyFill="1" applyBorder="1"/>
    <xf numFmtId="164" fontId="8" fillId="0" borderId="0" xfId="1" applyNumberFormat="1" applyFont="1" applyFill="1"/>
    <xf numFmtId="165" fontId="1" fillId="0" borderId="0" xfId="2" applyNumberFormat="1" applyFont="1" applyFill="1"/>
    <xf numFmtId="164" fontId="1" fillId="0" borderId="0" xfId="1" applyNumberFormat="1" applyFont="1" applyFill="1"/>
    <xf numFmtId="0" fontId="9" fillId="0" borderId="0" xfId="0" applyFont="1" applyAlignment="1">
      <alignment horizontal="center"/>
    </xf>
    <xf numFmtId="0" fontId="5" fillId="0" borderId="0" xfId="0" applyFont="1"/>
    <xf numFmtId="0" fontId="10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5" fillId="10" borderId="0" xfId="0" applyFont="1" applyFill="1" applyAlignment="1">
      <alignment horizontal="center"/>
    </xf>
    <xf numFmtId="164" fontId="11" fillId="10" borderId="0" xfId="1" applyNumberFormat="1" applyFont="1" applyFill="1"/>
    <xf numFmtId="165" fontId="5" fillId="10" borderId="0" xfId="2" applyNumberFormat="1" applyFont="1" applyFill="1" applyProtection="1">
      <protection locked="0"/>
    </xf>
    <xf numFmtId="165" fontId="5" fillId="10" borderId="0" xfId="2" applyNumberFormat="1" applyFont="1" applyFill="1"/>
    <xf numFmtId="164" fontId="5" fillId="10" borderId="0" xfId="1" applyNumberFormat="1" applyFont="1" applyFill="1"/>
    <xf numFmtId="0" fontId="2" fillId="10" borderId="0" xfId="0" applyFont="1" applyFill="1" applyAlignment="1">
      <alignment horizontal="center"/>
    </xf>
    <xf numFmtId="0" fontId="5" fillId="10" borderId="0" xfId="0" applyFont="1" applyFill="1"/>
    <xf numFmtId="14" fontId="0" fillId="3" borderId="3" xfId="1" applyNumberFormat="1" applyFont="1" applyFill="1" applyBorder="1"/>
    <xf numFmtId="43" fontId="0" fillId="3" borderId="3" xfId="1" applyFont="1" applyFill="1" applyBorder="1"/>
    <xf numFmtId="0" fontId="3" fillId="10" borderId="14" xfId="0" applyFont="1" applyFill="1" applyBorder="1" applyAlignment="1">
      <alignment horizontal="center" vertical="center"/>
    </xf>
    <xf numFmtId="0" fontId="3" fillId="10" borderId="15" xfId="0" applyFont="1" applyFill="1" applyBorder="1" applyAlignment="1">
      <alignment horizontal="center" vertical="center" wrapText="1"/>
    </xf>
    <xf numFmtId="0" fontId="3" fillId="10" borderId="15" xfId="0" applyFont="1" applyFill="1" applyBorder="1" applyAlignment="1">
      <alignment horizontal="center" vertical="center"/>
    </xf>
    <xf numFmtId="0" fontId="3" fillId="10" borderId="16" xfId="0" applyFont="1" applyFill="1" applyBorder="1" applyAlignment="1">
      <alignment horizontal="center" wrapText="1"/>
    </xf>
    <xf numFmtId="43" fontId="7" fillId="0" borderId="4" xfId="1" applyFont="1" applyBorder="1"/>
    <xf numFmtId="0" fontId="5" fillId="10" borderId="17" xfId="0" applyFont="1" applyFill="1" applyBorder="1" applyAlignment="1">
      <alignment horizontal="center"/>
    </xf>
    <xf numFmtId="0" fontId="5" fillId="10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vid Estupiñan" id="{07538F5C-8726-4DA2-8B31-C06581B13D38}" userId="S::david.estupinan_hbi.com.co#ext#@gecolsacat.onmicrosoft.com::bfb2fc63-0cdd-43c2-b79a-4f2ae73597d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" dT="2026-07-24T20:43:24.62" personId="{07538F5C-8726-4DA2-8B31-C06581B13D38}" id="{D1ED3313-A282-49A4-8B42-2A9154D91252}">
    <text>Abono 1.308</text>
  </threadedComment>
  <threadedComment ref="U12" dT="2026-07-24T20:45:39.70" personId="{07538F5C-8726-4DA2-8B31-C06581B13D38}" id="{8C5FF55F-78A8-4ECD-8578-5A2D550926B3}">
    <text>6671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2D2D-7BC5-42E0-8280-90B22499A59F}">
  <dimension ref="A1:K132"/>
  <sheetViews>
    <sheetView workbookViewId="0">
      <selection activeCell="B21" sqref="B21"/>
    </sheetView>
  </sheetViews>
  <sheetFormatPr defaultColWidth="11.42578125" defaultRowHeight="14.45"/>
  <cols>
    <col min="1" max="1" width="18.7109375" bestFit="1" customWidth="1"/>
    <col min="2" max="2" width="14.140625" bestFit="1" customWidth="1"/>
    <col min="3" max="3" width="11.140625" bestFit="1" customWidth="1"/>
    <col min="6" max="6" width="15" bestFit="1" customWidth="1"/>
    <col min="10" max="10" width="11.85546875" bestFit="1" customWidth="1"/>
  </cols>
  <sheetData>
    <row r="1" spans="1:11">
      <c r="A1" t="s">
        <v>0</v>
      </c>
      <c r="B1" s="2">
        <v>10000000</v>
      </c>
      <c r="F1" t="s">
        <v>1</v>
      </c>
      <c r="G1" s="4">
        <f>+B1*B8</f>
        <v>50000</v>
      </c>
      <c r="J1" t="s">
        <v>2</v>
      </c>
      <c r="K1" s="4">
        <f>0.4%*B1</f>
        <v>40000</v>
      </c>
    </row>
    <row r="2" spans="1:11">
      <c r="A2" t="s">
        <v>3</v>
      </c>
      <c r="B2" s="3">
        <v>9.5570000000000002E-2</v>
      </c>
      <c r="F2" t="s">
        <v>4</v>
      </c>
      <c r="G2" s="4">
        <f>0.8%*B1</f>
        <v>80000</v>
      </c>
      <c r="J2" t="s">
        <v>5</v>
      </c>
      <c r="K2" s="4">
        <v>80000</v>
      </c>
    </row>
    <row r="3" spans="1:11">
      <c r="A3" t="s">
        <v>6</v>
      </c>
      <c r="B3" s="3">
        <v>7.0000000000000007E-2</v>
      </c>
      <c r="F3" t="s">
        <v>7</v>
      </c>
      <c r="G3" s="4">
        <v>5000</v>
      </c>
      <c r="J3" t="s">
        <v>8</v>
      </c>
      <c r="K3" s="4">
        <v>3000</v>
      </c>
    </row>
    <row r="4" spans="1:11">
      <c r="A4" t="s">
        <v>9</v>
      </c>
      <c r="B4" s="3">
        <f>+B2+B3</f>
        <v>0.16556999999999999</v>
      </c>
      <c r="F4" t="s">
        <v>10</v>
      </c>
      <c r="G4" s="4">
        <v>1000</v>
      </c>
      <c r="J4" t="s">
        <v>10</v>
      </c>
      <c r="K4" s="4">
        <v>1000</v>
      </c>
    </row>
    <row r="5" spans="1:11">
      <c r="A5" t="s">
        <v>11</v>
      </c>
      <c r="B5" s="3">
        <f>+B4/12</f>
        <v>1.3797499999999999E-2</v>
      </c>
      <c r="G5" s="4">
        <f>SUM(G1:G4)</f>
        <v>136000</v>
      </c>
      <c r="K5" s="4">
        <f>SUM(K1:K4)</f>
        <v>124000</v>
      </c>
    </row>
    <row r="6" spans="1:11">
      <c r="A6" t="s">
        <v>12</v>
      </c>
      <c r="B6" s="2">
        <v>120</v>
      </c>
    </row>
    <row r="7" spans="1:11">
      <c r="A7" t="s">
        <v>13</v>
      </c>
      <c r="B7" s="2">
        <f>PMT(B5,B6,-B1,0)</f>
        <v>171000.69483453908</v>
      </c>
    </row>
    <row r="8" spans="1:11">
      <c r="A8" t="s">
        <v>1</v>
      </c>
      <c r="B8" s="1">
        <v>5.0000000000000001E-3</v>
      </c>
    </row>
    <row r="9" spans="1:11">
      <c r="A9" t="s">
        <v>14</v>
      </c>
      <c r="B9" s="3">
        <f>IRR(B11:B131,5%)</f>
        <v>1.3797499999999907E-2</v>
      </c>
    </row>
    <row r="10" spans="1:11">
      <c r="A10" t="s">
        <v>15</v>
      </c>
      <c r="B10" s="3">
        <f>IRR(C11:C131,5%)</f>
        <v>1.3824337313149915E-2</v>
      </c>
    </row>
    <row r="11" spans="1:11">
      <c r="A11" s="5"/>
      <c r="B11" s="6">
        <f>-B1</f>
        <v>-10000000</v>
      </c>
      <c r="C11" s="6">
        <f>+B11</f>
        <v>-10000000</v>
      </c>
    </row>
    <row r="12" spans="1:11">
      <c r="A12" s="7">
        <v>1</v>
      </c>
      <c r="B12" s="6">
        <f>+B7</f>
        <v>171000.69483453908</v>
      </c>
      <c r="C12" s="6">
        <f>+B12+G5-K5</f>
        <v>183000.69483453908</v>
      </c>
    </row>
    <row r="13" spans="1:11">
      <c r="A13" s="7">
        <f>IF(AND(A12&lt;$B$6)*(A12&lt;&gt;0),1+A12," ")</f>
        <v>2</v>
      </c>
      <c r="B13" s="6">
        <f>IF(A13&lt;&gt;" ",+B12*1," ")</f>
        <v>171000.69483453908</v>
      </c>
      <c r="C13" s="6">
        <f>+B13</f>
        <v>171000.69483453908</v>
      </c>
    </row>
    <row r="14" spans="1:11">
      <c r="A14" s="7">
        <f t="shared" ref="A14:A77" si="0">IF(AND(A13&lt;$B$6)*(A13&lt;&gt;0),1+A13," ")</f>
        <v>3</v>
      </c>
      <c r="B14" s="6">
        <f t="shared" ref="B14:B77" si="1">IF(A14&lt;&gt;" ",+B13*1," ")</f>
        <v>171000.69483453908</v>
      </c>
      <c r="C14" s="6">
        <f>IF(A14&lt;&gt;" ",+C13*1," ")</f>
        <v>171000.69483453908</v>
      </c>
    </row>
    <row r="15" spans="1:11">
      <c r="A15" s="7">
        <f t="shared" si="0"/>
        <v>4</v>
      </c>
      <c r="B15" s="6">
        <f t="shared" si="1"/>
        <v>171000.69483453908</v>
      </c>
      <c r="C15" s="6">
        <f t="shared" ref="C15:C78" si="2">IF(A15&lt;&gt;" ",+C14*1," ")</f>
        <v>171000.69483453908</v>
      </c>
    </row>
    <row r="16" spans="1:11">
      <c r="A16" s="7">
        <f t="shared" si="0"/>
        <v>5</v>
      </c>
      <c r="B16" s="6">
        <f t="shared" si="1"/>
        <v>171000.69483453908</v>
      </c>
      <c r="C16" s="6">
        <f t="shared" si="2"/>
        <v>171000.69483453908</v>
      </c>
    </row>
    <row r="17" spans="1:3">
      <c r="A17" s="7">
        <f t="shared" si="0"/>
        <v>6</v>
      </c>
      <c r="B17" s="6">
        <f t="shared" si="1"/>
        <v>171000.69483453908</v>
      </c>
      <c r="C17" s="6">
        <f t="shared" si="2"/>
        <v>171000.69483453908</v>
      </c>
    </row>
    <row r="18" spans="1:3">
      <c r="A18" s="7">
        <f t="shared" si="0"/>
        <v>7</v>
      </c>
      <c r="B18" s="6">
        <f t="shared" si="1"/>
        <v>171000.69483453908</v>
      </c>
      <c r="C18" s="6">
        <f t="shared" si="2"/>
        <v>171000.69483453908</v>
      </c>
    </row>
    <row r="19" spans="1:3">
      <c r="A19" s="7">
        <f t="shared" si="0"/>
        <v>8</v>
      </c>
      <c r="B19" s="6">
        <f t="shared" si="1"/>
        <v>171000.69483453908</v>
      </c>
      <c r="C19" s="6">
        <f t="shared" si="2"/>
        <v>171000.69483453908</v>
      </c>
    </row>
    <row r="20" spans="1:3">
      <c r="A20" s="7">
        <f t="shared" si="0"/>
        <v>9</v>
      </c>
      <c r="B20" s="6">
        <f t="shared" si="1"/>
        <v>171000.69483453908</v>
      </c>
      <c r="C20" s="6">
        <f t="shared" si="2"/>
        <v>171000.69483453908</v>
      </c>
    </row>
    <row r="21" spans="1:3">
      <c r="A21" s="7">
        <f t="shared" si="0"/>
        <v>10</v>
      </c>
      <c r="B21" s="6">
        <f t="shared" si="1"/>
        <v>171000.69483453908</v>
      </c>
      <c r="C21" s="6">
        <f t="shared" si="2"/>
        <v>171000.69483453908</v>
      </c>
    </row>
    <row r="22" spans="1:3">
      <c r="A22" s="7">
        <f t="shared" si="0"/>
        <v>11</v>
      </c>
      <c r="B22" s="6">
        <f t="shared" si="1"/>
        <v>171000.69483453908</v>
      </c>
      <c r="C22" s="6">
        <f t="shared" si="2"/>
        <v>171000.69483453908</v>
      </c>
    </row>
    <row r="23" spans="1:3">
      <c r="A23" s="7">
        <f t="shared" si="0"/>
        <v>12</v>
      </c>
      <c r="B23" s="6">
        <f t="shared" si="1"/>
        <v>171000.69483453908</v>
      </c>
      <c r="C23" s="6">
        <f t="shared" si="2"/>
        <v>171000.69483453908</v>
      </c>
    </row>
    <row r="24" spans="1:3">
      <c r="A24" s="7">
        <f t="shared" si="0"/>
        <v>13</v>
      </c>
      <c r="B24" s="6">
        <f t="shared" si="1"/>
        <v>171000.69483453908</v>
      </c>
      <c r="C24" s="6">
        <f t="shared" si="2"/>
        <v>171000.69483453908</v>
      </c>
    </row>
    <row r="25" spans="1:3">
      <c r="A25" s="7">
        <f t="shared" si="0"/>
        <v>14</v>
      </c>
      <c r="B25" s="6">
        <f t="shared" si="1"/>
        <v>171000.69483453908</v>
      </c>
      <c r="C25" s="6">
        <f t="shared" si="2"/>
        <v>171000.69483453908</v>
      </c>
    </row>
    <row r="26" spans="1:3">
      <c r="A26" s="7">
        <f t="shared" si="0"/>
        <v>15</v>
      </c>
      <c r="B26" s="6">
        <f t="shared" si="1"/>
        <v>171000.69483453908</v>
      </c>
      <c r="C26" s="6">
        <f t="shared" si="2"/>
        <v>171000.69483453908</v>
      </c>
    </row>
    <row r="27" spans="1:3">
      <c r="A27" s="7">
        <f t="shared" si="0"/>
        <v>16</v>
      </c>
      <c r="B27" s="6">
        <f t="shared" si="1"/>
        <v>171000.69483453908</v>
      </c>
      <c r="C27" s="6">
        <f t="shared" si="2"/>
        <v>171000.69483453908</v>
      </c>
    </row>
    <row r="28" spans="1:3">
      <c r="A28" s="7">
        <f t="shared" si="0"/>
        <v>17</v>
      </c>
      <c r="B28" s="6">
        <f t="shared" si="1"/>
        <v>171000.69483453908</v>
      </c>
      <c r="C28" s="6">
        <f t="shared" si="2"/>
        <v>171000.69483453908</v>
      </c>
    </row>
    <row r="29" spans="1:3">
      <c r="A29" s="7">
        <f t="shared" si="0"/>
        <v>18</v>
      </c>
      <c r="B29" s="6">
        <f t="shared" si="1"/>
        <v>171000.69483453908</v>
      </c>
      <c r="C29" s="6">
        <f t="shared" si="2"/>
        <v>171000.69483453908</v>
      </c>
    </row>
    <row r="30" spans="1:3">
      <c r="A30" s="7">
        <f t="shared" si="0"/>
        <v>19</v>
      </c>
      <c r="B30" s="6">
        <f t="shared" si="1"/>
        <v>171000.69483453908</v>
      </c>
      <c r="C30" s="6">
        <f t="shared" si="2"/>
        <v>171000.69483453908</v>
      </c>
    </row>
    <row r="31" spans="1:3">
      <c r="A31" s="7">
        <f t="shared" si="0"/>
        <v>20</v>
      </c>
      <c r="B31" s="6">
        <f t="shared" si="1"/>
        <v>171000.69483453908</v>
      </c>
      <c r="C31" s="6">
        <f t="shared" si="2"/>
        <v>171000.69483453908</v>
      </c>
    </row>
    <row r="32" spans="1:3">
      <c r="A32" s="7">
        <f t="shared" si="0"/>
        <v>21</v>
      </c>
      <c r="B32" s="6">
        <f t="shared" si="1"/>
        <v>171000.69483453908</v>
      </c>
      <c r="C32" s="6">
        <f t="shared" si="2"/>
        <v>171000.69483453908</v>
      </c>
    </row>
    <row r="33" spans="1:3">
      <c r="A33" s="7">
        <f t="shared" si="0"/>
        <v>22</v>
      </c>
      <c r="B33" s="6">
        <f t="shared" si="1"/>
        <v>171000.69483453908</v>
      </c>
      <c r="C33" s="6">
        <f t="shared" si="2"/>
        <v>171000.69483453908</v>
      </c>
    </row>
    <row r="34" spans="1:3">
      <c r="A34" s="7">
        <f t="shared" si="0"/>
        <v>23</v>
      </c>
      <c r="B34" s="6">
        <f t="shared" si="1"/>
        <v>171000.69483453908</v>
      </c>
      <c r="C34" s="6">
        <f t="shared" si="2"/>
        <v>171000.69483453908</v>
      </c>
    </row>
    <row r="35" spans="1:3">
      <c r="A35" s="7">
        <f t="shared" si="0"/>
        <v>24</v>
      </c>
      <c r="B35" s="6">
        <f t="shared" si="1"/>
        <v>171000.69483453908</v>
      </c>
      <c r="C35" s="6">
        <f t="shared" si="2"/>
        <v>171000.69483453908</v>
      </c>
    </row>
    <row r="36" spans="1:3">
      <c r="A36" s="7">
        <f t="shared" si="0"/>
        <v>25</v>
      </c>
      <c r="B36" s="6">
        <f t="shared" si="1"/>
        <v>171000.69483453908</v>
      </c>
      <c r="C36" s="6">
        <f t="shared" si="2"/>
        <v>171000.69483453908</v>
      </c>
    </row>
    <row r="37" spans="1:3">
      <c r="A37" s="7">
        <f t="shared" si="0"/>
        <v>26</v>
      </c>
      <c r="B37" s="6">
        <f t="shared" si="1"/>
        <v>171000.69483453908</v>
      </c>
      <c r="C37" s="6">
        <f t="shared" si="2"/>
        <v>171000.69483453908</v>
      </c>
    </row>
    <row r="38" spans="1:3">
      <c r="A38" s="7">
        <f t="shared" si="0"/>
        <v>27</v>
      </c>
      <c r="B38" s="6">
        <f t="shared" si="1"/>
        <v>171000.69483453908</v>
      </c>
      <c r="C38" s="6">
        <f t="shared" si="2"/>
        <v>171000.69483453908</v>
      </c>
    </row>
    <row r="39" spans="1:3">
      <c r="A39" s="7">
        <f t="shared" si="0"/>
        <v>28</v>
      </c>
      <c r="B39" s="6">
        <f t="shared" si="1"/>
        <v>171000.69483453908</v>
      </c>
      <c r="C39" s="6">
        <f t="shared" si="2"/>
        <v>171000.69483453908</v>
      </c>
    </row>
    <row r="40" spans="1:3">
      <c r="A40" s="7">
        <f t="shared" si="0"/>
        <v>29</v>
      </c>
      <c r="B40" s="6">
        <f t="shared" si="1"/>
        <v>171000.69483453908</v>
      </c>
      <c r="C40" s="6">
        <f t="shared" si="2"/>
        <v>171000.69483453908</v>
      </c>
    </row>
    <row r="41" spans="1:3">
      <c r="A41" s="7">
        <f t="shared" si="0"/>
        <v>30</v>
      </c>
      <c r="B41" s="6">
        <f t="shared" si="1"/>
        <v>171000.69483453908</v>
      </c>
      <c r="C41" s="6">
        <f t="shared" si="2"/>
        <v>171000.69483453908</v>
      </c>
    </row>
    <row r="42" spans="1:3">
      <c r="A42" s="7">
        <f t="shared" si="0"/>
        <v>31</v>
      </c>
      <c r="B42" s="6">
        <f t="shared" si="1"/>
        <v>171000.69483453908</v>
      </c>
      <c r="C42" s="6">
        <f t="shared" si="2"/>
        <v>171000.69483453908</v>
      </c>
    </row>
    <row r="43" spans="1:3">
      <c r="A43" s="7">
        <f t="shared" si="0"/>
        <v>32</v>
      </c>
      <c r="B43" s="6">
        <f t="shared" si="1"/>
        <v>171000.69483453908</v>
      </c>
      <c r="C43" s="6">
        <f t="shared" si="2"/>
        <v>171000.69483453908</v>
      </c>
    </row>
    <row r="44" spans="1:3">
      <c r="A44" s="7">
        <f t="shared" si="0"/>
        <v>33</v>
      </c>
      <c r="B44" s="6">
        <f t="shared" si="1"/>
        <v>171000.69483453908</v>
      </c>
      <c r="C44" s="6">
        <f t="shared" si="2"/>
        <v>171000.69483453908</v>
      </c>
    </row>
    <row r="45" spans="1:3">
      <c r="A45" s="7">
        <f t="shared" si="0"/>
        <v>34</v>
      </c>
      <c r="B45" s="6">
        <f t="shared" si="1"/>
        <v>171000.69483453908</v>
      </c>
      <c r="C45" s="6">
        <f t="shared" si="2"/>
        <v>171000.69483453908</v>
      </c>
    </row>
    <row r="46" spans="1:3">
      <c r="A46" s="7">
        <f t="shared" si="0"/>
        <v>35</v>
      </c>
      <c r="B46" s="6">
        <f t="shared" si="1"/>
        <v>171000.69483453908</v>
      </c>
      <c r="C46" s="6">
        <f t="shared" si="2"/>
        <v>171000.69483453908</v>
      </c>
    </row>
    <row r="47" spans="1:3">
      <c r="A47" s="7">
        <f t="shared" si="0"/>
        <v>36</v>
      </c>
      <c r="B47" s="6">
        <f t="shared" si="1"/>
        <v>171000.69483453908</v>
      </c>
      <c r="C47" s="6">
        <f t="shared" si="2"/>
        <v>171000.69483453908</v>
      </c>
    </row>
    <row r="48" spans="1:3">
      <c r="A48" s="7">
        <f t="shared" si="0"/>
        <v>37</v>
      </c>
      <c r="B48" s="6">
        <f t="shared" si="1"/>
        <v>171000.69483453908</v>
      </c>
      <c r="C48" s="6">
        <f t="shared" si="2"/>
        <v>171000.69483453908</v>
      </c>
    </row>
    <row r="49" spans="1:3">
      <c r="A49" s="7">
        <f t="shared" si="0"/>
        <v>38</v>
      </c>
      <c r="B49" s="6">
        <f t="shared" si="1"/>
        <v>171000.69483453908</v>
      </c>
      <c r="C49" s="6">
        <f t="shared" si="2"/>
        <v>171000.69483453908</v>
      </c>
    </row>
    <row r="50" spans="1:3">
      <c r="A50" s="7">
        <f t="shared" si="0"/>
        <v>39</v>
      </c>
      <c r="B50" s="6">
        <f t="shared" si="1"/>
        <v>171000.69483453908</v>
      </c>
      <c r="C50" s="6">
        <f t="shared" si="2"/>
        <v>171000.69483453908</v>
      </c>
    </row>
    <row r="51" spans="1:3">
      <c r="A51" s="7">
        <f t="shared" si="0"/>
        <v>40</v>
      </c>
      <c r="B51" s="6">
        <f t="shared" si="1"/>
        <v>171000.69483453908</v>
      </c>
      <c r="C51" s="6">
        <f t="shared" si="2"/>
        <v>171000.69483453908</v>
      </c>
    </row>
    <row r="52" spans="1:3">
      <c r="A52" s="7">
        <f t="shared" si="0"/>
        <v>41</v>
      </c>
      <c r="B52" s="6">
        <f t="shared" si="1"/>
        <v>171000.69483453908</v>
      </c>
      <c r="C52" s="6">
        <f t="shared" si="2"/>
        <v>171000.69483453908</v>
      </c>
    </row>
    <row r="53" spans="1:3">
      <c r="A53" s="7">
        <f t="shared" si="0"/>
        <v>42</v>
      </c>
      <c r="B53" s="6">
        <f t="shared" si="1"/>
        <v>171000.69483453908</v>
      </c>
      <c r="C53" s="6">
        <f t="shared" si="2"/>
        <v>171000.69483453908</v>
      </c>
    </row>
    <row r="54" spans="1:3">
      <c r="A54" s="7">
        <f t="shared" si="0"/>
        <v>43</v>
      </c>
      <c r="B54" s="6">
        <f t="shared" si="1"/>
        <v>171000.69483453908</v>
      </c>
      <c r="C54" s="6">
        <f t="shared" si="2"/>
        <v>171000.69483453908</v>
      </c>
    </row>
    <row r="55" spans="1:3">
      <c r="A55" s="7">
        <f t="shared" si="0"/>
        <v>44</v>
      </c>
      <c r="B55" s="6">
        <f t="shared" si="1"/>
        <v>171000.69483453908</v>
      </c>
      <c r="C55" s="6">
        <f t="shared" si="2"/>
        <v>171000.69483453908</v>
      </c>
    </row>
    <row r="56" spans="1:3">
      <c r="A56" s="7">
        <f t="shared" si="0"/>
        <v>45</v>
      </c>
      <c r="B56" s="6">
        <f t="shared" si="1"/>
        <v>171000.69483453908</v>
      </c>
      <c r="C56" s="6">
        <f t="shared" si="2"/>
        <v>171000.69483453908</v>
      </c>
    </row>
    <row r="57" spans="1:3">
      <c r="A57" s="7">
        <f t="shared" si="0"/>
        <v>46</v>
      </c>
      <c r="B57" s="6">
        <f t="shared" si="1"/>
        <v>171000.69483453908</v>
      </c>
      <c r="C57" s="6">
        <f t="shared" si="2"/>
        <v>171000.69483453908</v>
      </c>
    </row>
    <row r="58" spans="1:3">
      <c r="A58" s="7">
        <f t="shared" si="0"/>
        <v>47</v>
      </c>
      <c r="B58" s="6">
        <f t="shared" si="1"/>
        <v>171000.69483453908</v>
      </c>
      <c r="C58" s="6">
        <f t="shared" si="2"/>
        <v>171000.69483453908</v>
      </c>
    </row>
    <row r="59" spans="1:3">
      <c r="A59" s="7">
        <f t="shared" si="0"/>
        <v>48</v>
      </c>
      <c r="B59" s="6">
        <f t="shared" si="1"/>
        <v>171000.69483453908</v>
      </c>
      <c r="C59" s="6">
        <f t="shared" si="2"/>
        <v>171000.69483453908</v>
      </c>
    </row>
    <row r="60" spans="1:3">
      <c r="A60" s="7">
        <f t="shared" si="0"/>
        <v>49</v>
      </c>
      <c r="B60" s="6">
        <f t="shared" si="1"/>
        <v>171000.69483453908</v>
      </c>
      <c r="C60" s="6">
        <f t="shared" si="2"/>
        <v>171000.69483453908</v>
      </c>
    </row>
    <row r="61" spans="1:3">
      <c r="A61" s="7">
        <f t="shared" si="0"/>
        <v>50</v>
      </c>
      <c r="B61" s="6">
        <f t="shared" si="1"/>
        <v>171000.69483453908</v>
      </c>
      <c r="C61" s="6">
        <f t="shared" si="2"/>
        <v>171000.69483453908</v>
      </c>
    </row>
    <row r="62" spans="1:3">
      <c r="A62" s="7">
        <f t="shared" si="0"/>
        <v>51</v>
      </c>
      <c r="B62" s="6">
        <f t="shared" si="1"/>
        <v>171000.69483453908</v>
      </c>
      <c r="C62" s="6">
        <f t="shared" si="2"/>
        <v>171000.69483453908</v>
      </c>
    </row>
    <row r="63" spans="1:3">
      <c r="A63" s="7">
        <f t="shared" si="0"/>
        <v>52</v>
      </c>
      <c r="B63" s="6">
        <f t="shared" si="1"/>
        <v>171000.69483453908</v>
      </c>
      <c r="C63" s="6">
        <f t="shared" si="2"/>
        <v>171000.69483453908</v>
      </c>
    </row>
    <row r="64" spans="1:3">
      <c r="A64" s="7">
        <f t="shared" si="0"/>
        <v>53</v>
      </c>
      <c r="B64" s="6">
        <f t="shared" si="1"/>
        <v>171000.69483453908</v>
      </c>
      <c r="C64" s="6">
        <f t="shared" si="2"/>
        <v>171000.69483453908</v>
      </c>
    </row>
    <row r="65" spans="1:3">
      <c r="A65" s="7">
        <f t="shared" si="0"/>
        <v>54</v>
      </c>
      <c r="B65" s="6">
        <f t="shared" si="1"/>
        <v>171000.69483453908</v>
      </c>
      <c r="C65" s="6">
        <f t="shared" si="2"/>
        <v>171000.69483453908</v>
      </c>
    </row>
    <row r="66" spans="1:3">
      <c r="A66" s="7">
        <f t="shared" si="0"/>
        <v>55</v>
      </c>
      <c r="B66" s="6">
        <f t="shared" si="1"/>
        <v>171000.69483453908</v>
      </c>
      <c r="C66" s="6">
        <f t="shared" si="2"/>
        <v>171000.69483453908</v>
      </c>
    </row>
    <row r="67" spans="1:3">
      <c r="A67" s="7">
        <f t="shared" si="0"/>
        <v>56</v>
      </c>
      <c r="B67" s="6">
        <f t="shared" si="1"/>
        <v>171000.69483453908</v>
      </c>
      <c r="C67" s="6">
        <f t="shared" si="2"/>
        <v>171000.69483453908</v>
      </c>
    </row>
    <row r="68" spans="1:3">
      <c r="A68" s="7">
        <f t="shared" si="0"/>
        <v>57</v>
      </c>
      <c r="B68" s="6">
        <f t="shared" si="1"/>
        <v>171000.69483453908</v>
      </c>
      <c r="C68" s="6">
        <f t="shared" si="2"/>
        <v>171000.69483453908</v>
      </c>
    </row>
    <row r="69" spans="1:3">
      <c r="A69" s="7">
        <f t="shared" si="0"/>
        <v>58</v>
      </c>
      <c r="B69" s="6">
        <f t="shared" si="1"/>
        <v>171000.69483453908</v>
      </c>
      <c r="C69" s="6">
        <f t="shared" si="2"/>
        <v>171000.69483453908</v>
      </c>
    </row>
    <row r="70" spans="1:3">
      <c r="A70" s="7">
        <f t="shared" si="0"/>
        <v>59</v>
      </c>
      <c r="B70" s="6">
        <f t="shared" si="1"/>
        <v>171000.69483453908</v>
      </c>
      <c r="C70" s="6">
        <f t="shared" si="2"/>
        <v>171000.69483453908</v>
      </c>
    </row>
    <row r="71" spans="1:3">
      <c r="A71" s="7">
        <f t="shared" si="0"/>
        <v>60</v>
      </c>
      <c r="B71" s="6">
        <f t="shared" si="1"/>
        <v>171000.69483453908</v>
      </c>
      <c r="C71" s="6">
        <f t="shared" si="2"/>
        <v>171000.69483453908</v>
      </c>
    </row>
    <row r="72" spans="1:3">
      <c r="A72" s="7">
        <f t="shared" si="0"/>
        <v>61</v>
      </c>
      <c r="B72" s="6">
        <f t="shared" si="1"/>
        <v>171000.69483453908</v>
      </c>
      <c r="C72" s="6">
        <f t="shared" si="2"/>
        <v>171000.69483453908</v>
      </c>
    </row>
    <row r="73" spans="1:3">
      <c r="A73" s="7">
        <f t="shared" si="0"/>
        <v>62</v>
      </c>
      <c r="B73" s="6">
        <f t="shared" si="1"/>
        <v>171000.69483453908</v>
      </c>
      <c r="C73" s="6">
        <f t="shared" si="2"/>
        <v>171000.69483453908</v>
      </c>
    </row>
    <row r="74" spans="1:3">
      <c r="A74" s="7">
        <f t="shared" si="0"/>
        <v>63</v>
      </c>
      <c r="B74" s="6">
        <f t="shared" si="1"/>
        <v>171000.69483453908</v>
      </c>
      <c r="C74" s="6">
        <f t="shared" si="2"/>
        <v>171000.69483453908</v>
      </c>
    </row>
    <row r="75" spans="1:3">
      <c r="A75" s="7">
        <f t="shared" si="0"/>
        <v>64</v>
      </c>
      <c r="B75" s="6">
        <f t="shared" si="1"/>
        <v>171000.69483453908</v>
      </c>
      <c r="C75" s="6">
        <f t="shared" si="2"/>
        <v>171000.69483453908</v>
      </c>
    </row>
    <row r="76" spans="1:3">
      <c r="A76" s="7">
        <f t="shared" si="0"/>
        <v>65</v>
      </c>
      <c r="B76" s="6">
        <f t="shared" si="1"/>
        <v>171000.69483453908</v>
      </c>
      <c r="C76" s="6">
        <f t="shared" si="2"/>
        <v>171000.69483453908</v>
      </c>
    </row>
    <row r="77" spans="1:3">
      <c r="A77" s="7">
        <f t="shared" si="0"/>
        <v>66</v>
      </c>
      <c r="B77" s="6">
        <f t="shared" si="1"/>
        <v>171000.69483453908</v>
      </c>
      <c r="C77" s="6">
        <f t="shared" si="2"/>
        <v>171000.69483453908</v>
      </c>
    </row>
    <row r="78" spans="1:3">
      <c r="A78" s="7">
        <f t="shared" ref="A78:A132" si="3">IF(AND(A77&lt;$B$6)*(A77&lt;&gt;0),1+A77," ")</f>
        <v>67</v>
      </c>
      <c r="B78" s="6">
        <f t="shared" ref="B78:B132" si="4">IF(A78&lt;&gt;" ",+B77*1," ")</f>
        <v>171000.69483453908</v>
      </c>
      <c r="C78" s="6">
        <f t="shared" si="2"/>
        <v>171000.69483453908</v>
      </c>
    </row>
    <row r="79" spans="1:3">
      <c r="A79" s="7">
        <f t="shared" si="3"/>
        <v>68</v>
      </c>
      <c r="B79" s="6">
        <f t="shared" si="4"/>
        <v>171000.69483453908</v>
      </c>
      <c r="C79" s="6">
        <f t="shared" ref="C79:C132" si="5">IF(A79&lt;&gt;" ",+C78*1," ")</f>
        <v>171000.69483453908</v>
      </c>
    </row>
    <row r="80" spans="1:3">
      <c r="A80" s="7">
        <f t="shared" si="3"/>
        <v>69</v>
      </c>
      <c r="B80" s="6">
        <f t="shared" si="4"/>
        <v>171000.69483453908</v>
      </c>
      <c r="C80" s="6">
        <f t="shared" si="5"/>
        <v>171000.69483453908</v>
      </c>
    </row>
    <row r="81" spans="1:3">
      <c r="A81" s="7">
        <f t="shared" si="3"/>
        <v>70</v>
      </c>
      <c r="B81" s="6">
        <f t="shared" si="4"/>
        <v>171000.69483453908</v>
      </c>
      <c r="C81" s="6">
        <f t="shared" si="5"/>
        <v>171000.69483453908</v>
      </c>
    </row>
    <row r="82" spans="1:3">
      <c r="A82" s="7">
        <f t="shared" si="3"/>
        <v>71</v>
      </c>
      <c r="B82" s="6">
        <f t="shared" si="4"/>
        <v>171000.69483453908</v>
      </c>
      <c r="C82" s="6">
        <f t="shared" si="5"/>
        <v>171000.69483453908</v>
      </c>
    </row>
    <row r="83" spans="1:3">
      <c r="A83" s="7">
        <f t="shared" si="3"/>
        <v>72</v>
      </c>
      <c r="B83" s="6">
        <f t="shared" si="4"/>
        <v>171000.69483453908</v>
      </c>
      <c r="C83" s="6">
        <f t="shared" si="5"/>
        <v>171000.69483453908</v>
      </c>
    </row>
    <row r="84" spans="1:3">
      <c r="A84" s="7">
        <f t="shared" si="3"/>
        <v>73</v>
      </c>
      <c r="B84" s="6">
        <f t="shared" si="4"/>
        <v>171000.69483453908</v>
      </c>
      <c r="C84" s="6">
        <f t="shared" si="5"/>
        <v>171000.69483453908</v>
      </c>
    </row>
    <row r="85" spans="1:3">
      <c r="A85" s="7">
        <f t="shared" si="3"/>
        <v>74</v>
      </c>
      <c r="B85" s="6">
        <f t="shared" si="4"/>
        <v>171000.69483453908</v>
      </c>
      <c r="C85" s="6">
        <f t="shared" si="5"/>
        <v>171000.69483453908</v>
      </c>
    </row>
    <row r="86" spans="1:3">
      <c r="A86" s="7">
        <f t="shared" si="3"/>
        <v>75</v>
      </c>
      <c r="B86" s="6">
        <f t="shared" si="4"/>
        <v>171000.69483453908</v>
      </c>
      <c r="C86" s="6">
        <f t="shared" si="5"/>
        <v>171000.69483453908</v>
      </c>
    </row>
    <row r="87" spans="1:3">
      <c r="A87" s="7">
        <f t="shared" si="3"/>
        <v>76</v>
      </c>
      <c r="B87" s="6">
        <f t="shared" si="4"/>
        <v>171000.69483453908</v>
      </c>
      <c r="C87" s="6">
        <f t="shared" si="5"/>
        <v>171000.69483453908</v>
      </c>
    </row>
    <row r="88" spans="1:3">
      <c r="A88" s="7">
        <f t="shared" si="3"/>
        <v>77</v>
      </c>
      <c r="B88" s="6">
        <f t="shared" si="4"/>
        <v>171000.69483453908</v>
      </c>
      <c r="C88" s="6">
        <f t="shared" si="5"/>
        <v>171000.69483453908</v>
      </c>
    </row>
    <row r="89" spans="1:3">
      <c r="A89" s="7">
        <f t="shared" si="3"/>
        <v>78</v>
      </c>
      <c r="B89" s="6">
        <f t="shared" si="4"/>
        <v>171000.69483453908</v>
      </c>
      <c r="C89" s="6">
        <f t="shared" si="5"/>
        <v>171000.69483453908</v>
      </c>
    </row>
    <row r="90" spans="1:3">
      <c r="A90" s="7">
        <f t="shared" si="3"/>
        <v>79</v>
      </c>
      <c r="B90" s="6">
        <f t="shared" si="4"/>
        <v>171000.69483453908</v>
      </c>
      <c r="C90" s="6">
        <f t="shared" si="5"/>
        <v>171000.69483453908</v>
      </c>
    </row>
    <row r="91" spans="1:3">
      <c r="A91" s="7">
        <f t="shared" si="3"/>
        <v>80</v>
      </c>
      <c r="B91" s="6">
        <f t="shared" si="4"/>
        <v>171000.69483453908</v>
      </c>
      <c r="C91" s="6">
        <f t="shared" si="5"/>
        <v>171000.69483453908</v>
      </c>
    </row>
    <row r="92" spans="1:3">
      <c r="A92" s="7">
        <f t="shared" si="3"/>
        <v>81</v>
      </c>
      <c r="B92" s="6">
        <f t="shared" si="4"/>
        <v>171000.69483453908</v>
      </c>
      <c r="C92" s="6">
        <f t="shared" si="5"/>
        <v>171000.69483453908</v>
      </c>
    </row>
    <row r="93" spans="1:3">
      <c r="A93" s="7">
        <f t="shared" si="3"/>
        <v>82</v>
      </c>
      <c r="B93" s="6">
        <f t="shared" si="4"/>
        <v>171000.69483453908</v>
      </c>
      <c r="C93" s="6">
        <f t="shared" si="5"/>
        <v>171000.69483453908</v>
      </c>
    </row>
    <row r="94" spans="1:3">
      <c r="A94" s="7">
        <f t="shared" si="3"/>
        <v>83</v>
      </c>
      <c r="B94" s="6">
        <f t="shared" si="4"/>
        <v>171000.69483453908</v>
      </c>
      <c r="C94" s="6">
        <f t="shared" si="5"/>
        <v>171000.69483453908</v>
      </c>
    </row>
    <row r="95" spans="1:3">
      <c r="A95" s="7">
        <f t="shared" si="3"/>
        <v>84</v>
      </c>
      <c r="B95" s="6">
        <f t="shared" si="4"/>
        <v>171000.69483453908</v>
      </c>
      <c r="C95" s="6">
        <f t="shared" si="5"/>
        <v>171000.69483453908</v>
      </c>
    </row>
    <row r="96" spans="1:3">
      <c r="A96" s="7">
        <f t="shared" si="3"/>
        <v>85</v>
      </c>
      <c r="B96" s="6">
        <f t="shared" si="4"/>
        <v>171000.69483453908</v>
      </c>
      <c r="C96" s="6">
        <f t="shared" si="5"/>
        <v>171000.69483453908</v>
      </c>
    </row>
    <row r="97" spans="1:3">
      <c r="A97" s="7">
        <f t="shared" si="3"/>
        <v>86</v>
      </c>
      <c r="B97" s="6">
        <f t="shared" si="4"/>
        <v>171000.69483453908</v>
      </c>
      <c r="C97" s="6">
        <f t="shared" si="5"/>
        <v>171000.69483453908</v>
      </c>
    </row>
    <row r="98" spans="1:3">
      <c r="A98" s="7">
        <f t="shared" si="3"/>
        <v>87</v>
      </c>
      <c r="B98" s="6">
        <f t="shared" si="4"/>
        <v>171000.69483453908</v>
      </c>
      <c r="C98" s="6">
        <f t="shared" si="5"/>
        <v>171000.69483453908</v>
      </c>
    </row>
    <row r="99" spans="1:3">
      <c r="A99" s="7">
        <f t="shared" si="3"/>
        <v>88</v>
      </c>
      <c r="B99" s="6">
        <f t="shared" si="4"/>
        <v>171000.69483453908</v>
      </c>
      <c r="C99" s="6">
        <f t="shared" si="5"/>
        <v>171000.69483453908</v>
      </c>
    </row>
    <row r="100" spans="1:3">
      <c r="A100" s="7">
        <f t="shared" si="3"/>
        <v>89</v>
      </c>
      <c r="B100" s="6">
        <f t="shared" si="4"/>
        <v>171000.69483453908</v>
      </c>
      <c r="C100" s="6">
        <f t="shared" si="5"/>
        <v>171000.69483453908</v>
      </c>
    </row>
    <row r="101" spans="1:3">
      <c r="A101" s="7">
        <f t="shared" si="3"/>
        <v>90</v>
      </c>
      <c r="B101" s="6">
        <f t="shared" si="4"/>
        <v>171000.69483453908</v>
      </c>
      <c r="C101" s="6">
        <f t="shared" si="5"/>
        <v>171000.69483453908</v>
      </c>
    </row>
    <row r="102" spans="1:3">
      <c r="A102" s="7">
        <f t="shared" si="3"/>
        <v>91</v>
      </c>
      <c r="B102" s="6">
        <f t="shared" si="4"/>
        <v>171000.69483453908</v>
      </c>
      <c r="C102" s="6">
        <f t="shared" si="5"/>
        <v>171000.69483453908</v>
      </c>
    </row>
    <row r="103" spans="1:3">
      <c r="A103" s="7">
        <f t="shared" si="3"/>
        <v>92</v>
      </c>
      <c r="B103" s="6">
        <f t="shared" si="4"/>
        <v>171000.69483453908</v>
      </c>
      <c r="C103" s="6">
        <f t="shared" si="5"/>
        <v>171000.69483453908</v>
      </c>
    </row>
    <row r="104" spans="1:3">
      <c r="A104" s="7">
        <f t="shared" si="3"/>
        <v>93</v>
      </c>
      <c r="B104" s="6">
        <f t="shared" si="4"/>
        <v>171000.69483453908</v>
      </c>
      <c r="C104" s="6">
        <f t="shared" si="5"/>
        <v>171000.69483453908</v>
      </c>
    </row>
    <row r="105" spans="1:3">
      <c r="A105" s="7">
        <f t="shared" si="3"/>
        <v>94</v>
      </c>
      <c r="B105" s="6">
        <f t="shared" si="4"/>
        <v>171000.69483453908</v>
      </c>
      <c r="C105" s="6">
        <f t="shared" si="5"/>
        <v>171000.69483453908</v>
      </c>
    </row>
    <row r="106" spans="1:3">
      <c r="A106" s="7">
        <f t="shared" si="3"/>
        <v>95</v>
      </c>
      <c r="B106" s="6">
        <f t="shared" si="4"/>
        <v>171000.69483453908</v>
      </c>
      <c r="C106" s="6">
        <f t="shared" si="5"/>
        <v>171000.69483453908</v>
      </c>
    </row>
    <row r="107" spans="1:3">
      <c r="A107" s="7">
        <f t="shared" si="3"/>
        <v>96</v>
      </c>
      <c r="B107" s="6">
        <f t="shared" si="4"/>
        <v>171000.69483453908</v>
      </c>
      <c r="C107" s="6">
        <f t="shared" si="5"/>
        <v>171000.69483453908</v>
      </c>
    </row>
    <row r="108" spans="1:3">
      <c r="A108" s="7">
        <f t="shared" si="3"/>
        <v>97</v>
      </c>
      <c r="B108" s="6">
        <f t="shared" si="4"/>
        <v>171000.69483453908</v>
      </c>
      <c r="C108" s="6">
        <f t="shared" si="5"/>
        <v>171000.69483453908</v>
      </c>
    </row>
    <row r="109" spans="1:3">
      <c r="A109" s="7">
        <f t="shared" si="3"/>
        <v>98</v>
      </c>
      <c r="B109" s="6">
        <f t="shared" si="4"/>
        <v>171000.69483453908</v>
      </c>
      <c r="C109" s="6">
        <f t="shared" si="5"/>
        <v>171000.69483453908</v>
      </c>
    </row>
    <row r="110" spans="1:3">
      <c r="A110" s="7">
        <f t="shared" si="3"/>
        <v>99</v>
      </c>
      <c r="B110" s="6">
        <f t="shared" si="4"/>
        <v>171000.69483453908</v>
      </c>
      <c r="C110" s="6">
        <f t="shared" si="5"/>
        <v>171000.69483453908</v>
      </c>
    </row>
    <row r="111" spans="1:3">
      <c r="A111" s="7">
        <f t="shared" si="3"/>
        <v>100</v>
      </c>
      <c r="B111" s="6">
        <f t="shared" si="4"/>
        <v>171000.69483453908</v>
      </c>
      <c r="C111" s="6">
        <f t="shared" si="5"/>
        <v>171000.69483453908</v>
      </c>
    </row>
    <row r="112" spans="1:3">
      <c r="A112" s="7">
        <f t="shared" si="3"/>
        <v>101</v>
      </c>
      <c r="B112" s="6">
        <f t="shared" si="4"/>
        <v>171000.69483453908</v>
      </c>
      <c r="C112" s="6">
        <f t="shared" si="5"/>
        <v>171000.69483453908</v>
      </c>
    </row>
    <row r="113" spans="1:3">
      <c r="A113" s="7">
        <f t="shared" si="3"/>
        <v>102</v>
      </c>
      <c r="B113" s="6">
        <f t="shared" si="4"/>
        <v>171000.69483453908</v>
      </c>
      <c r="C113" s="6">
        <f t="shared" si="5"/>
        <v>171000.69483453908</v>
      </c>
    </row>
    <row r="114" spans="1:3">
      <c r="A114" s="7">
        <f t="shared" si="3"/>
        <v>103</v>
      </c>
      <c r="B114" s="6">
        <f t="shared" si="4"/>
        <v>171000.69483453908</v>
      </c>
      <c r="C114" s="6">
        <f t="shared" si="5"/>
        <v>171000.69483453908</v>
      </c>
    </row>
    <row r="115" spans="1:3">
      <c r="A115" s="7">
        <f t="shared" si="3"/>
        <v>104</v>
      </c>
      <c r="B115" s="6">
        <f t="shared" si="4"/>
        <v>171000.69483453908</v>
      </c>
      <c r="C115" s="6">
        <f t="shared" si="5"/>
        <v>171000.69483453908</v>
      </c>
    </row>
    <row r="116" spans="1:3">
      <c r="A116" s="7">
        <f t="shared" si="3"/>
        <v>105</v>
      </c>
      <c r="B116" s="6">
        <f t="shared" si="4"/>
        <v>171000.69483453908</v>
      </c>
      <c r="C116" s="6">
        <f t="shared" si="5"/>
        <v>171000.69483453908</v>
      </c>
    </row>
    <row r="117" spans="1:3">
      <c r="A117" s="7">
        <f t="shared" si="3"/>
        <v>106</v>
      </c>
      <c r="B117" s="6">
        <f t="shared" si="4"/>
        <v>171000.69483453908</v>
      </c>
      <c r="C117" s="6">
        <f t="shared" si="5"/>
        <v>171000.69483453908</v>
      </c>
    </row>
    <row r="118" spans="1:3">
      <c r="A118" s="7">
        <f t="shared" si="3"/>
        <v>107</v>
      </c>
      <c r="B118" s="6">
        <f t="shared" si="4"/>
        <v>171000.69483453908</v>
      </c>
      <c r="C118" s="6">
        <f t="shared" si="5"/>
        <v>171000.69483453908</v>
      </c>
    </row>
    <row r="119" spans="1:3">
      <c r="A119" s="7">
        <f t="shared" si="3"/>
        <v>108</v>
      </c>
      <c r="B119" s="6">
        <f t="shared" si="4"/>
        <v>171000.69483453908</v>
      </c>
      <c r="C119" s="6">
        <f t="shared" si="5"/>
        <v>171000.69483453908</v>
      </c>
    </row>
    <row r="120" spans="1:3">
      <c r="A120" s="7">
        <f t="shared" si="3"/>
        <v>109</v>
      </c>
      <c r="B120" s="6">
        <f t="shared" si="4"/>
        <v>171000.69483453908</v>
      </c>
      <c r="C120" s="6">
        <f t="shared" si="5"/>
        <v>171000.69483453908</v>
      </c>
    </row>
    <row r="121" spans="1:3">
      <c r="A121" s="7">
        <f t="shared" si="3"/>
        <v>110</v>
      </c>
      <c r="B121" s="6">
        <f t="shared" si="4"/>
        <v>171000.69483453908</v>
      </c>
      <c r="C121" s="6">
        <f t="shared" si="5"/>
        <v>171000.69483453908</v>
      </c>
    </row>
    <row r="122" spans="1:3">
      <c r="A122" s="7">
        <f t="shared" si="3"/>
        <v>111</v>
      </c>
      <c r="B122" s="6">
        <f t="shared" si="4"/>
        <v>171000.69483453908</v>
      </c>
      <c r="C122" s="6">
        <f t="shared" si="5"/>
        <v>171000.69483453908</v>
      </c>
    </row>
    <row r="123" spans="1:3">
      <c r="A123" s="7">
        <f t="shared" si="3"/>
        <v>112</v>
      </c>
      <c r="B123" s="6">
        <f t="shared" si="4"/>
        <v>171000.69483453908</v>
      </c>
      <c r="C123" s="6">
        <f t="shared" si="5"/>
        <v>171000.69483453908</v>
      </c>
    </row>
    <row r="124" spans="1:3">
      <c r="A124" s="7">
        <f t="shared" si="3"/>
        <v>113</v>
      </c>
      <c r="B124" s="6">
        <f t="shared" si="4"/>
        <v>171000.69483453908</v>
      </c>
      <c r="C124" s="6">
        <f t="shared" si="5"/>
        <v>171000.69483453908</v>
      </c>
    </row>
    <row r="125" spans="1:3">
      <c r="A125" s="7">
        <f t="shared" si="3"/>
        <v>114</v>
      </c>
      <c r="B125" s="6">
        <f t="shared" si="4"/>
        <v>171000.69483453908</v>
      </c>
      <c r="C125" s="6">
        <f t="shared" si="5"/>
        <v>171000.69483453908</v>
      </c>
    </row>
    <row r="126" spans="1:3">
      <c r="A126" s="7">
        <f t="shared" si="3"/>
        <v>115</v>
      </c>
      <c r="B126" s="6">
        <f t="shared" si="4"/>
        <v>171000.69483453908</v>
      </c>
      <c r="C126" s="6">
        <f t="shared" si="5"/>
        <v>171000.69483453908</v>
      </c>
    </row>
    <row r="127" spans="1:3">
      <c r="A127" s="7">
        <f t="shared" si="3"/>
        <v>116</v>
      </c>
      <c r="B127" s="6">
        <f t="shared" si="4"/>
        <v>171000.69483453908</v>
      </c>
      <c r="C127" s="6">
        <f t="shared" si="5"/>
        <v>171000.69483453908</v>
      </c>
    </row>
    <row r="128" spans="1:3">
      <c r="A128" s="7">
        <f t="shared" si="3"/>
        <v>117</v>
      </c>
      <c r="B128" s="6">
        <f t="shared" si="4"/>
        <v>171000.69483453908</v>
      </c>
      <c r="C128" s="6">
        <f t="shared" si="5"/>
        <v>171000.69483453908</v>
      </c>
    </row>
    <row r="129" spans="1:3">
      <c r="A129" s="7">
        <f t="shared" si="3"/>
        <v>118</v>
      </c>
      <c r="B129" s="6">
        <f t="shared" si="4"/>
        <v>171000.69483453908</v>
      </c>
      <c r="C129" s="6">
        <f t="shared" si="5"/>
        <v>171000.69483453908</v>
      </c>
    </row>
    <row r="130" spans="1:3">
      <c r="A130" s="7">
        <f t="shared" si="3"/>
        <v>119</v>
      </c>
      <c r="B130" s="6">
        <f t="shared" si="4"/>
        <v>171000.69483453908</v>
      </c>
      <c r="C130" s="6">
        <f t="shared" si="5"/>
        <v>171000.69483453908</v>
      </c>
    </row>
    <row r="131" spans="1:3">
      <c r="A131" s="7">
        <f t="shared" si="3"/>
        <v>120</v>
      </c>
      <c r="B131" s="6">
        <f t="shared" si="4"/>
        <v>171000.69483453908</v>
      </c>
      <c r="C131" s="6">
        <f t="shared" si="5"/>
        <v>171000.69483453908</v>
      </c>
    </row>
    <row r="132" spans="1:3">
      <c r="A132" s="7" t="str">
        <f t="shared" si="3"/>
        <v xml:space="preserve"> </v>
      </c>
      <c r="B132" s="6" t="str">
        <f t="shared" si="4"/>
        <v xml:space="preserve"> </v>
      </c>
      <c r="C132" s="6" t="str">
        <f t="shared" si="5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C865-5C16-4C76-BC6B-21BC7364AB1F}">
  <dimension ref="A1:AI51"/>
  <sheetViews>
    <sheetView tabSelected="1" topLeftCell="O1" zoomScaleNormal="100" workbookViewId="0">
      <pane ySplit="3" topLeftCell="J4" activePane="bottomLeft" state="frozen"/>
      <selection pane="bottomLeft" activeCell="Z15" sqref="Z15:Z17"/>
    </sheetView>
  </sheetViews>
  <sheetFormatPr defaultColWidth="11.42578125" defaultRowHeight="14.45"/>
  <cols>
    <col min="1" max="1" width="6.85546875" customWidth="1"/>
    <col min="2" max="2" width="14.140625" bestFit="1" customWidth="1"/>
    <col min="3" max="5" width="12.140625" bestFit="1" customWidth="1"/>
    <col min="6" max="6" width="14.140625" bestFit="1" customWidth="1"/>
    <col min="7" max="7" width="12.140625" customWidth="1"/>
    <col min="8" max="8" width="10.42578125" customWidth="1"/>
    <col min="9" max="9" width="9.7109375" bestFit="1" customWidth="1"/>
    <col min="10" max="10" width="12.140625" customWidth="1"/>
    <col min="11" max="11" width="8.28515625" customWidth="1"/>
    <col min="12" max="12" width="3.28515625" bestFit="1" customWidth="1"/>
    <col min="13" max="13" width="4.28515625" bestFit="1" customWidth="1"/>
    <col min="14" max="14" width="5" bestFit="1" customWidth="1"/>
    <col min="15" max="15" width="14.42578125" customWidth="1"/>
    <col min="16" max="16" width="14.140625" bestFit="1" customWidth="1"/>
    <col min="17" max="17" width="17.28515625" bestFit="1" customWidth="1"/>
    <col min="18" max="19" width="18.85546875" bestFit="1" customWidth="1"/>
    <col min="20" max="21" width="16.28515625" customWidth="1"/>
    <col min="22" max="22" width="17" bestFit="1" customWidth="1"/>
    <col min="23" max="23" width="14.5703125" customWidth="1"/>
    <col min="24" max="24" width="13.140625" customWidth="1"/>
    <col min="25" max="26" width="14.42578125" customWidth="1"/>
    <col min="27" max="28" width="13.28515625" bestFit="1" customWidth="1"/>
  </cols>
  <sheetData>
    <row r="1" spans="1:35">
      <c r="A1" s="9" t="s">
        <v>16</v>
      </c>
      <c r="B1" s="12">
        <v>300334497</v>
      </c>
      <c r="C1" s="9" t="s">
        <v>17</v>
      </c>
      <c r="D1" s="11">
        <v>0.10858</v>
      </c>
      <c r="E1" s="9" t="s">
        <v>18</v>
      </c>
      <c r="F1" s="14">
        <f>((D1+D2)/12)</f>
        <v>1.6798333333333332E-2</v>
      </c>
      <c r="H1" s="20" t="s">
        <v>19</v>
      </c>
      <c r="J1" s="53">
        <v>46189</v>
      </c>
      <c r="O1" s="53"/>
    </row>
    <row r="2" spans="1:35" ht="15" thickBot="1">
      <c r="A2" s="9" t="s">
        <v>20</v>
      </c>
      <c r="B2" s="13">
        <v>48</v>
      </c>
      <c r="C2" s="9" t="s">
        <v>21</v>
      </c>
      <c r="D2" s="11">
        <v>9.2999999999999999E-2</v>
      </c>
      <c r="E2" s="9" t="s">
        <v>22</v>
      </c>
      <c r="F2" s="15">
        <f>+PMT(F1,B2,-B1,0)</f>
        <v>9164589.2614910267</v>
      </c>
      <c r="G2" s="15"/>
      <c r="J2" s="55">
        <v>327</v>
      </c>
      <c r="O2" s="53"/>
      <c r="Q2" s="80" t="s">
        <v>23</v>
      </c>
      <c r="R2" s="81"/>
      <c r="S2" s="81"/>
      <c r="T2" s="81"/>
      <c r="U2" s="81"/>
      <c r="V2" s="81"/>
      <c r="W2" s="81"/>
    </row>
    <row r="3" spans="1:35" ht="26.45">
      <c r="A3" s="63"/>
      <c r="B3" s="64" t="s">
        <v>24</v>
      </c>
      <c r="C3" s="64" t="s">
        <v>25</v>
      </c>
      <c r="D3" s="64" t="s">
        <v>26</v>
      </c>
      <c r="E3" s="64" t="s">
        <v>13</v>
      </c>
      <c r="F3" s="64" t="s">
        <v>27</v>
      </c>
      <c r="G3" s="64" t="s">
        <v>28</v>
      </c>
      <c r="H3" s="8" t="s">
        <v>6</v>
      </c>
      <c r="I3" s="8" t="s">
        <v>29</v>
      </c>
      <c r="J3" s="8" t="s">
        <v>30</v>
      </c>
      <c r="K3" s="8" t="s">
        <v>31</v>
      </c>
      <c r="L3" s="8" t="s">
        <v>32</v>
      </c>
      <c r="M3" s="8" t="s">
        <v>33</v>
      </c>
      <c r="N3" s="8" t="s">
        <v>34</v>
      </c>
      <c r="O3" s="8" t="s">
        <v>32</v>
      </c>
      <c r="P3" s="16" t="s">
        <v>35</v>
      </c>
      <c r="Q3" s="75" t="s">
        <v>36</v>
      </c>
      <c r="R3" s="76" t="s">
        <v>37</v>
      </c>
      <c r="S3" s="77" t="s">
        <v>38</v>
      </c>
      <c r="T3" s="77" t="s">
        <v>39</v>
      </c>
      <c r="U3" s="76" t="s">
        <v>40</v>
      </c>
      <c r="V3" s="78" t="s">
        <v>41</v>
      </c>
      <c r="W3" s="78" t="s">
        <v>42</v>
      </c>
    </row>
    <row r="4" spans="1:35" ht="15">
      <c r="A4" s="10">
        <f>+TasaImplicita!A12</f>
        <v>1</v>
      </c>
      <c r="B4" s="59">
        <f>+B1-S4-S5-S6-S7-S8-S9</f>
        <v>281888497</v>
      </c>
      <c r="C4" s="59">
        <f>+B4*F1</f>
        <v>4735256.9354383331</v>
      </c>
      <c r="D4" s="59">
        <f>+S11+S12</f>
        <v>4448731</v>
      </c>
      <c r="E4" s="59">
        <f>+F2</f>
        <v>9164589.2614910267</v>
      </c>
      <c r="F4" s="59">
        <f>+B4-D4</f>
        <v>277439766</v>
      </c>
      <c r="G4" s="11">
        <v>0.11423999999999999</v>
      </c>
      <c r="H4" s="54">
        <f>+D2</f>
        <v>9.2999999999999999E-2</v>
      </c>
      <c r="I4" s="60">
        <f>((G4+H4)/12)</f>
        <v>1.7269999999999997E-2</v>
      </c>
      <c r="J4" s="61">
        <f>PMT(I4,K4,-F4,0)</f>
        <v>8667403.5953688528</v>
      </c>
      <c r="K4" s="62">
        <f>+$B$2-A4</f>
        <v>47</v>
      </c>
      <c r="L4">
        <v>16</v>
      </c>
      <c r="M4">
        <v>7</v>
      </c>
      <c r="N4">
        <v>2026</v>
      </c>
      <c r="O4" s="21">
        <f>+C4/30</f>
        <v>157841.89784794443</v>
      </c>
      <c r="P4" s="33">
        <f>+O4*14</f>
        <v>2209786.5698712221</v>
      </c>
      <c r="Q4" s="73">
        <v>46193</v>
      </c>
      <c r="R4" s="74"/>
      <c r="S4" s="74">
        <v>4810000</v>
      </c>
      <c r="T4" s="74">
        <f>+B1-S4</f>
        <v>295524497</v>
      </c>
      <c r="U4" s="58"/>
      <c r="V4" s="74">
        <f>+R4+S4+U4</f>
        <v>4810000</v>
      </c>
      <c r="W4" s="74"/>
      <c r="Z4" s="22"/>
    </row>
    <row r="5" spans="1:35" ht="15">
      <c r="A5" s="10">
        <f>IF(AND(A4&lt;$B$2)*(A4&lt;&gt;0),1+A4," ")</f>
        <v>2</v>
      </c>
      <c r="B5" s="59">
        <f>IF(A5=" "," ",+F4)</f>
        <v>277439766</v>
      </c>
      <c r="C5" s="59">
        <f>IF(A5=" "," ",+B5*I4)</f>
        <v>4791384.7588199992</v>
      </c>
      <c r="D5" s="59">
        <f>+S13</f>
        <v>5792573</v>
      </c>
      <c r="E5" s="59">
        <f>IF(A5=" "," ",+J4)</f>
        <v>8667403.5953688528</v>
      </c>
      <c r="F5" s="59">
        <f>+B5-D5-S14</f>
        <v>171113289</v>
      </c>
      <c r="G5" s="11">
        <v>0.10858</v>
      </c>
      <c r="H5" s="54">
        <f>IF(A5=" "," ",+H4)</f>
        <v>9.2999999999999999E-2</v>
      </c>
      <c r="I5" s="60">
        <f>IF(A5=" "," ",((G5+H5)/12))</f>
        <v>1.6798333333333332E-2</v>
      </c>
      <c r="J5" s="61">
        <f>PMT(I5,K5,-F5,0)</f>
        <v>5370005.0609527146</v>
      </c>
      <c r="K5" s="62">
        <f>IF(A2=" "," ",+$B$2-A5)</f>
        <v>46</v>
      </c>
      <c r="L5">
        <f>IF(A5&lt;&gt;" ",+L4," ")</f>
        <v>16</v>
      </c>
      <c r="M5">
        <f>IF(AND(A5&lt;&gt;" ")*(M4=12),1,1+M4)</f>
        <v>8</v>
      </c>
      <c r="N5">
        <f>IF(AND(A5&lt;&gt;" ")*(M5=1),1+N4,N4)</f>
        <v>2026</v>
      </c>
      <c r="O5" s="21">
        <f>4791385/30</f>
        <v>159712.83333333334</v>
      </c>
      <c r="P5" s="33">
        <f>+O5*14</f>
        <v>2235979.666666667</v>
      </c>
      <c r="Q5" s="57">
        <v>46195</v>
      </c>
      <c r="R5" s="56"/>
      <c r="S5" s="56">
        <v>3736000</v>
      </c>
      <c r="T5" s="74">
        <f>+T4-S5</f>
        <v>291788497</v>
      </c>
      <c r="U5" s="58"/>
      <c r="V5" s="74">
        <f t="shared" ref="V5:V14" si="0">+R5+S5+U5</f>
        <v>3736000</v>
      </c>
      <c r="W5" s="56"/>
    </row>
    <row r="6" spans="1:35" ht="15">
      <c r="A6" s="66">
        <f t="shared" ref="A6:A51" si="1">IF(AND(A5&lt;$B$2)*(A5&lt;&gt;0),1+A5," ")</f>
        <v>3</v>
      </c>
      <c r="B6" s="67">
        <f t="shared" ref="B6:B15" si="2">IF(A6=" "," ",+F5)</f>
        <v>171113289</v>
      </c>
      <c r="C6" s="67">
        <f t="shared" ref="C6:C15" si="3">IF(A6=" "," ",+B6*I5)</f>
        <v>2874418.0663849995</v>
      </c>
      <c r="D6" s="67">
        <f t="shared" ref="D5:D7" si="4">+E6-C6</f>
        <v>2495586.9945677151</v>
      </c>
      <c r="E6" s="67">
        <f t="shared" ref="E6:E15" si="5">IF(A6=" "," ",+J5)</f>
        <v>5370005.0609527146</v>
      </c>
      <c r="F6" s="67">
        <f t="shared" ref="F5:F15" si="6">+B6-D6</f>
        <v>168617702.00543228</v>
      </c>
      <c r="G6" s="68">
        <v>0.10858</v>
      </c>
      <c r="H6" s="68">
        <f t="shared" ref="H6:H15" si="7">IF(A6=" "," ",+H5)</f>
        <v>9.2999999999999999E-2</v>
      </c>
      <c r="I6" s="69">
        <f t="shared" ref="I6:I15" si="8">IF(A6=" "," ",((G6+H6)/12))</f>
        <v>1.6798333333333332E-2</v>
      </c>
      <c r="J6" s="70">
        <f t="shared" ref="J6:J15" si="9">PMT(I6,K6,-F6,0)</f>
        <v>5370005.0609527156</v>
      </c>
      <c r="K6" s="71">
        <f t="shared" ref="K6:K15" si="10">IF(A3=" "," ",+$B$2-A6)</f>
        <v>45</v>
      </c>
      <c r="L6" s="72">
        <f t="shared" ref="L6:L15" si="11">IF(A6&lt;&gt;" ",+L5," ")</f>
        <v>16</v>
      </c>
      <c r="M6" s="72">
        <f t="shared" ref="M6:M15" si="12">IF(AND(A6&lt;&gt;" ")*(M5=12),1,1+M5)</f>
        <v>9</v>
      </c>
      <c r="N6" s="72">
        <f>IF(AND(A6&lt;&gt;" ")*(M6=1),1+N5,N5)</f>
        <v>2026</v>
      </c>
      <c r="O6" s="21">
        <f>+C6/30</f>
        <v>95813.935546166656</v>
      </c>
      <c r="P6" s="33">
        <f>+O6*26</f>
        <v>2491162.3242003331</v>
      </c>
      <c r="Q6" s="57">
        <v>46199</v>
      </c>
      <c r="R6" s="56"/>
      <c r="S6" s="56">
        <v>2000000</v>
      </c>
      <c r="T6" s="74">
        <f>+T5-S6</f>
        <v>289788497</v>
      </c>
      <c r="U6" s="58"/>
      <c r="V6" s="74">
        <f t="shared" si="0"/>
        <v>2000000</v>
      </c>
      <c r="W6" s="56"/>
    </row>
    <row r="7" spans="1:35">
      <c r="A7" s="10">
        <f t="shared" si="1"/>
        <v>4</v>
      </c>
      <c r="B7" s="59">
        <f t="shared" si="2"/>
        <v>168617702.00543228</v>
      </c>
      <c r="C7" s="59">
        <f t="shared" si="3"/>
        <v>2832496.3641879195</v>
      </c>
      <c r="D7" s="59">
        <f t="shared" si="4"/>
        <v>2537508.696764796</v>
      </c>
      <c r="E7" s="59">
        <f t="shared" si="5"/>
        <v>5370005.0609527156</v>
      </c>
      <c r="F7" s="59">
        <f t="shared" si="6"/>
        <v>166080193.30866748</v>
      </c>
      <c r="G7" s="11">
        <v>0.10858</v>
      </c>
      <c r="H7" s="54">
        <f t="shared" si="7"/>
        <v>9.2999999999999999E-2</v>
      </c>
      <c r="I7" s="60">
        <f t="shared" si="8"/>
        <v>1.6798333333333332E-2</v>
      </c>
      <c r="J7" s="61">
        <f t="shared" si="9"/>
        <v>5370005.0609527146</v>
      </c>
      <c r="K7" s="62">
        <f t="shared" si="10"/>
        <v>44</v>
      </c>
      <c r="L7">
        <f t="shared" si="11"/>
        <v>16</v>
      </c>
      <c r="M7">
        <f t="shared" si="12"/>
        <v>10</v>
      </c>
      <c r="N7">
        <f t="shared" ref="N7:N15" si="13">IF(AND(A7&lt;&gt;" ")*(M7=1),1+N6,N6)</f>
        <v>2026</v>
      </c>
      <c r="O7" s="21"/>
      <c r="P7" s="33"/>
      <c r="Q7" s="57">
        <v>46200</v>
      </c>
      <c r="R7" s="56"/>
      <c r="S7" s="56">
        <v>4900000</v>
      </c>
      <c r="T7" s="74">
        <f>+T6-S7</f>
        <v>284888497</v>
      </c>
      <c r="U7" s="58"/>
      <c r="V7" s="74">
        <f t="shared" si="0"/>
        <v>4900000</v>
      </c>
      <c r="W7" s="56"/>
      <c r="Y7" s="4"/>
    </row>
    <row r="8" spans="1:35">
      <c r="A8" s="10">
        <f t="shared" si="1"/>
        <v>5</v>
      </c>
      <c r="B8" s="59">
        <f t="shared" si="2"/>
        <v>166080193.30866748</v>
      </c>
      <c r="C8" s="59">
        <f t="shared" si="3"/>
        <v>2789870.4472634322</v>
      </c>
      <c r="D8" s="59">
        <f t="shared" ref="D8:D15" si="14">+E8-C8</f>
        <v>2580134.6136892824</v>
      </c>
      <c r="E8" s="59">
        <f t="shared" si="5"/>
        <v>5370005.0609527146</v>
      </c>
      <c r="F8" s="59">
        <f t="shared" si="6"/>
        <v>163500058.69497821</v>
      </c>
      <c r="G8" s="11">
        <v>0.10858</v>
      </c>
      <c r="H8" s="54">
        <f t="shared" si="7"/>
        <v>9.2999999999999999E-2</v>
      </c>
      <c r="I8" s="60">
        <f t="shared" si="8"/>
        <v>1.6798333333333332E-2</v>
      </c>
      <c r="J8" s="61">
        <f t="shared" si="9"/>
        <v>5370005.0609527156</v>
      </c>
      <c r="K8" s="62">
        <f t="shared" si="10"/>
        <v>43</v>
      </c>
      <c r="L8">
        <f t="shared" si="11"/>
        <v>16</v>
      </c>
      <c r="M8">
        <f t="shared" si="12"/>
        <v>11</v>
      </c>
      <c r="N8">
        <f t="shared" si="13"/>
        <v>2026</v>
      </c>
      <c r="O8" s="21"/>
      <c r="P8" s="33"/>
      <c r="Q8" s="57">
        <v>46200</v>
      </c>
      <c r="R8" s="56"/>
      <c r="S8" s="56">
        <v>2000000</v>
      </c>
      <c r="T8" s="74">
        <f t="shared" ref="T8:T12" si="15">+T7-S8</f>
        <v>282888497</v>
      </c>
      <c r="U8" s="58"/>
      <c r="V8" s="74">
        <f t="shared" si="0"/>
        <v>2000000</v>
      </c>
      <c r="W8" s="56"/>
      <c r="Y8" s="41">
        <v>46174</v>
      </c>
      <c r="Z8" s="41">
        <v>46204</v>
      </c>
      <c r="AA8" s="41">
        <v>46235</v>
      </c>
      <c r="AB8" s="41">
        <v>46266</v>
      </c>
      <c r="AC8" s="41">
        <v>46296</v>
      </c>
      <c r="AD8" s="41">
        <v>46327</v>
      </c>
      <c r="AE8" s="41">
        <v>46357</v>
      </c>
      <c r="AF8" s="41">
        <v>46388</v>
      </c>
      <c r="AG8" s="41">
        <v>46419</v>
      </c>
      <c r="AI8" s="41"/>
    </row>
    <row r="9" spans="1:35">
      <c r="A9" s="10">
        <f t="shared" si="1"/>
        <v>6</v>
      </c>
      <c r="B9" s="59">
        <f t="shared" si="2"/>
        <v>163500058.69497821</v>
      </c>
      <c r="C9" s="59">
        <f t="shared" si="3"/>
        <v>2746528.4859778085</v>
      </c>
      <c r="D9" s="59">
        <f t="shared" si="14"/>
        <v>2623476.5749749071</v>
      </c>
      <c r="E9" s="59">
        <f t="shared" si="5"/>
        <v>5370005.0609527156</v>
      </c>
      <c r="F9" s="59">
        <f t="shared" si="6"/>
        <v>160876582.12000331</v>
      </c>
      <c r="G9" s="11">
        <v>0.10858</v>
      </c>
      <c r="H9" s="54">
        <f t="shared" si="7"/>
        <v>9.2999999999999999E-2</v>
      </c>
      <c r="I9" s="60">
        <f t="shared" si="8"/>
        <v>1.6798333333333332E-2</v>
      </c>
      <c r="J9" s="61">
        <f t="shared" si="9"/>
        <v>5370005.0609527156</v>
      </c>
      <c r="K9" s="62">
        <f t="shared" si="10"/>
        <v>42</v>
      </c>
      <c r="L9">
        <f t="shared" si="11"/>
        <v>16</v>
      </c>
      <c r="M9">
        <f t="shared" si="12"/>
        <v>12</v>
      </c>
      <c r="N9">
        <f t="shared" si="13"/>
        <v>2026</v>
      </c>
      <c r="P9" s="33"/>
      <c r="Q9" s="57">
        <v>46203</v>
      </c>
      <c r="R9" s="56"/>
      <c r="S9" s="56">
        <v>1000000</v>
      </c>
      <c r="T9" s="74">
        <f t="shared" si="15"/>
        <v>281888497</v>
      </c>
      <c r="U9" s="58"/>
      <c r="V9" s="74">
        <f t="shared" si="0"/>
        <v>1000000</v>
      </c>
      <c r="W9" s="56"/>
      <c r="Y9" s="22">
        <f>+P4</f>
        <v>2209786.5698712221</v>
      </c>
      <c r="Z9" s="22">
        <f>+O4*16-19399-23517</f>
        <v>2482554.3655671109</v>
      </c>
      <c r="AA9" s="22">
        <f>+O5*4</f>
        <v>638851.33333333337</v>
      </c>
      <c r="AB9" s="22"/>
      <c r="AC9" s="22"/>
      <c r="AD9" s="22"/>
      <c r="AE9" s="22"/>
      <c r="AF9" s="22"/>
      <c r="AG9" s="22"/>
      <c r="AH9" s="22"/>
      <c r="AI9" s="22"/>
    </row>
    <row r="10" spans="1:35">
      <c r="A10" s="10">
        <f t="shared" si="1"/>
        <v>7</v>
      </c>
      <c r="B10" s="59">
        <f t="shared" si="2"/>
        <v>160876582.12000331</v>
      </c>
      <c r="C10" s="59">
        <f t="shared" si="3"/>
        <v>2702458.4519791887</v>
      </c>
      <c r="D10" s="59">
        <f t="shared" si="14"/>
        <v>2667546.6089735269</v>
      </c>
      <c r="E10" s="59">
        <f t="shared" si="5"/>
        <v>5370005.0609527156</v>
      </c>
      <c r="F10" s="59">
        <f t="shared" si="6"/>
        <v>158209035.51102978</v>
      </c>
      <c r="G10" s="11">
        <v>0.10858</v>
      </c>
      <c r="H10" s="54">
        <f t="shared" si="7"/>
        <v>9.2999999999999999E-2</v>
      </c>
      <c r="I10" s="60">
        <f t="shared" si="8"/>
        <v>1.6798333333333332E-2</v>
      </c>
      <c r="J10" s="61">
        <f t="shared" si="9"/>
        <v>5370005.0609527146</v>
      </c>
      <c r="K10" s="62">
        <f t="shared" si="10"/>
        <v>41</v>
      </c>
      <c r="L10">
        <f t="shared" si="11"/>
        <v>16</v>
      </c>
      <c r="M10">
        <f t="shared" si="12"/>
        <v>1</v>
      </c>
      <c r="N10">
        <f t="shared" si="13"/>
        <v>2027</v>
      </c>
      <c r="O10" s="21"/>
      <c r="P10" s="33"/>
      <c r="Q10" s="37">
        <v>46204</v>
      </c>
      <c r="R10" s="56">
        <v>1000000</v>
      </c>
      <c r="S10" s="56">
        <v>0</v>
      </c>
      <c r="T10" s="74">
        <f t="shared" si="15"/>
        <v>281888497</v>
      </c>
      <c r="U10" s="58"/>
      <c r="V10" s="74">
        <f t="shared" si="0"/>
        <v>1000000</v>
      </c>
      <c r="W10" s="56"/>
      <c r="Y10" s="35"/>
      <c r="Z10" s="35">
        <f>+P5</f>
        <v>2235979.666666667</v>
      </c>
      <c r="AA10" s="35">
        <f>+P6</f>
        <v>2491162.3242003331</v>
      </c>
      <c r="AB10" s="35"/>
      <c r="AC10" s="35"/>
      <c r="AD10" s="35"/>
      <c r="AE10" s="35"/>
      <c r="AF10" s="35"/>
      <c r="AG10" s="35"/>
      <c r="AH10" s="22"/>
      <c r="AI10" s="22"/>
    </row>
    <row r="11" spans="1:35">
      <c r="A11" s="65">
        <f t="shared" si="1"/>
        <v>8</v>
      </c>
      <c r="B11" s="59">
        <f t="shared" si="2"/>
        <v>158209035.51102978</v>
      </c>
      <c r="C11" s="59">
        <f t="shared" si="3"/>
        <v>2657648.1148594483</v>
      </c>
      <c r="D11" s="59">
        <f t="shared" si="14"/>
        <v>2712356.9460932664</v>
      </c>
      <c r="E11" s="59">
        <f t="shared" si="5"/>
        <v>5370005.0609527146</v>
      </c>
      <c r="F11" s="59">
        <f t="shared" si="6"/>
        <v>155496678.56493652</v>
      </c>
      <c r="G11" s="11">
        <v>0.10858</v>
      </c>
      <c r="H11" s="54">
        <f t="shared" si="7"/>
        <v>9.2999999999999999E-2</v>
      </c>
      <c r="I11" s="60">
        <f t="shared" si="8"/>
        <v>1.6798333333333332E-2</v>
      </c>
      <c r="J11" s="61">
        <f t="shared" si="9"/>
        <v>5370005.0609527146</v>
      </c>
      <c r="K11" s="62">
        <f t="shared" si="10"/>
        <v>40</v>
      </c>
      <c r="L11">
        <f t="shared" si="11"/>
        <v>16</v>
      </c>
      <c r="M11">
        <f t="shared" si="12"/>
        <v>2</v>
      </c>
      <c r="N11">
        <f t="shared" si="13"/>
        <v>2027</v>
      </c>
      <c r="O11" s="21"/>
      <c r="P11" s="33"/>
      <c r="Q11" s="37">
        <v>46205</v>
      </c>
      <c r="R11" s="23">
        <v>1525470</v>
      </c>
      <c r="S11" s="23">
        <v>2474530</v>
      </c>
      <c r="T11" s="74">
        <f t="shared" si="15"/>
        <v>279413967</v>
      </c>
      <c r="U11" s="23"/>
      <c r="V11" s="74">
        <f t="shared" si="0"/>
        <v>4000000</v>
      </c>
      <c r="W11" s="23"/>
      <c r="Y11" s="22">
        <f>SUM(Y9:Y10)</f>
        <v>2209786.5698712221</v>
      </c>
      <c r="Z11" s="22">
        <f>SUM(Z9:Z10)</f>
        <v>4718534.0322337784</v>
      </c>
      <c r="AA11" s="22">
        <f t="shared" ref="AA11:AH11" si="16">SUM(AA9:AA10)</f>
        <v>3130013.6575336666</v>
      </c>
      <c r="AB11" s="22">
        <f t="shared" si="16"/>
        <v>0</v>
      </c>
      <c r="AC11" s="22">
        <f t="shared" si="16"/>
        <v>0</v>
      </c>
      <c r="AD11" s="22">
        <f t="shared" si="16"/>
        <v>0</v>
      </c>
      <c r="AE11" s="22">
        <f t="shared" si="16"/>
        <v>0</v>
      </c>
      <c r="AF11" s="22">
        <f t="shared" si="16"/>
        <v>0</v>
      </c>
      <c r="AG11" s="22">
        <f t="shared" si="16"/>
        <v>0</v>
      </c>
      <c r="AH11" s="22">
        <f t="shared" si="16"/>
        <v>0</v>
      </c>
      <c r="AI11" s="22"/>
    </row>
    <row r="12" spans="1:35" ht="15">
      <c r="A12" s="65">
        <f t="shared" si="1"/>
        <v>9</v>
      </c>
      <c r="B12" s="59">
        <f t="shared" si="2"/>
        <v>155496678.56493652</v>
      </c>
      <c r="C12" s="59">
        <f t="shared" si="3"/>
        <v>2612085.0387599915</v>
      </c>
      <c r="D12" s="59">
        <f t="shared" si="14"/>
        <v>2757920.0221927231</v>
      </c>
      <c r="E12" s="59">
        <f t="shared" si="5"/>
        <v>5370005.0609527146</v>
      </c>
      <c r="F12" s="59">
        <f t="shared" si="6"/>
        <v>152738758.5427438</v>
      </c>
      <c r="G12" s="11">
        <v>0.10858</v>
      </c>
      <c r="H12" s="54">
        <f t="shared" si="7"/>
        <v>9.2999999999999999E-2</v>
      </c>
      <c r="I12" s="60">
        <f t="shared" si="8"/>
        <v>1.6798333333333332E-2</v>
      </c>
      <c r="J12" s="61">
        <f t="shared" si="9"/>
        <v>5370005.0609527165</v>
      </c>
      <c r="K12" s="62">
        <f t="shared" si="10"/>
        <v>39</v>
      </c>
      <c r="L12">
        <f t="shared" si="11"/>
        <v>16</v>
      </c>
      <c r="M12">
        <f t="shared" si="12"/>
        <v>3</v>
      </c>
      <c r="N12">
        <f t="shared" si="13"/>
        <v>2027</v>
      </c>
      <c r="O12" s="21"/>
      <c r="P12" s="33"/>
      <c r="Q12" s="37">
        <v>46226</v>
      </c>
      <c r="R12" s="23">
        <v>2191696</v>
      </c>
      <c r="S12" s="23">
        <v>1974201</v>
      </c>
      <c r="T12" s="74">
        <f>+T11-S12</f>
        <v>277439766</v>
      </c>
      <c r="U12" s="79">
        <v>9133</v>
      </c>
      <c r="V12" s="74">
        <f t="shared" si="0"/>
        <v>4175030</v>
      </c>
      <c r="W12" s="23"/>
    </row>
    <row r="13" spans="1:35">
      <c r="A13" s="65">
        <f t="shared" si="1"/>
        <v>10</v>
      </c>
      <c r="B13" s="59">
        <f t="shared" si="2"/>
        <v>152738758.5427438</v>
      </c>
      <c r="C13" s="59">
        <f>IF(A13=" "," ",+B13*I12)</f>
        <v>2565756.5789205246</v>
      </c>
      <c r="D13" s="59">
        <f t="shared" si="14"/>
        <v>2804248.4820321919</v>
      </c>
      <c r="E13" s="59">
        <f t="shared" si="5"/>
        <v>5370005.0609527165</v>
      </c>
      <c r="F13" s="59">
        <f t="shared" si="6"/>
        <v>149934510.06071162</v>
      </c>
      <c r="G13" s="11">
        <v>0.10858</v>
      </c>
      <c r="H13" s="54">
        <f t="shared" si="7"/>
        <v>9.2999999999999999E-2</v>
      </c>
      <c r="I13" s="60">
        <f t="shared" si="8"/>
        <v>1.6798333333333332E-2</v>
      </c>
      <c r="J13" s="61">
        <f t="shared" si="9"/>
        <v>5370005.0609527174</v>
      </c>
      <c r="K13" s="62">
        <f t="shared" si="10"/>
        <v>38</v>
      </c>
      <c r="L13">
        <f t="shared" si="11"/>
        <v>16</v>
      </c>
      <c r="M13">
        <f t="shared" si="12"/>
        <v>4</v>
      </c>
      <c r="N13">
        <f t="shared" si="13"/>
        <v>2027</v>
      </c>
      <c r="O13" s="21"/>
      <c r="P13" s="33"/>
      <c r="Q13" s="37">
        <v>46238</v>
      </c>
      <c r="R13" s="23">
        <v>2873523</v>
      </c>
      <c r="S13" s="23">
        <v>5792573</v>
      </c>
      <c r="T13" s="74">
        <f>+T12-S13</f>
        <v>271647193</v>
      </c>
      <c r="U13" s="23"/>
      <c r="V13" s="74">
        <f t="shared" si="0"/>
        <v>8666096</v>
      </c>
      <c r="W13" s="23"/>
      <c r="Y13" s="22"/>
      <c r="Z13" s="22"/>
      <c r="AA13" s="22"/>
      <c r="AB13" s="22"/>
      <c r="AC13" s="22"/>
      <c r="AD13" s="22"/>
      <c r="AE13" s="22"/>
      <c r="AF13" s="22"/>
      <c r="AG13" s="22"/>
    </row>
    <row r="14" spans="1:35">
      <c r="A14" s="65">
        <f t="shared" si="1"/>
        <v>11</v>
      </c>
      <c r="B14" s="59">
        <f t="shared" si="2"/>
        <v>149934510.06071162</v>
      </c>
      <c r="C14" s="59">
        <f t="shared" si="3"/>
        <v>2518649.8781698537</v>
      </c>
      <c r="D14" s="59">
        <f t="shared" si="14"/>
        <v>2851355.1827828637</v>
      </c>
      <c r="E14" s="59">
        <f t="shared" si="5"/>
        <v>5370005.0609527174</v>
      </c>
      <c r="F14" s="59">
        <f t="shared" si="6"/>
        <v>147083154.87792876</v>
      </c>
      <c r="G14" s="11">
        <v>0.10858</v>
      </c>
      <c r="H14" s="54">
        <f t="shared" si="7"/>
        <v>9.2999999999999999E-2</v>
      </c>
      <c r="I14" s="60">
        <f t="shared" si="8"/>
        <v>1.6798333333333332E-2</v>
      </c>
      <c r="J14" s="61">
        <f t="shared" si="9"/>
        <v>5370005.0609527165</v>
      </c>
      <c r="K14" s="62">
        <f t="shared" si="10"/>
        <v>37</v>
      </c>
      <c r="L14">
        <f t="shared" si="11"/>
        <v>16</v>
      </c>
      <c r="M14">
        <f t="shared" si="12"/>
        <v>5</v>
      </c>
      <c r="N14">
        <f t="shared" si="13"/>
        <v>2027</v>
      </c>
      <c r="O14" s="21"/>
      <c r="P14" s="33"/>
      <c r="Q14" s="37">
        <v>46238</v>
      </c>
      <c r="R14" s="23"/>
      <c r="S14" s="23">
        <v>100533904</v>
      </c>
      <c r="T14" s="74">
        <f>+T13-S14</f>
        <v>171113289</v>
      </c>
      <c r="U14" s="23"/>
      <c r="V14" s="74">
        <f t="shared" si="0"/>
        <v>100533904</v>
      </c>
      <c r="W14" s="23"/>
      <c r="Z14" s="22"/>
    </row>
    <row r="15" spans="1:35">
      <c r="A15" s="65">
        <f t="shared" si="1"/>
        <v>12</v>
      </c>
      <c r="B15" s="59">
        <f t="shared" si="2"/>
        <v>147083154.87792876</v>
      </c>
      <c r="C15" s="59">
        <f t="shared" si="3"/>
        <v>2470751.86335774</v>
      </c>
      <c r="D15" s="59">
        <f t="shared" si="14"/>
        <v>2899253.1975949765</v>
      </c>
      <c r="E15" s="59">
        <f t="shared" si="5"/>
        <v>5370005.0609527165</v>
      </c>
      <c r="F15" s="59">
        <f t="shared" si="6"/>
        <v>144183901.68033379</v>
      </c>
      <c r="G15" s="11">
        <v>0.10858</v>
      </c>
      <c r="H15" s="54">
        <f t="shared" si="7"/>
        <v>9.2999999999999999E-2</v>
      </c>
      <c r="I15" s="60">
        <f t="shared" si="8"/>
        <v>1.6798333333333332E-2</v>
      </c>
      <c r="J15" s="61">
        <f t="shared" si="9"/>
        <v>5370005.0609527174</v>
      </c>
      <c r="K15" s="62">
        <f t="shared" si="10"/>
        <v>36</v>
      </c>
      <c r="L15">
        <f t="shared" si="11"/>
        <v>16</v>
      </c>
      <c r="M15">
        <f t="shared" si="12"/>
        <v>6</v>
      </c>
      <c r="N15">
        <f t="shared" si="13"/>
        <v>2027</v>
      </c>
      <c r="O15" s="21"/>
      <c r="P15" s="33"/>
      <c r="Q15" s="38"/>
      <c r="R15" s="40"/>
      <c r="S15" s="38"/>
      <c r="T15" s="38"/>
      <c r="U15" s="38"/>
      <c r="V15" s="38"/>
      <c r="W15" s="38"/>
      <c r="Y15" s="22"/>
    </row>
    <row r="16" spans="1:35">
      <c r="A16" s="65">
        <f t="shared" si="1"/>
        <v>13</v>
      </c>
      <c r="B16" s="59">
        <f t="shared" ref="B16:B27" si="17">IF(A16=" "," ",+F15)</f>
        <v>144183901.68033379</v>
      </c>
      <c r="C16" s="59">
        <f t="shared" ref="C16:C27" si="18">IF(A16=" "," ",+B16*I15)</f>
        <v>2422049.2417268069</v>
      </c>
      <c r="D16" s="59">
        <f t="shared" ref="D16:D27" si="19">+E16-C16</f>
        <v>2947955.8192259106</v>
      </c>
      <c r="E16" s="59">
        <f t="shared" ref="E16:E27" si="20">IF(A16=" "," ",+J15)</f>
        <v>5370005.0609527174</v>
      </c>
      <c r="F16" s="59">
        <f t="shared" ref="F16:F27" si="21">+B16-D16</f>
        <v>141235945.86110789</v>
      </c>
      <c r="G16" s="11">
        <v>0.10858</v>
      </c>
      <c r="H16" s="54">
        <f t="shared" ref="H16:H27" si="22">IF(A16=" "," ",+H15)</f>
        <v>9.2999999999999999E-2</v>
      </c>
      <c r="I16" s="60">
        <f t="shared" ref="I16:I27" si="23">IF(A16=" "," ",((G16+H16)/12))</f>
        <v>1.6798333333333332E-2</v>
      </c>
      <c r="J16" s="61">
        <f t="shared" ref="J16:J27" si="24">PMT(I16,K16,-F16,0)</f>
        <v>5370005.0609527165</v>
      </c>
      <c r="K16" s="62">
        <f t="shared" ref="K16:K27" si="25">IF(A13=" "," ",+$B$2-A16)</f>
        <v>35</v>
      </c>
      <c r="L16">
        <f t="shared" ref="L16:L27" si="26">IF(A16&lt;&gt;" ",+L15," ")</f>
        <v>16</v>
      </c>
      <c r="M16">
        <f t="shared" ref="M16:M27" si="27">IF(AND(A16&lt;&gt;" ")*(M15=12),1,1+M15)</f>
        <v>7</v>
      </c>
      <c r="N16">
        <f t="shared" ref="N16:N27" si="28">IF(AND(A16&lt;&gt;" ")*(M16=1),1+N15,N15)</f>
        <v>2027</v>
      </c>
      <c r="Z16" s="22"/>
    </row>
    <row r="17" spans="1:26">
      <c r="A17" s="65">
        <f t="shared" si="1"/>
        <v>14</v>
      </c>
      <c r="B17" s="59">
        <f t="shared" si="17"/>
        <v>141235945.86110789</v>
      </c>
      <c r="C17" s="59">
        <f t="shared" si="18"/>
        <v>2372528.4972235104</v>
      </c>
      <c r="D17" s="59">
        <f t="shared" si="19"/>
        <v>2997476.5637292061</v>
      </c>
      <c r="E17" s="59">
        <f t="shared" si="20"/>
        <v>5370005.0609527165</v>
      </c>
      <c r="F17" s="59">
        <f t="shared" si="21"/>
        <v>138238469.29737869</v>
      </c>
      <c r="G17" s="11">
        <v>0.10858</v>
      </c>
      <c r="H17" s="54">
        <f t="shared" si="22"/>
        <v>9.2999999999999999E-2</v>
      </c>
      <c r="I17" s="60">
        <f t="shared" si="23"/>
        <v>1.6798333333333332E-2</v>
      </c>
      <c r="J17" s="61">
        <f t="shared" si="24"/>
        <v>5370005.0609527174</v>
      </c>
      <c r="K17" s="62">
        <f t="shared" si="25"/>
        <v>34</v>
      </c>
      <c r="L17">
        <f t="shared" si="26"/>
        <v>16</v>
      </c>
      <c r="M17">
        <f t="shared" si="27"/>
        <v>8</v>
      </c>
      <c r="N17">
        <f t="shared" si="28"/>
        <v>2027</v>
      </c>
      <c r="Z17" s="22"/>
    </row>
    <row r="18" spans="1:26">
      <c r="A18" s="65">
        <f t="shared" si="1"/>
        <v>15</v>
      </c>
      <c r="B18" s="59">
        <f t="shared" si="17"/>
        <v>138238469.29737869</v>
      </c>
      <c r="C18" s="59">
        <f t="shared" si="18"/>
        <v>2322175.886747133</v>
      </c>
      <c r="D18" s="59">
        <f t="shared" si="19"/>
        <v>3047829.1742055845</v>
      </c>
      <c r="E18" s="59">
        <f t="shared" si="20"/>
        <v>5370005.0609527174</v>
      </c>
      <c r="F18" s="59">
        <f t="shared" si="21"/>
        <v>135190640.12317312</v>
      </c>
      <c r="G18" s="11">
        <v>0.10858</v>
      </c>
      <c r="H18" s="54">
        <f t="shared" si="22"/>
        <v>9.2999999999999999E-2</v>
      </c>
      <c r="I18" s="60">
        <f t="shared" si="23"/>
        <v>1.6798333333333332E-2</v>
      </c>
      <c r="J18" s="61">
        <f t="shared" si="24"/>
        <v>5370005.0609527165</v>
      </c>
      <c r="K18" s="62">
        <f t="shared" si="25"/>
        <v>33</v>
      </c>
      <c r="L18">
        <f t="shared" si="26"/>
        <v>16</v>
      </c>
      <c r="M18">
        <f t="shared" si="27"/>
        <v>9</v>
      </c>
      <c r="N18">
        <f t="shared" si="28"/>
        <v>2027</v>
      </c>
    </row>
    <row r="19" spans="1:26">
      <c r="A19" s="65">
        <f t="shared" si="1"/>
        <v>16</v>
      </c>
      <c r="B19" s="59">
        <f t="shared" si="17"/>
        <v>135190640.12317312</v>
      </c>
      <c r="C19" s="59">
        <f t="shared" si="18"/>
        <v>2270977.4363357695</v>
      </c>
      <c r="D19" s="59">
        <f t="shared" si="19"/>
        <v>3099027.624616947</v>
      </c>
      <c r="E19" s="59">
        <f t="shared" si="20"/>
        <v>5370005.0609527165</v>
      </c>
      <c r="F19" s="59">
        <f t="shared" si="21"/>
        <v>132091612.49855617</v>
      </c>
      <c r="G19" s="11">
        <v>0.10858</v>
      </c>
      <c r="H19" s="54">
        <f t="shared" si="22"/>
        <v>9.2999999999999999E-2</v>
      </c>
      <c r="I19" s="60">
        <f t="shared" si="23"/>
        <v>1.6798333333333332E-2</v>
      </c>
      <c r="J19" s="61">
        <f t="shared" si="24"/>
        <v>5370005.0609527184</v>
      </c>
      <c r="K19" s="62">
        <f t="shared" si="25"/>
        <v>32</v>
      </c>
      <c r="L19">
        <f t="shared" si="26"/>
        <v>16</v>
      </c>
      <c r="M19">
        <f t="shared" si="27"/>
        <v>10</v>
      </c>
      <c r="N19">
        <f t="shared" si="28"/>
        <v>2027</v>
      </c>
    </row>
    <row r="20" spans="1:26">
      <c r="A20" s="65">
        <f t="shared" si="1"/>
        <v>17</v>
      </c>
      <c r="B20" s="59">
        <f t="shared" si="17"/>
        <v>132091612.49855617</v>
      </c>
      <c r="C20" s="59">
        <f t="shared" si="18"/>
        <v>2218918.9372882457</v>
      </c>
      <c r="D20" s="59">
        <f t="shared" si="19"/>
        <v>3151086.1236644727</v>
      </c>
      <c r="E20" s="59">
        <f t="shared" si="20"/>
        <v>5370005.0609527184</v>
      </c>
      <c r="F20" s="59">
        <f t="shared" si="21"/>
        <v>128940526.3748917</v>
      </c>
      <c r="G20" s="11">
        <v>0.10858</v>
      </c>
      <c r="H20" s="54">
        <f t="shared" si="22"/>
        <v>9.2999999999999999E-2</v>
      </c>
      <c r="I20" s="60">
        <f t="shared" si="23"/>
        <v>1.6798333333333332E-2</v>
      </c>
      <c r="J20" s="61">
        <f t="shared" si="24"/>
        <v>5370005.0609527174</v>
      </c>
      <c r="K20" s="62">
        <f t="shared" si="25"/>
        <v>31</v>
      </c>
      <c r="L20">
        <f t="shared" si="26"/>
        <v>16</v>
      </c>
      <c r="M20">
        <f t="shared" si="27"/>
        <v>11</v>
      </c>
      <c r="N20">
        <f t="shared" si="28"/>
        <v>2027</v>
      </c>
    </row>
    <row r="21" spans="1:26">
      <c r="A21" s="65">
        <f t="shared" si="1"/>
        <v>18</v>
      </c>
      <c r="B21" s="59">
        <f t="shared" si="17"/>
        <v>128940526.3748917</v>
      </c>
      <c r="C21" s="59">
        <f t="shared" si="18"/>
        <v>2165985.942220889</v>
      </c>
      <c r="D21" s="59">
        <f t="shared" si="19"/>
        <v>3204019.1187318284</v>
      </c>
      <c r="E21" s="59">
        <f t="shared" si="20"/>
        <v>5370005.0609527174</v>
      </c>
      <c r="F21" s="59">
        <f t="shared" si="21"/>
        <v>125736507.25615987</v>
      </c>
      <c r="G21" s="11">
        <v>0.10858</v>
      </c>
      <c r="H21" s="54">
        <f t="shared" si="22"/>
        <v>9.2999999999999999E-2</v>
      </c>
      <c r="I21" s="60">
        <f t="shared" si="23"/>
        <v>1.6798333333333332E-2</v>
      </c>
      <c r="J21" s="61">
        <f t="shared" si="24"/>
        <v>5370005.0609527174</v>
      </c>
      <c r="K21" s="62">
        <f t="shared" si="25"/>
        <v>30</v>
      </c>
      <c r="L21">
        <f t="shared" si="26"/>
        <v>16</v>
      </c>
      <c r="M21">
        <f t="shared" si="27"/>
        <v>12</v>
      </c>
      <c r="N21">
        <f t="shared" si="28"/>
        <v>2027</v>
      </c>
    </row>
    <row r="22" spans="1:26">
      <c r="A22" s="65">
        <f t="shared" si="1"/>
        <v>19</v>
      </c>
      <c r="B22" s="59">
        <f t="shared" si="17"/>
        <v>125736507.25615987</v>
      </c>
      <c r="C22" s="59">
        <f t="shared" si="18"/>
        <v>2112163.7610580586</v>
      </c>
      <c r="D22" s="59">
        <f t="shared" si="19"/>
        <v>3257841.2998946588</v>
      </c>
      <c r="E22" s="59">
        <f t="shared" si="20"/>
        <v>5370005.0609527174</v>
      </c>
      <c r="F22" s="59">
        <f t="shared" si="21"/>
        <v>122478665.95626521</v>
      </c>
      <c r="G22" s="11">
        <v>0.10858</v>
      </c>
      <c r="H22" s="54">
        <f t="shared" si="22"/>
        <v>9.2999999999999999E-2</v>
      </c>
      <c r="I22" s="60">
        <f t="shared" si="23"/>
        <v>1.6798333333333332E-2</v>
      </c>
      <c r="J22" s="61">
        <f t="shared" si="24"/>
        <v>5370005.0609527174</v>
      </c>
      <c r="K22" s="62">
        <f t="shared" si="25"/>
        <v>29</v>
      </c>
      <c r="L22">
        <f t="shared" si="26"/>
        <v>16</v>
      </c>
      <c r="M22">
        <f t="shared" si="27"/>
        <v>1</v>
      </c>
      <c r="N22">
        <f t="shared" si="28"/>
        <v>2028</v>
      </c>
      <c r="P22" s="22"/>
    </row>
    <row r="23" spans="1:26">
      <c r="A23" s="65">
        <f t="shared" si="1"/>
        <v>20</v>
      </c>
      <c r="B23" s="59">
        <f t="shared" si="17"/>
        <v>122478665.95626521</v>
      </c>
      <c r="C23" s="59">
        <f t="shared" si="18"/>
        <v>2057437.4569553284</v>
      </c>
      <c r="D23" s="59">
        <f t="shared" si="19"/>
        <v>3312567.6039973889</v>
      </c>
      <c r="E23" s="59">
        <f t="shared" si="20"/>
        <v>5370005.0609527174</v>
      </c>
      <c r="F23" s="59">
        <f t="shared" si="21"/>
        <v>119166098.35226782</v>
      </c>
      <c r="G23" s="11">
        <v>0.10858</v>
      </c>
      <c r="H23" s="54">
        <f t="shared" si="22"/>
        <v>9.2999999999999999E-2</v>
      </c>
      <c r="I23" s="60">
        <f t="shared" si="23"/>
        <v>1.6798333333333332E-2</v>
      </c>
      <c r="J23" s="61">
        <f t="shared" si="24"/>
        <v>5370005.0609527174</v>
      </c>
      <c r="K23" s="62">
        <f t="shared" si="25"/>
        <v>28</v>
      </c>
      <c r="L23">
        <f t="shared" si="26"/>
        <v>16</v>
      </c>
      <c r="M23">
        <f t="shared" si="27"/>
        <v>2</v>
      </c>
      <c r="N23">
        <f t="shared" si="28"/>
        <v>2028</v>
      </c>
      <c r="P23" s="22"/>
    </row>
    <row r="24" spans="1:26">
      <c r="A24" s="65">
        <f t="shared" si="1"/>
        <v>21</v>
      </c>
      <c r="B24" s="59">
        <f t="shared" si="17"/>
        <v>119166098.35226782</v>
      </c>
      <c r="C24" s="59">
        <f t="shared" si="18"/>
        <v>2001791.8421541788</v>
      </c>
      <c r="D24" s="59">
        <f t="shared" si="19"/>
        <v>3368213.2187985387</v>
      </c>
      <c r="E24" s="59">
        <f t="shared" si="20"/>
        <v>5370005.0609527174</v>
      </c>
      <c r="F24" s="59">
        <f t="shared" si="21"/>
        <v>115797885.13346928</v>
      </c>
      <c r="G24" s="11">
        <v>0.10858</v>
      </c>
      <c r="H24" s="54">
        <f t="shared" si="22"/>
        <v>9.2999999999999999E-2</v>
      </c>
      <c r="I24" s="60">
        <f t="shared" si="23"/>
        <v>1.6798333333333332E-2</v>
      </c>
      <c r="J24" s="61">
        <f t="shared" si="24"/>
        <v>5370005.0609527174</v>
      </c>
      <c r="K24" s="62">
        <f t="shared" si="25"/>
        <v>27</v>
      </c>
      <c r="L24">
        <f t="shared" si="26"/>
        <v>16</v>
      </c>
      <c r="M24">
        <f t="shared" si="27"/>
        <v>3</v>
      </c>
      <c r="N24">
        <f t="shared" si="28"/>
        <v>2028</v>
      </c>
    </row>
    <row r="25" spans="1:26">
      <c r="A25" s="65">
        <f t="shared" si="1"/>
        <v>22</v>
      </c>
      <c r="B25" s="59">
        <f t="shared" si="17"/>
        <v>115797885.13346928</v>
      </c>
      <c r="C25" s="59">
        <f t="shared" si="18"/>
        <v>1945211.4737670613</v>
      </c>
      <c r="D25" s="59">
        <f t="shared" si="19"/>
        <v>3424793.5871856562</v>
      </c>
      <c r="E25" s="59">
        <f t="shared" si="20"/>
        <v>5370005.0609527174</v>
      </c>
      <c r="F25" s="59">
        <f t="shared" si="21"/>
        <v>112373091.54628363</v>
      </c>
      <c r="G25" s="11">
        <v>0.10858</v>
      </c>
      <c r="H25" s="54">
        <f t="shared" si="22"/>
        <v>9.2999999999999999E-2</v>
      </c>
      <c r="I25" s="60">
        <f t="shared" si="23"/>
        <v>1.6798333333333332E-2</v>
      </c>
      <c r="J25" s="61">
        <f t="shared" si="24"/>
        <v>5370005.0609527184</v>
      </c>
      <c r="K25" s="62">
        <f t="shared" si="25"/>
        <v>26</v>
      </c>
      <c r="L25">
        <f t="shared" si="26"/>
        <v>16</v>
      </c>
      <c r="M25">
        <f t="shared" si="27"/>
        <v>4</v>
      </c>
      <c r="N25">
        <f t="shared" si="28"/>
        <v>2028</v>
      </c>
    </row>
    <row r="26" spans="1:26">
      <c r="A26" s="65">
        <f t="shared" si="1"/>
        <v>23</v>
      </c>
      <c r="B26" s="59">
        <f t="shared" si="17"/>
        <v>112373091.54628363</v>
      </c>
      <c r="C26" s="59">
        <f t="shared" si="18"/>
        <v>1887680.6494916545</v>
      </c>
      <c r="D26" s="59">
        <f t="shared" si="19"/>
        <v>3482324.4114610637</v>
      </c>
      <c r="E26" s="59">
        <f t="shared" si="20"/>
        <v>5370005.0609527184</v>
      </c>
      <c r="F26" s="59">
        <f t="shared" si="21"/>
        <v>108890767.13482256</v>
      </c>
      <c r="G26" s="11">
        <v>0.10858</v>
      </c>
      <c r="H26" s="54">
        <f t="shared" si="22"/>
        <v>9.2999999999999999E-2</v>
      </c>
      <c r="I26" s="60">
        <f t="shared" si="23"/>
        <v>1.6798333333333332E-2</v>
      </c>
      <c r="J26" s="61">
        <f t="shared" si="24"/>
        <v>5370005.0609527184</v>
      </c>
      <c r="K26" s="62">
        <f t="shared" si="25"/>
        <v>25</v>
      </c>
      <c r="L26">
        <f t="shared" si="26"/>
        <v>16</v>
      </c>
      <c r="M26">
        <f t="shared" si="27"/>
        <v>5</v>
      </c>
      <c r="N26">
        <f t="shared" si="28"/>
        <v>2028</v>
      </c>
    </row>
    <row r="27" spans="1:26">
      <c r="A27" s="65">
        <f t="shared" si="1"/>
        <v>24</v>
      </c>
      <c r="B27" s="59">
        <f t="shared" si="17"/>
        <v>108890767.13482256</v>
      </c>
      <c r="C27" s="59">
        <f t="shared" si="18"/>
        <v>1829183.4032531276</v>
      </c>
      <c r="D27" s="59">
        <f t="shared" si="19"/>
        <v>3540821.6576995905</v>
      </c>
      <c r="E27" s="59">
        <f t="shared" si="20"/>
        <v>5370005.0609527184</v>
      </c>
      <c r="F27" s="59">
        <f t="shared" si="21"/>
        <v>105349945.47712298</v>
      </c>
      <c r="G27" s="11">
        <v>0.10858</v>
      </c>
      <c r="H27" s="54">
        <f t="shared" si="22"/>
        <v>9.2999999999999999E-2</v>
      </c>
      <c r="I27" s="60">
        <f t="shared" si="23"/>
        <v>1.6798333333333332E-2</v>
      </c>
      <c r="J27" s="61">
        <f t="shared" si="24"/>
        <v>5370005.0609527184</v>
      </c>
      <c r="K27" s="62">
        <f t="shared" si="25"/>
        <v>24</v>
      </c>
      <c r="L27">
        <f t="shared" si="26"/>
        <v>16</v>
      </c>
      <c r="M27">
        <f t="shared" si="27"/>
        <v>6</v>
      </c>
      <c r="N27">
        <f t="shared" si="28"/>
        <v>2028</v>
      </c>
    </row>
    <row r="28" spans="1:26">
      <c r="A28" s="65">
        <f t="shared" si="1"/>
        <v>25</v>
      </c>
      <c r="B28" s="59">
        <f t="shared" ref="B28:B37" si="29">IF(A28=" "," ",+F27)</f>
        <v>105349945.47712298</v>
      </c>
      <c r="C28" s="59">
        <f t="shared" ref="C28:C37" si="30">IF(A28=" "," ",+B28*I27)</f>
        <v>1769703.500773204</v>
      </c>
      <c r="D28" s="59">
        <f t="shared" ref="D28:D37" si="31">+E28-C28</f>
        <v>3600301.5601795143</v>
      </c>
      <c r="E28" s="59">
        <f t="shared" ref="E28:E37" si="32">IF(A28=" "," ",+J27)</f>
        <v>5370005.0609527184</v>
      </c>
      <c r="F28" s="59">
        <f t="shared" ref="F28:F37" si="33">+B28-D28</f>
        <v>101749643.91694346</v>
      </c>
      <c r="G28" s="11">
        <v>0.10858</v>
      </c>
      <c r="H28" s="54">
        <f t="shared" ref="H28:H37" si="34">IF(A28=" "," ",+H27)</f>
        <v>9.2999999999999999E-2</v>
      </c>
      <c r="I28" s="60">
        <f t="shared" ref="I28:I37" si="35">IF(A28=" "," ",((G28+H28)/12))</f>
        <v>1.6798333333333332E-2</v>
      </c>
      <c r="J28" s="61">
        <f t="shared" ref="J28:J37" si="36">PMT(I28,K28,-F28,0)</f>
        <v>5370005.0609527184</v>
      </c>
      <c r="K28" s="62">
        <f t="shared" ref="K28:K37" si="37">IF(A25=" "," ",+$B$2-A28)</f>
        <v>23</v>
      </c>
      <c r="L28">
        <f t="shared" ref="L28:L37" si="38">IF(A28&lt;&gt;" ",+L27," ")</f>
        <v>16</v>
      </c>
      <c r="M28">
        <f t="shared" ref="M28:M37" si="39">IF(AND(A28&lt;&gt;" ")*(M27=12),1,1+M27)</f>
        <v>7</v>
      </c>
      <c r="N28">
        <f t="shared" ref="N28:N37" si="40">IF(AND(A28&lt;&gt;" ")*(M28=1),1+N27,N27)</f>
        <v>2028</v>
      </c>
    </row>
    <row r="29" spans="1:26">
      <c r="A29" s="65">
        <f t="shared" si="1"/>
        <v>26</v>
      </c>
      <c r="B29" s="59">
        <f t="shared" si="29"/>
        <v>101749643.91694346</v>
      </c>
      <c r="C29" s="59">
        <f t="shared" si="30"/>
        <v>1709224.4350647884</v>
      </c>
      <c r="D29" s="59">
        <f t="shared" si="31"/>
        <v>3660780.6258879299</v>
      </c>
      <c r="E29" s="59">
        <f t="shared" si="32"/>
        <v>5370005.0609527184</v>
      </c>
      <c r="F29" s="59">
        <f t="shared" si="33"/>
        <v>98088863.29105553</v>
      </c>
      <c r="G29" s="11">
        <v>0.10858</v>
      </c>
      <c r="H29" s="54">
        <f t="shared" si="34"/>
        <v>9.2999999999999999E-2</v>
      </c>
      <c r="I29" s="60">
        <f t="shared" si="35"/>
        <v>1.6798333333333332E-2</v>
      </c>
      <c r="J29" s="61">
        <f t="shared" si="36"/>
        <v>5370005.0609527184</v>
      </c>
      <c r="K29" s="62">
        <f t="shared" si="37"/>
        <v>22</v>
      </c>
      <c r="L29">
        <f t="shared" si="38"/>
        <v>16</v>
      </c>
      <c r="M29">
        <f t="shared" si="39"/>
        <v>8</v>
      </c>
      <c r="N29">
        <f t="shared" si="40"/>
        <v>2028</v>
      </c>
    </row>
    <row r="30" spans="1:26">
      <c r="A30" s="65">
        <f t="shared" si="1"/>
        <v>27</v>
      </c>
      <c r="B30" s="59">
        <f t="shared" si="29"/>
        <v>98088863.29105553</v>
      </c>
      <c r="C30" s="59">
        <f t="shared" si="30"/>
        <v>1647729.4218509144</v>
      </c>
      <c r="D30" s="59">
        <f t="shared" si="31"/>
        <v>3722275.6391018042</v>
      </c>
      <c r="E30" s="59">
        <f t="shared" si="32"/>
        <v>5370005.0609527184</v>
      </c>
      <c r="F30" s="59">
        <f t="shared" si="33"/>
        <v>94366587.651953727</v>
      </c>
      <c r="G30" s="11">
        <v>0.10858</v>
      </c>
      <c r="H30" s="54">
        <f t="shared" si="34"/>
        <v>9.2999999999999999E-2</v>
      </c>
      <c r="I30" s="60">
        <f t="shared" si="35"/>
        <v>1.6798333333333332E-2</v>
      </c>
      <c r="J30" s="61">
        <f t="shared" si="36"/>
        <v>5370005.0609527184</v>
      </c>
      <c r="K30" s="62">
        <f t="shared" si="37"/>
        <v>21</v>
      </c>
      <c r="L30">
        <f t="shared" si="38"/>
        <v>16</v>
      </c>
      <c r="M30">
        <f t="shared" si="39"/>
        <v>9</v>
      </c>
      <c r="N30">
        <f t="shared" si="40"/>
        <v>2028</v>
      </c>
    </row>
    <row r="31" spans="1:26">
      <c r="A31" s="65">
        <f t="shared" si="1"/>
        <v>28</v>
      </c>
      <c r="B31" s="59">
        <f t="shared" si="29"/>
        <v>94366587.651953727</v>
      </c>
      <c r="C31" s="59">
        <f t="shared" si="30"/>
        <v>1585201.394906736</v>
      </c>
      <c r="D31" s="59">
        <f t="shared" si="31"/>
        <v>3784803.6660459824</v>
      </c>
      <c r="E31" s="59">
        <f t="shared" si="32"/>
        <v>5370005.0609527184</v>
      </c>
      <c r="F31" s="59">
        <f t="shared" si="33"/>
        <v>90581783.985907748</v>
      </c>
      <c r="G31" s="11">
        <v>0.10858</v>
      </c>
      <c r="H31" s="54">
        <f t="shared" si="34"/>
        <v>9.2999999999999999E-2</v>
      </c>
      <c r="I31" s="60">
        <f t="shared" si="35"/>
        <v>1.6798333333333332E-2</v>
      </c>
      <c r="J31" s="61">
        <f t="shared" si="36"/>
        <v>5370005.0609527184</v>
      </c>
      <c r="K31" s="62">
        <f t="shared" si="37"/>
        <v>20</v>
      </c>
      <c r="L31">
        <f t="shared" si="38"/>
        <v>16</v>
      </c>
      <c r="M31">
        <f t="shared" si="39"/>
        <v>10</v>
      </c>
      <c r="N31">
        <f t="shared" si="40"/>
        <v>2028</v>
      </c>
    </row>
    <row r="32" spans="1:26">
      <c r="A32" s="65">
        <f t="shared" si="1"/>
        <v>29</v>
      </c>
      <c r="B32" s="59">
        <f t="shared" si="29"/>
        <v>90581783.985907748</v>
      </c>
      <c r="C32" s="59">
        <f t="shared" si="30"/>
        <v>1521623.0013232734</v>
      </c>
      <c r="D32" s="59">
        <f t="shared" si="31"/>
        <v>3848382.059629445</v>
      </c>
      <c r="E32" s="59">
        <f t="shared" si="32"/>
        <v>5370005.0609527184</v>
      </c>
      <c r="F32" s="59">
        <f t="shared" si="33"/>
        <v>86733401.926278308</v>
      </c>
      <c r="G32" s="11">
        <v>0.10858</v>
      </c>
      <c r="H32" s="54">
        <f t="shared" si="34"/>
        <v>9.2999999999999999E-2</v>
      </c>
      <c r="I32" s="60">
        <f t="shared" si="35"/>
        <v>1.6798333333333332E-2</v>
      </c>
      <c r="J32" s="61">
        <f t="shared" si="36"/>
        <v>5370005.0609527184</v>
      </c>
      <c r="K32" s="62">
        <f t="shared" si="37"/>
        <v>19</v>
      </c>
      <c r="L32">
        <f t="shared" si="38"/>
        <v>16</v>
      </c>
      <c r="M32">
        <f t="shared" si="39"/>
        <v>11</v>
      </c>
      <c r="N32">
        <f t="shared" si="40"/>
        <v>2028</v>
      </c>
    </row>
    <row r="33" spans="1:14">
      <c r="A33" s="65">
        <f t="shared" si="1"/>
        <v>30</v>
      </c>
      <c r="B33" s="59">
        <f t="shared" si="29"/>
        <v>86733401.926278308</v>
      </c>
      <c r="C33" s="59">
        <f t="shared" si="30"/>
        <v>1456976.5966915984</v>
      </c>
      <c r="D33" s="59">
        <f t="shared" si="31"/>
        <v>3913028.4642611202</v>
      </c>
      <c r="E33" s="59">
        <f t="shared" si="32"/>
        <v>5370005.0609527184</v>
      </c>
      <c r="F33" s="59">
        <f t="shared" si="33"/>
        <v>82820373.462017193</v>
      </c>
      <c r="G33" s="11">
        <v>0.10858</v>
      </c>
      <c r="H33" s="54">
        <f t="shared" si="34"/>
        <v>9.2999999999999999E-2</v>
      </c>
      <c r="I33" s="60">
        <f t="shared" si="35"/>
        <v>1.6798333333333332E-2</v>
      </c>
      <c r="J33" s="61">
        <f t="shared" si="36"/>
        <v>5370005.0609527202</v>
      </c>
      <c r="K33" s="62">
        <f t="shared" si="37"/>
        <v>18</v>
      </c>
      <c r="L33">
        <f t="shared" si="38"/>
        <v>16</v>
      </c>
      <c r="M33">
        <f t="shared" si="39"/>
        <v>12</v>
      </c>
      <c r="N33">
        <f t="shared" si="40"/>
        <v>2028</v>
      </c>
    </row>
    <row r="34" spans="1:14">
      <c r="A34" s="65">
        <f t="shared" si="1"/>
        <v>31</v>
      </c>
      <c r="B34" s="59">
        <f t="shared" si="29"/>
        <v>82820373.462017193</v>
      </c>
      <c r="C34" s="59">
        <f t="shared" si="30"/>
        <v>1391244.2402061187</v>
      </c>
      <c r="D34" s="59">
        <f t="shared" si="31"/>
        <v>3978760.8207466016</v>
      </c>
      <c r="E34" s="59">
        <f t="shared" si="32"/>
        <v>5370005.0609527202</v>
      </c>
      <c r="F34" s="59">
        <f t="shared" si="33"/>
        <v>78841612.641270593</v>
      </c>
      <c r="G34" s="11">
        <v>0.10858</v>
      </c>
      <c r="H34" s="54">
        <f t="shared" si="34"/>
        <v>9.2999999999999999E-2</v>
      </c>
      <c r="I34" s="60">
        <f t="shared" si="35"/>
        <v>1.6798333333333332E-2</v>
      </c>
      <c r="J34" s="61">
        <f t="shared" si="36"/>
        <v>5370005.0609527184</v>
      </c>
      <c r="K34" s="62">
        <f t="shared" si="37"/>
        <v>17</v>
      </c>
      <c r="L34">
        <f t="shared" si="38"/>
        <v>16</v>
      </c>
      <c r="M34">
        <f t="shared" si="39"/>
        <v>1</v>
      </c>
      <c r="N34">
        <f t="shared" si="40"/>
        <v>2029</v>
      </c>
    </row>
    <row r="35" spans="1:14">
      <c r="A35" s="65">
        <f t="shared" si="1"/>
        <v>32</v>
      </c>
      <c r="B35" s="59">
        <f t="shared" si="29"/>
        <v>78841612.641270593</v>
      </c>
      <c r="C35" s="59">
        <f t="shared" si="30"/>
        <v>1324407.6896856104</v>
      </c>
      <c r="D35" s="59">
        <f t="shared" si="31"/>
        <v>4045597.3712671082</v>
      </c>
      <c r="E35" s="59">
        <f t="shared" si="32"/>
        <v>5370005.0609527184</v>
      </c>
      <c r="F35" s="59">
        <f t="shared" si="33"/>
        <v>74796015.270003483</v>
      </c>
      <c r="G35" s="11">
        <v>0.10858</v>
      </c>
      <c r="H35" s="54">
        <f t="shared" si="34"/>
        <v>9.2999999999999999E-2</v>
      </c>
      <c r="I35" s="60">
        <f t="shared" si="35"/>
        <v>1.6798333333333332E-2</v>
      </c>
      <c r="J35" s="61">
        <f t="shared" si="36"/>
        <v>5370005.0609527193</v>
      </c>
      <c r="K35" s="62">
        <f t="shared" si="37"/>
        <v>16</v>
      </c>
      <c r="L35">
        <f t="shared" si="38"/>
        <v>16</v>
      </c>
      <c r="M35">
        <f t="shared" si="39"/>
        <v>2</v>
      </c>
      <c r="N35">
        <f t="shared" si="40"/>
        <v>2029</v>
      </c>
    </row>
    <row r="36" spans="1:14">
      <c r="A36" s="65">
        <f t="shared" si="1"/>
        <v>33</v>
      </c>
      <c r="B36" s="59">
        <f t="shared" si="29"/>
        <v>74796015.270003483</v>
      </c>
      <c r="C36" s="59">
        <f t="shared" si="30"/>
        <v>1256448.3965106085</v>
      </c>
      <c r="D36" s="59">
        <f t="shared" si="31"/>
        <v>4113556.6644421108</v>
      </c>
      <c r="E36" s="59">
        <f t="shared" si="32"/>
        <v>5370005.0609527193</v>
      </c>
      <c r="F36" s="59">
        <f t="shared" si="33"/>
        <v>70682458.605561376</v>
      </c>
      <c r="G36" s="11">
        <v>0.10858</v>
      </c>
      <c r="H36" s="54">
        <f t="shared" si="34"/>
        <v>9.2999999999999999E-2</v>
      </c>
      <c r="I36" s="60">
        <f t="shared" si="35"/>
        <v>1.6798333333333332E-2</v>
      </c>
      <c r="J36" s="61">
        <f t="shared" si="36"/>
        <v>5370005.0609527193</v>
      </c>
      <c r="K36" s="62">
        <f t="shared" si="37"/>
        <v>15</v>
      </c>
      <c r="L36">
        <f t="shared" si="38"/>
        <v>16</v>
      </c>
      <c r="M36">
        <f t="shared" si="39"/>
        <v>3</v>
      </c>
      <c r="N36">
        <f t="shared" si="40"/>
        <v>2029</v>
      </c>
    </row>
    <row r="37" spans="1:14">
      <c r="A37" s="65">
        <f t="shared" si="1"/>
        <v>34</v>
      </c>
      <c r="B37" s="59">
        <f t="shared" si="29"/>
        <v>70682458.605561376</v>
      </c>
      <c r="C37" s="59">
        <f t="shared" si="30"/>
        <v>1187347.500475755</v>
      </c>
      <c r="D37" s="59">
        <f t="shared" si="31"/>
        <v>4182657.5604769643</v>
      </c>
      <c r="E37" s="59">
        <f t="shared" si="32"/>
        <v>5370005.0609527193</v>
      </c>
      <c r="F37" s="59">
        <f t="shared" si="33"/>
        <v>66499801.045084409</v>
      </c>
      <c r="G37" s="11">
        <v>0.10858</v>
      </c>
      <c r="H37" s="54">
        <f t="shared" si="34"/>
        <v>9.2999999999999999E-2</v>
      </c>
      <c r="I37" s="60">
        <f t="shared" si="35"/>
        <v>1.6798333333333332E-2</v>
      </c>
      <c r="J37" s="61">
        <f t="shared" si="36"/>
        <v>5370005.0609527193</v>
      </c>
      <c r="K37" s="62">
        <f t="shared" si="37"/>
        <v>14</v>
      </c>
      <c r="L37">
        <f t="shared" si="38"/>
        <v>16</v>
      </c>
      <c r="M37">
        <f t="shared" si="39"/>
        <v>4</v>
      </c>
      <c r="N37">
        <f t="shared" si="40"/>
        <v>2029</v>
      </c>
    </row>
    <row r="38" spans="1:14">
      <c r="A38" s="65">
        <f t="shared" si="1"/>
        <v>35</v>
      </c>
      <c r="B38" s="59">
        <f t="shared" ref="B38:B51" si="41">IF(A38=" "," ",+F37)</f>
        <v>66499801.045084409</v>
      </c>
      <c r="C38" s="59">
        <f t="shared" ref="C38:C51" si="42">IF(A38=" "," ",+B38*I37)</f>
        <v>1117085.8245556762</v>
      </c>
      <c r="D38" s="59">
        <f t="shared" ref="D38:D51" si="43">+E38-C38</f>
        <v>4252919.2363970429</v>
      </c>
      <c r="E38" s="59">
        <f t="shared" ref="E38:E51" si="44">IF(A38=" "," ",+J37)</f>
        <v>5370005.0609527193</v>
      </c>
      <c r="F38" s="59">
        <f t="shared" ref="F38:F51" si="45">+B38-D38</f>
        <v>62246881.808687367</v>
      </c>
      <c r="G38" s="11">
        <v>0.10858</v>
      </c>
      <c r="H38" s="54">
        <f t="shared" ref="H38:H51" si="46">IF(A38=" "," ",+H37)</f>
        <v>9.2999999999999999E-2</v>
      </c>
      <c r="I38" s="60">
        <f t="shared" ref="I38:I51" si="47">IF(A38=" "," ",((G38+H38)/12))</f>
        <v>1.6798333333333332E-2</v>
      </c>
      <c r="J38" s="61">
        <f t="shared" ref="J38:J51" si="48">PMT(I38,K38,-F38,0)</f>
        <v>5370005.0609527193</v>
      </c>
      <c r="K38" s="62">
        <f t="shared" ref="K38:K51" si="49">IF(A35=" "," ",+$B$2-A38)</f>
        <v>13</v>
      </c>
      <c r="L38">
        <f t="shared" ref="L38:L51" si="50">IF(A38&lt;&gt;" ",+L37," ")</f>
        <v>16</v>
      </c>
      <c r="M38">
        <f t="shared" ref="M38:M51" si="51">IF(AND(A38&lt;&gt;" ")*(M37=12),1,1+M37)</f>
        <v>5</v>
      </c>
      <c r="N38">
        <f t="shared" ref="N38:N51" si="52">IF(AND(A38&lt;&gt;" ")*(M38=1),1+N37,N37)</f>
        <v>2029</v>
      </c>
    </row>
    <row r="39" spans="1:14">
      <c r="A39" s="65">
        <f t="shared" si="1"/>
        <v>36</v>
      </c>
      <c r="B39" s="59">
        <f t="shared" si="41"/>
        <v>62246881.808687367</v>
      </c>
      <c r="C39" s="59">
        <f t="shared" si="42"/>
        <v>1045643.8695829331</v>
      </c>
      <c r="D39" s="59">
        <f t="shared" si="43"/>
        <v>4324361.1913697859</v>
      </c>
      <c r="E39" s="59">
        <f t="shared" si="44"/>
        <v>5370005.0609527193</v>
      </c>
      <c r="F39" s="59">
        <f t="shared" si="45"/>
        <v>57922520.61731758</v>
      </c>
      <c r="G39" s="11">
        <v>0.10858</v>
      </c>
      <c r="H39" s="54">
        <f t="shared" si="46"/>
        <v>9.2999999999999999E-2</v>
      </c>
      <c r="I39" s="60">
        <f t="shared" si="47"/>
        <v>1.6798333333333332E-2</v>
      </c>
      <c r="J39" s="61">
        <f t="shared" si="48"/>
        <v>5370005.0609527202</v>
      </c>
      <c r="K39" s="62">
        <f t="shared" si="49"/>
        <v>12</v>
      </c>
      <c r="L39">
        <f t="shared" si="50"/>
        <v>16</v>
      </c>
      <c r="M39">
        <f t="shared" si="51"/>
        <v>6</v>
      </c>
      <c r="N39">
        <f t="shared" si="52"/>
        <v>2029</v>
      </c>
    </row>
    <row r="40" spans="1:14">
      <c r="A40" s="65">
        <f t="shared" si="1"/>
        <v>37</v>
      </c>
      <c r="B40" s="59">
        <f t="shared" si="41"/>
        <v>57922520.61731758</v>
      </c>
      <c r="C40" s="59">
        <f t="shared" si="42"/>
        <v>973001.80883657304</v>
      </c>
      <c r="D40" s="59">
        <f t="shared" si="43"/>
        <v>4397003.2521161474</v>
      </c>
      <c r="E40" s="59">
        <f t="shared" si="44"/>
        <v>5370005.0609527202</v>
      </c>
      <c r="F40" s="59">
        <f t="shared" si="45"/>
        <v>53525517.365201429</v>
      </c>
      <c r="G40" s="11">
        <v>0.10858</v>
      </c>
      <c r="H40" s="54">
        <f t="shared" si="46"/>
        <v>9.2999999999999999E-2</v>
      </c>
      <c r="I40" s="60">
        <f t="shared" si="47"/>
        <v>1.6798333333333332E-2</v>
      </c>
      <c r="J40" s="61">
        <f t="shared" si="48"/>
        <v>5370005.0609527193</v>
      </c>
      <c r="K40" s="62">
        <f t="shared" si="49"/>
        <v>11</v>
      </c>
      <c r="L40">
        <f t="shared" si="50"/>
        <v>16</v>
      </c>
      <c r="M40">
        <f t="shared" si="51"/>
        <v>7</v>
      </c>
      <c r="N40">
        <f t="shared" si="52"/>
        <v>2029</v>
      </c>
    </row>
    <row r="41" spans="1:14">
      <c r="A41" s="65">
        <f t="shared" si="1"/>
        <v>38</v>
      </c>
      <c r="B41" s="59">
        <f t="shared" si="41"/>
        <v>53525517.365201429</v>
      </c>
      <c r="C41" s="59">
        <f t="shared" si="42"/>
        <v>899139.4825397752</v>
      </c>
      <c r="D41" s="59">
        <f t="shared" si="43"/>
        <v>4470865.5784129445</v>
      </c>
      <c r="E41" s="59">
        <f t="shared" si="44"/>
        <v>5370005.0609527193</v>
      </c>
      <c r="F41" s="59">
        <f t="shared" si="45"/>
        <v>49054651.786788486</v>
      </c>
      <c r="G41" s="11">
        <v>0.10858</v>
      </c>
      <c r="H41" s="54">
        <f t="shared" si="46"/>
        <v>9.2999999999999999E-2</v>
      </c>
      <c r="I41" s="60">
        <f t="shared" si="47"/>
        <v>1.6798333333333332E-2</v>
      </c>
      <c r="J41" s="61">
        <f t="shared" si="48"/>
        <v>5370005.0609527193</v>
      </c>
      <c r="K41" s="62">
        <f t="shared" si="49"/>
        <v>10</v>
      </c>
      <c r="L41">
        <f t="shared" si="50"/>
        <v>16</v>
      </c>
      <c r="M41">
        <f t="shared" si="51"/>
        <v>8</v>
      </c>
      <c r="N41">
        <f t="shared" si="52"/>
        <v>2029</v>
      </c>
    </row>
    <row r="42" spans="1:14">
      <c r="A42" s="65">
        <f t="shared" si="1"/>
        <v>39</v>
      </c>
      <c r="B42" s="59">
        <f t="shared" si="41"/>
        <v>49054651.786788486</v>
      </c>
      <c r="C42" s="59">
        <f t="shared" si="42"/>
        <v>824036.39226506848</v>
      </c>
      <c r="D42" s="59">
        <f t="shared" si="43"/>
        <v>4545968.6686876509</v>
      </c>
      <c r="E42" s="59">
        <f t="shared" si="44"/>
        <v>5370005.0609527193</v>
      </c>
      <c r="F42" s="59">
        <f t="shared" si="45"/>
        <v>44508683.118100837</v>
      </c>
      <c r="G42" s="11">
        <v>0.10858</v>
      </c>
      <c r="H42" s="54">
        <f t="shared" si="46"/>
        <v>9.2999999999999999E-2</v>
      </c>
      <c r="I42" s="60">
        <f t="shared" si="47"/>
        <v>1.6798333333333332E-2</v>
      </c>
      <c r="J42" s="61">
        <f t="shared" si="48"/>
        <v>5370005.0609527202</v>
      </c>
      <c r="K42" s="62">
        <f t="shared" si="49"/>
        <v>9</v>
      </c>
      <c r="L42">
        <f t="shared" si="50"/>
        <v>16</v>
      </c>
      <c r="M42">
        <f t="shared" si="51"/>
        <v>9</v>
      </c>
      <c r="N42">
        <f t="shared" si="52"/>
        <v>2029</v>
      </c>
    </row>
    <row r="43" spans="1:14">
      <c r="A43" s="65">
        <f t="shared" si="1"/>
        <v>40</v>
      </c>
      <c r="B43" s="59">
        <f t="shared" si="41"/>
        <v>44508683.118100837</v>
      </c>
      <c r="C43" s="59">
        <f t="shared" si="42"/>
        <v>747671.69524556387</v>
      </c>
      <c r="D43" s="59">
        <f t="shared" si="43"/>
        <v>4622333.3657071562</v>
      </c>
      <c r="E43" s="59">
        <f t="shared" si="44"/>
        <v>5370005.0609527202</v>
      </c>
      <c r="F43" s="59">
        <f t="shared" si="45"/>
        <v>39886349.752393678</v>
      </c>
      <c r="G43" s="11">
        <v>0.10858</v>
      </c>
      <c r="H43" s="54">
        <f t="shared" si="46"/>
        <v>9.2999999999999999E-2</v>
      </c>
      <c r="I43" s="60">
        <f t="shared" si="47"/>
        <v>1.6798333333333332E-2</v>
      </c>
      <c r="J43" s="61">
        <f t="shared" si="48"/>
        <v>5370005.0609527184</v>
      </c>
      <c r="K43" s="62">
        <f t="shared" si="49"/>
        <v>8</v>
      </c>
      <c r="L43">
        <f t="shared" si="50"/>
        <v>16</v>
      </c>
      <c r="M43">
        <f t="shared" si="51"/>
        <v>10</v>
      </c>
      <c r="N43">
        <f t="shared" si="52"/>
        <v>2029</v>
      </c>
    </row>
    <row r="44" spans="1:14">
      <c r="A44" s="65">
        <f t="shared" si="1"/>
        <v>41</v>
      </c>
      <c r="B44" s="59">
        <f t="shared" si="41"/>
        <v>39886349.752393678</v>
      </c>
      <c r="C44" s="59">
        <f t="shared" si="42"/>
        <v>670024.19859062636</v>
      </c>
      <c r="D44" s="59">
        <f t="shared" si="43"/>
        <v>4699980.8623620924</v>
      </c>
      <c r="E44" s="59">
        <f t="shared" si="44"/>
        <v>5370005.0609527184</v>
      </c>
      <c r="F44" s="59">
        <f t="shared" si="45"/>
        <v>35186368.890031584</v>
      </c>
      <c r="G44" s="11">
        <v>0.10858</v>
      </c>
      <c r="H44" s="54">
        <f t="shared" si="46"/>
        <v>9.2999999999999999E-2</v>
      </c>
      <c r="I44" s="60">
        <f t="shared" si="47"/>
        <v>1.6798333333333332E-2</v>
      </c>
      <c r="J44" s="61">
        <f t="shared" si="48"/>
        <v>5370005.0609527193</v>
      </c>
      <c r="K44" s="62">
        <f t="shared" si="49"/>
        <v>7</v>
      </c>
      <c r="L44">
        <f t="shared" si="50"/>
        <v>16</v>
      </c>
      <c r="M44">
        <f t="shared" si="51"/>
        <v>11</v>
      </c>
      <c r="N44">
        <f t="shared" si="52"/>
        <v>2029</v>
      </c>
    </row>
    <row r="45" spans="1:14">
      <c r="A45" s="65">
        <f t="shared" si="1"/>
        <v>42</v>
      </c>
      <c r="B45" s="59">
        <f t="shared" si="41"/>
        <v>35186368.890031584</v>
      </c>
      <c r="C45" s="59">
        <f t="shared" si="42"/>
        <v>591072.3534043805</v>
      </c>
      <c r="D45" s="59">
        <f t="shared" si="43"/>
        <v>4778932.7075483389</v>
      </c>
      <c r="E45" s="59">
        <f t="shared" si="44"/>
        <v>5370005.0609527193</v>
      </c>
      <c r="F45" s="59">
        <f t="shared" si="45"/>
        <v>30407436.182483245</v>
      </c>
      <c r="G45" s="11">
        <v>0.10858</v>
      </c>
      <c r="H45" s="54">
        <f t="shared" si="46"/>
        <v>9.2999999999999999E-2</v>
      </c>
      <c r="I45" s="60">
        <f t="shared" si="47"/>
        <v>1.6798333333333332E-2</v>
      </c>
      <c r="J45" s="61">
        <f t="shared" si="48"/>
        <v>5370005.0609527193</v>
      </c>
      <c r="K45" s="62">
        <f t="shared" si="49"/>
        <v>6</v>
      </c>
      <c r="L45">
        <f t="shared" si="50"/>
        <v>16</v>
      </c>
      <c r="M45">
        <f t="shared" si="51"/>
        <v>12</v>
      </c>
      <c r="N45">
        <f t="shared" si="52"/>
        <v>2029</v>
      </c>
    </row>
    <row r="46" spans="1:14">
      <c r="A46" s="65">
        <f t="shared" si="1"/>
        <v>43</v>
      </c>
      <c r="B46" s="59">
        <f t="shared" si="41"/>
        <v>30407436.182483245</v>
      </c>
      <c r="C46" s="59">
        <f t="shared" si="42"/>
        <v>510794.2488054143</v>
      </c>
      <c r="D46" s="59">
        <f t="shared" si="43"/>
        <v>4859210.8121473053</v>
      </c>
      <c r="E46" s="59">
        <f t="shared" si="44"/>
        <v>5370005.0609527193</v>
      </c>
      <c r="F46" s="59">
        <f t="shared" si="45"/>
        <v>25548225.37033594</v>
      </c>
      <c r="G46" s="11">
        <v>0.10858</v>
      </c>
      <c r="H46" s="54">
        <f t="shared" si="46"/>
        <v>9.2999999999999999E-2</v>
      </c>
      <c r="I46" s="60">
        <f t="shared" si="47"/>
        <v>1.6798333333333332E-2</v>
      </c>
      <c r="J46" s="61">
        <f t="shared" si="48"/>
        <v>5370005.0609527193</v>
      </c>
      <c r="K46" s="62">
        <f t="shared" si="49"/>
        <v>5</v>
      </c>
      <c r="L46">
        <f t="shared" si="50"/>
        <v>16</v>
      </c>
      <c r="M46">
        <f t="shared" si="51"/>
        <v>1</v>
      </c>
      <c r="N46">
        <f t="shared" si="52"/>
        <v>2030</v>
      </c>
    </row>
    <row r="47" spans="1:14">
      <c r="A47" s="65">
        <f t="shared" si="1"/>
        <v>44</v>
      </c>
      <c r="B47" s="59">
        <f t="shared" si="41"/>
        <v>25548225.37033594</v>
      </c>
      <c r="C47" s="59">
        <f t="shared" si="42"/>
        <v>429167.6058460265</v>
      </c>
      <c r="D47" s="59">
        <f t="shared" si="43"/>
        <v>4940837.4551066924</v>
      </c>
      <c r="E47" s="59">
        <f t="shared" si="44"/>
        <v>5370005.0609527193</v>
      </c>
      <c r="F47" s="59">
        <f t="shared" si="45"/>
        <v>20607387.915229246</v>
      </c>
      <c r="G47" s="11">
        <v>0.10858</v>
      </c>
      <c r="H47" s="54">
        <f t="shared" si="46"/>
        <v>9.2999999999999999E-2</v>
      </c>
      <c r="I47" s="60">
        <f t="shared" si="47"/>
        <v>1.6798333333333332E-2</v>
      </c>
      <c r="J47" s="61">
        <f t="shared" si="48"/>
        <v>5370005.0609527193</v>
      </c>
      <c r="K47" s="62">
        <f t="shared" si="49"/>
        <v>4</v>
      </c>
      <c r="L47">
        <f t="shared" si="50"/>
        <v>16</v>
      </c>
      <c r="M47">
        <f t="shared" si="51"/>
        <v>2</v>
      </c>
      <c r="N47">
        <f t="shared" si="52"/>
        <v>2030</v>
      </c>
    </row>
    <row r="48" spans="1:14">
      <c r="A48" s="65">
        <f t="shared" si="1"/>
        <v>45</v>
      </c>
      <c r="B48" s="59">
        <f t="shared" si="41"/>
        <v>20607387.915229246</v>
      </c>
      <c r="C48" s="59">
        <f t="shared" si="42"/>
        <v>346169.77132932591</v>
      </c>
      <c r="D48" s="59">
        <f t="shared" si="43"/>
        <v>5023835.2896233937</v>
      </c>
      <c r="E48" s="59">
        <f t="shared" si="44"/>
        <v>5370005.0609527193</v>
      </c>
      <c r="F48" s="59">
        <f t="shared" si="45"/>
        <v>15583552.625605851</v>
      </c>
      <c r="G48" s="11">
        <v>0.10858</v>
      </c>
      <c r="H48" s="54">
        <f t="shared" si="46"/>
        <v>9.2999999999999999E-2</v>
      </c>
      <c r="I48" s="60">
        <f t="shared" si="47"/>
        <v>1.6798333333333332E-2</v>
      </c>
      <c r="J48" s="61">
        <f t="shared" si="48"/>
        <v>5370005.0609527193</v>
      </c>
      <c r="K48" s="62">
        <f t="shared" si="49"/>
        <v>3</v>
      </c>
      <c r="L48">
        <f t="shared" si="50"/>
        <v>16</v>
      </c>
      <c r="M48">
        <f t="shared" si="51"/>
        <v>3</v>
      </c>
      <c r="N48">
        <f t="shared" si="52"/>
        <v>2030</v>
      </c>
    </row>
    <row r="49" spans="1:14">
      <c r="A49" s="65">
        <f t="shared" si="1"/>
        <v>46</v>
      </c>
      <c r="B49" s="59">
        <f t="shared" si="41"/>
        <v>15583552.625605851</v>
      </c>
      <c r="C49" s="59">
        <f t="shared" si="42"/>
        <v>261777.71152246895</v>
      </c>
      <c r="D49" s="59">
        <f t="shared" si="43"/>
        <v>5108227.34943025</v>
      </c>
      <c r="E49" s="59">
        <f t="shared" si="44"/>
        <v>5370005.0609527193</v>
      </c>
      <c r="F49" s="59">
        <f t="shared" si="45"/>
        <v>10475325.276175601</v>
      </c>
      <c r="G49" s="11">
        <v>0.10858</v>
      </c>
      <c r="H49" s="54">
        <f t="shared" si="46"/>
        <v>9.2999999999999999E-2</v>
      </c>
      <c r="I49" s="60">
        <f t="shared" si="47"/>
        <v>1.6798333333333332E-2</v>
      </c>
      <c r="J49" s="61">
        <f t="shared" si="48"/>
        <v>5370005.0609527193</v>
      </c>
      <c r="K49" s="62">
        <f t="shared" si="49"/>
        <v>2</v>
      </c>
      <c r="L49">
        <f t="shared" si="50"/>
        <v>16</v>
      </c>
      <c r="M49">
        <f t="shared" si="51"/>
        <v>4</v>
      </c>
      <c r="N49">
        <f t="shared" si="52"/>
        <v>2030</v>
      </c>
    </row>
    <row r="50" spans="1:14">
      <c r="A50" s="65">
        <f t="shared" si="1"/>
        <v>47</v>
      </c>
      <c r="B50" s="59">
        <f t="shared" si="41"/>
        <v>10475325.276175601</v>
      </c>
      <c r="C50" s="59">
        <f t="shared" si="42"/>
        <v>175968.00576428979</v>
      </c>
      <c r="D50" s="59">
        <f t="shared" si="43"/>
        <v>5194037.0551884295</v>
      </c>
      <c r="E50" s="59">
        <f t="shared" si="44"/>
        <v>5370005.0609527193</v>
      </c>
      <c r="F50" s="59">
        <f t="shared" si="45"/>
        <v>5281288.2209871719</v>
      </c>
      <c r="G50" s="11">
        <v>0.10858</v>
      </c>
      <c r="H50" s="54">
        <f t="shared" si="46"/>
        <v>9.2999999999999999E-2</v>
      </c>
      <c r="I50" s="60">
        <f t="shared" si="47"/>
        <v>1.6798333333333332E-2</v>
      </c>
      <c r="J50" s="61">
        <f t="shared" si="48"/>
        <v>5370005.0609527202</v>
      </c>
      <c r="K50" s="62">
        <f t="shared" si="49"/>
        <v>1</v>
      </c>
      <c r="L50">
        <f t="shared" si="50"/>
        <v>16</v>
      </c>
      <c r="M50">
        <f t="shared" si="51"/>
        <v>5</v>
      </c>
      <c r="N50">
        <f t="shared" si="52"/>
        <v>2030</v>
      </c>
    </row>
    <row r="51" spans="1:14">
      <c r="A51" s="65">
        <f t="shared" si="1"/>
        <v>48</v>
      </c>
      <c r="B51" s="59">
        <f t="shared" si="41"/>
        <v>5281288.2209871719</v>
      </c>
      <c r="C51" s="59">
        <f t="shared" si="42"/>
        <v>88716.839965549501</v>
      </c>
      <c r="D51" s="59">
        <f t="shared" si="43"/>
        <v>5281288.2209871709</v>
      </c>
      <c r="E51" s="59">
        <f t="shared" si="44"/>
        <v>5370005.0609527202</v>
      </c>
      <c r="F51" s="59">
        <f t="shared" si="45"/>
        <v>0</v>
      </c>
      <c r="G51" s="11">
        <v>0.10858</v>
      </c>
      <c r="H51" s="54">
        <f t="shared" si="46"/>
        <v>9.2999999999999999E-2</v>
      </c>
      <c r="I51" s="60">
        <f t="shared" si="47"/>
        <v>1.6798333333333332E-2</v>
      </c>
      <c r="J51" s="61" t="e">
        <f t="shared" si="48"/>
        <v>#NUM!</v>
      </c>
      <c r="K51" s="62">
        <f t="shared" si="49"/>
        <v>0</v>
      </c>
      <c r="L51">
        <f t="shared" si="50"/>
        <v>16</v>
      </c>
      <c r="M51">
        <f t="shared" si="51"/>
        <v>6</v>
      </c>
      <c r="N51">
        <f t="shared" si="52"/>
        <v>2030</v>
      </c>
    </row>
  </sheetData>
  <mergeCells count="1">
    <mergeCell ref="Q2:W2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BCAF8-F908-477E-A1F7-7EFC53FA61C5}">
  <dimension ref="A1:D6"/>
  <sheetViews>
    <sheetView showGridLines="0" workbookViewId="0">
      <selection activeCell="B20" sqref="B20"/>
    </sheetView>
  </sheetViews>
  <sheetFormatPr defaultColWidth="11.42578125" defaultRowHeight="14.45"/>
  <cols>
    <col min="2" max="2" width="14.5703125" bestFit="1" customWidth="1"/>
    <col min="3" max="3" width="16.28515625" bestFit="1" customWidth="1"/>
    <col min="4" max="4" width="14.5703125" bestFit="1" customWidth="1"/>
  </cols>
  <sheetData>
    <row r="1" spans="1:4" ht="15" thickBot="1"/>
    <row r="2" spans="1:4" ht="15" thickBot="1">
      <c r="A2" s="82" t="s">
        <v>23</v>
      </c>
      <c r="B2" s="83"/>
      <c r="C2" s="83"/>
      <c r="D2" s="84"/>
    </row>
    <row r="3" spans="1:4" ht="26.45">
      <c r="A3" s="24" t="s">
        <v>36</v>
      </c>
      <c r="B3" s="17" t="s">
        <v>37</v>
      </c>
      <c r="C3" s="18" t="s">
        <v>38</v>
      </c>
      <c r="D3" s="25" t="s">
        <v>41</v>
      </c>
    </row>
    <row r="4" spans="1:4">
      <c r="A4" s="26"/>
      <c r="B4" s="23"/>
      <c r="C4" s="23"/>
      <c r="D4" s="27"/>
    </row>
    <row r="5" spans="1:4">
      <c r="A5" s="26"/>
      <c r="B5" s="23"/>
      <c r="C5" s="23"/>
      <c r="D5" s="28"/>
    </row>
    <row r="6" spans="1:4" ht="15" thickBot="1">
      <c r="A6" s="29"/>
      <c r="B6" s="30"/>
      <c r="C6" s="31"/>
      <c r="D6" s="32"/>
    </row>
  </sheetData>
  <mergeCells count="1">
    <mergeCell ref="A2:D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6BDC0-6ACB-4734-B704-48F93602B77D}">
  <dimension ref="A2:J18"/>
  <sheetViews>
    <sheetView workbookViewId="0">
      <selection activeCell="B20" sqref="B20"/>
    </sheetView>
  </sheetViews>
  <sheetFormatPr defaultColWidth="11.42578125" defaultRowHeight="14.45"/>
  <cols>
    <col min="1" max="4" width="13.5703125" bestFit="1" customWidth="1"/>
    <col min="6" max="6" width="13.5703125" customWidth="1"/>
    <col min="8" max="11" width="13.5703125" bestFit="1" customWidth="1"/>
  </cols>
  <sheetData>
    <row r="2" spans="1:10">
      <c r="A2" s="85" t="s">
        <v>43</v>
      </c>
      <c r="B2" s="85"/>
      <c r="C2" s="85"/>
      <c r="D2" s="85"/>
      <c r="G2" s="86" t="s">
        <v>44</v>
      </c>
      <c r="H2" s="86"/>
      <c r="I2" s="86"/>
      <c r="J2" s="86"/>
    </row>
    <row r="4" spans="1:10" ht="26.45">
      <c r="A4" s="42" t="s">
        <v>36</v>
      </c>
      <c r="B4" s="43" t="s">
        <v>37</v>
      </c>
      <c r="C4" s="44" t="s">
        <v>38</v>
      </c>
      <c r="D4" s="51" t="s">
        <v>41</v>
      </c>
      <c r="F4" s="45" t="s">
        <v>45</v>
      </c>
      <c r="G4" s="45" t="s">
        <v>36</v>
      </c>
      <c r="H4" s="46" t="s">
        <v>37</v>
      </c>
      <c r="I4" s="47" t="s">
        <v>38</v>
      </c>
      <c r="J4" s="47" t="s">
        <v>46</v>
      </c>
    </row>
    <row r="5" spans="1:10">
      <c r="A5" s="49">
        <v>45092</v>
      </c>
      <c r="B5" s="50">
        <v>11579428</v>
      </c>
      <c r="C5" s="50">
        <v>5047163</v>
      </c>
      <c r="D5" s="50">
        <f>+C5+B5</f>
        <v>16626591</v>
      </c>
      <c r="F5" s="48">
        <v>1</v>
      </c>
      <c r="G5" s="37">
        <v>45092</v>
      </c>
      <c r="H5" s="19">
        <v>11579428</v>
      </c>
      <c r="I5" s="19">
        <v>5047163</v>
      </c>
      <c r="J5" s="39">
        <f>+H5+I5</f>
        <v>16626591</v>
      </c>
    </row>
    <row r="6" spans="1:10">
      <c r="A6" s="37">
        <v>45121</v>
      </c>
      <c r="B6" s="50">
        <v>11095536</v>
      </c>
      <c r="C6" s="52">
        <v>5531054</v>
      </c>
      <c r="D6" s="50">
        <f>+C6+B6</f>
        <v>16626590</v>
      </c>
      <c r="F6" s="36">
        <v>2</v>
      </c>
      <c r="G6" s="37">
        <v>45122</v>
      </c>
      <c r="H6" s="23">
        <v>11478140</v>
      </c>
      <c r="I6" s="23">
        <v>5148450</v>
      </c>
      <c r="J6" s="39">
        <f>SUM(H6:I6)</f>
        <v>16626590</v>
      </c>
    </row>
    <row r="7" spans="1:10">
      <c r="A7" s="37">
        <v>45153</v>
      </c>
      <c r="B7" s="50"/>
      <c r="C7" s="50"/>
      <c r="D7" s="50">
        <f>+C7+B7</f>
        <v>0</v>
      </c>
      <c r="F7" s="36">
        <v>3</v>
      </c>
      <c r="G7" s="37">
        <v>45153</v>
      </c>
      <c r="H7" s="23">
        <v>11368085</v>
      </c>
      <c r="I7" s="23">
        <v>5247935</v>
      </c>
      <c r="J7" s="39">
        <f>SUM(H7:I7)</f>
        <v>16616020</v>
      </c>
    </row>
    <row r="8" spans="1:10">
      <c r="A8" s="38"/>
      <c r="B8" s="40"/>
      <c r="C8" s="39"/>
      <c r="D8" s="39"/>
    </row>
    <row r="11" spans="1:10">
      <c r="A11" s="87" t="s">
        <v>47</v>
      </c>
      <c r="B11" s="87"/>
      <c r="C11" s="87"/>
      <c r="D11" s="87"/>
    </row>
    <row r="13" spans="1:10">
      <c r="A13" s="41">
        <v>45047</v>
      </c>
      <c r="B13" s="41">
        <v>45078</v>
      </c>
      <c r="C13" s="41">
        <v>45108</v>
      </c>
    </row>
    <row r="14" spans="1:10">
      <c r="A14" s="22">
        <v>5789714.166666666</v>
      </c>
      <c r="B14" s="22">
        <v>5789714</v>
      </c>
      <c r="C14" s="22">
        <v>5356465.8998543695</v>
      </c>
    </row>
    <row r="15" spans="1:10">
      <c r="A15" s="34"/>
      <c r="B15" s="35">
        <v>5739070.1001456305</v>
      </c>
      <c r="C15" s="35">
        <v>5684042.6006204812</v>
      </c>
    </row>
    <row r="16" spans="1:10">
      <c r="A16" s="22">
        <f>SUM(A14:A15)</f>
        <v>5789714.166666666</v>
      </c>
      <c r="B16" s="22">
        <f>SUM(B14:B15)</f>
        <v>11528784.100145631</v>
      </c>
      <c r="C16" s="22">
        <f>SUM(C14:C15)</f>
        <v>11040508.500474852</v>
      </c>
    </row>
    <row r="18" spans="1:2">
      <c r="A18" s="22">
        <f>+A16+B14</f>
        <v>11579428.166666666</v>
      </c>
      <c r="B18" s="22">
        <f>+B15+C14</f>
        <v>11095536</v>
      </c>
    </row>
  </sheetData>
  <mergeCells count="3">
    <mergeCell ref="A2:D2"/>
    <mergeCell ref="G2:J2"/>
    <mergeCell ref="A11:D1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B548CF78B9C4C8997815F625FE7C4" ma:contentTypeVersion="16" ma:contentTypeDescription="Crear nuevo documento." ma:contentTypeScope="" ma:versionID="934f90ff112016b79a310032fd3b4e0c">
  <xsd:schema xmlns:xsd="http://www.w3.org/2001/XMLSchema" xmlns:xs="http://www.w3.org/2001/XMLSchema" xmlns:p="http://schemas.microsoft.com/office/2006/metadata/properties" xmlns:ns2="bbb3be2b-1d28-4a79-823f-3d35cca8c796" xmlns:ns3="348462d5-9b69-49df-b051-096e4d35777a" targetNamespace="http://schemas.microsoft.com/office/2006/metadata/properties" ma:root="true" ma:fieldsID="b83ca870ae91e6870454ebee6942bb0e" ns2:_="" ns3:_="">
    <xsd:import namespace="bbb3be2b-1d28-4a79-823f-3d35cca8c796"/>
    <xsd:import namespace="348462d5-9b69-49df-b051-096e4d3577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b3be2b-1d28-4a79-823f-3d35cca8c7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13321937-4ffa-421c-9d6b-54e966a39f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462d5-9b69-49df-b051-096e4d35777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a82ae70-afd5-41f4-a214-3d4431bdc45b}" ma:internalName="TaxCatchAll" ma:showField="CatchAllData" ma:web="348462d5-9b69-49df-b051-096e4d3577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b3be2b-1d28-4a79-823f-3d35cca8c796">
      <Terms xmlns="http://schemas.microsoft.com/office/infopath/2007/PartnerControls"/>
    </lcf76f155ced4ddcb4097134ff3c332f>
    <TaxCatchAll xmlns="348462d5-9b69-49df-b051-096e4d35777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079455-AA36-422C-9FF6-9E4580C25F9D}"/>
</file>

<file path=customXml/itemProps2.xml><?xml version="1.0" encoding="utf-8"?>
<ds:datastoreItem xmlns:ds="http://schemas.openxmlformats.org/officeDocument/2006/customXml" ds:itemID="{523C20A4-68E3-43DA-B2BF-CE25E11694B2}"/>
</file>

<file path=customXml/itemProps3.xml><?xml version="1.0" encoding="utf-8"?>
<ds:datastoreItem xmlns:ds="http://schemas.openxmlformats.org/officeDocument/2006/customXml" ds:itemID="{2A2A8CE7-A36B-4136-AD2F-3297D6504CD5}"/>
</file>

<file path=docMetadata/LabelInfo.xml><?xml version="1.0" encoding="utf-8"?>
<clbl:labelList xmlns:clbl="http://schemas.microsoft.com/office/2020/mipLabelMetadata">
  <clbl:label id="{f49f6ea8-e3b5-4fc6-94e9-be98a5e9b02e}" enabled="0" method="" siteId="{f49f6ea8-e3b5-4fc6-94e9-be98a5e9b0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Torres</dc:creator>
  <cp:keywords/>
  <dc:description/>
  <cp:lastModifiedBy>David Estupiñan</cp:lastModifiedBy>
  <cp:revision/>
  <dcterms:created xsi:type="dcterms:W3CDTF">2022-09-29T19:09:30Z</dcterms:created>
  <dcterms:modified xsi:type="dcterms:W3CDTF">2026-08-12T19:12:00Z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0x0101006FEB548CF78B9C4C8997815F625FE7C4</vt:lpwstr>
  </property>
  <property fmtid="{D5CDD505-2E9C-101B-9397-08002B2CF9AE}" pid="3" name="MediaServiceImageTags">
    <vt:lpwstr/>
  </property>
</Properties>
</file>